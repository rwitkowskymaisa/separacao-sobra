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ixas" sheetId="2" state="visible" r:id="rId4"/>
    <sheet name="Complemento CBP" sheetId="3" state="visible" r:id="rId5"/>
    <sheet name="Itens" sheetId="4" state="visible" r:id="rId6"/>
    <sheet name="Separação" sheetId="5" state="visible" r:id="rId7"/>
    <sheet name="Pedido x Sobra" sheetId="6" state="visible" r:id="rId8"/>
    <sheet name="Devoluçã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<sst xmlns="http://schemas.openxmlformats.org/spreadsheetml/2006/main" count="7996" uniqueCount="1120">
  <si>
    <t xml:space="preserve">Sobra Experience × pedidos CBP e CBTBE — com complemento no CBP</t>
  </si>
  <si>
    <t xml:space="preserve">Situação das caixas</t>
  </si>
  <si>
    <t xml:space="preserve">Caixas</t>
  </si>
  <si>
    <t xml:space="preserve">Unidades</t>
  </si>
  <si>
    <t xml:space="preserve">p/ CBP</t>
  </si>
  <si>
    <t xml:space="preserve">p/ CBTBE</t>
  </si>
  <si>
    <t xml:space="preserve">Devolução</t>
  </si>
  <si>
    <t xml:space="preserve">Inteira CBP</t>
  </si>
  <si>
    <t xml:space="preserve">Inteira CBTBE</t>
  </si>
  <si>
    <t xml:space="preserve">Aberta</t>
  </si>
  <si>
    <t xml:space="preserve">Devolução fechada</t>
  </si>
  <si>
    <t xml:space="preserve">Avulso</t>
  </si>
  <si>
    <t xml:space="preserve">Total</t>
  </si>
  <si>
    <t xml:space="preserve">Efeito nos pedidos</t>
  </si>
  <si>
    <t xml:space="preserve">Pedido original</t>
  </si>
  <si>
    <t xml:space="preserve">Atendido pela sobra</t>
  </si>
  <si>
    <t xml:space="preserve">Saldo do estoque</t>
  </si>
  <si>
    <t xml:space="preserve">Complemento</t>
  </si>
  <si>
    <t xml:space="preserve">Pedido ajustado</t>
  </si>
  <si>
    <t xml:space="preserve">CBP</t>
  </si>
  <si>
    <t xml:space="preserve">CBTBE</t>
  </si>
  <si>
    <t xml:space="preserve">Comparação entre versões</t>
  </si>
  <si>
    <t xml:space="preserve">Unidades da sobra usadas</t>
  </si>
  <si>
    <t xml:space="preserve">Caixas abertas</t>
  </si>
  <si>
    <t xml:space="preserve">Caixas inteiras</t>
  </si>
  <si>
    <t xml:space="preserve">Complemento (un)</t>
  </si>
  <si>
    <t xml:space="preserve">V1: só caixa inteira</t>
  </si>
  <si>
    <t xml:space="preserve">V2: abrir o necessário</t>
  </si>
  <si>
    <t xml:space="preserve">V3: complemento no CBP (esta)</t>
  </si>
  <si>
    <t xml:space="preserve">Premissas</t>
  </si>
  <si>
    <t xml:space="preserve">1. Partimos da V2 (máximo reaproveitamento, com o menor número de caixas abertas que o cálculo encontrou no tempo disponível). Cada caixa aberta foi testada para ir inteira ao CBP, aumentando o pedido CBP só nos títulos que já estão nele.</t>
  </si>
  <si>
    <t xml:space="preserve">2. Não converte se a caixa tem título fora do pedido CBP, ou se mandá-la inteira ao CBP tiraria unidades que o CBTBE precisa e que não existem em outra caixa já aberta.</t>
  </si>
  <si>
    <t xml:space="preserve">3. O total atendido pela sobra nos pedidos originais continua 10.053 un e o saldo total a pedir ao estoque não muda (8.018 un). Mas 238 un migram: o CBP passa a ter mais cobertura e o CBTBE menos. O complemento é volume adicional só para o CBP.</t>
  </si>
  <si>
    <t xml:space="preserve">4. Depois das conversões, a separação das demais caixas foi recalculada para manter o menor número de caixas abertas.</t>
  </si>
  <si>
    <t xml:space="preserve">5. Valores das linhas V1 e V2 e da tabela de cenários foram digitados a partir das versões anteriores.</t>
  </si>
  <si>
    <t xml:space="preserve">Fontes: Estoque_sobra_EX.xlsx e Pedido_CBP_e_CBTBE.xlsx enviados pelo usuário em 20/10/2026.</t>
  </si>
  <si>
    <t xml:space="preserve">Nº Caixa</t>
  </si>
  <si>
    <t xml:space="preserve">Notas</t>
  </si>
  <si>
    <t xml:space="preserve">Situação</t>
  </si>
  <si>
    <t xml:space="preserve">Qtd títulos</t>
  </si>
  <si>
    <t xml:space="preserve">Instrução</t>
  </si>
  <si>
    <t xml:space="preserve">Complemento CBP (un)</t>
  </si>
  <si>
    <t xml:space="preserve">0001</t>
  </si>
  <si>
    <t xml:space="preserve">476043, 476061, 476065</t>
  </si>
  <si>
    <t xml:space="preserve">Continua aberta: tem título que não está no pedido CBP</t>
  </si>
  <si>
    <t xml:space="preserve">0002</t>
  </si>
  <si>
    <t xml:space="preserve">Pedido dos títulos já coberto por outras caixas</t>
  </si>
  <si>
    <t xml:space="preserve">0003</t>
  </si>
  <si>
    <t xml:space="preserve">0004</t>
  </si>
  <si>
    <t xml:space="preserve">0005</t>
  </si>
  <si>
    <t xml:space="preserve">476061, 476065</t>
  </si>
  <si>
    <t xml:space="preserve">Enviar a caixa fechada para o CBTBE</t>
  </si>
  <si>
    <t xml:space="preserve">0006</t>
  </si>
  <si>
    <t xml:space="preserve">0007</t>
  </si>
  <si>
    <t xml:space="preserve">0008</t>
  </si>
  <si>
    <t xml:space="preserve">Era aberta: vai inteira ao CBP com complemento de 4 un</t>
  </si>
  <si>
    <t xml:space="preserve">0009</t>
  </si>
  <si>
    <t xml:space="preserve">0010</t>
  </si>
  <si>
    <t xml:space="preserve">0011</t>
  </si>
  <si>
    <t xml:space="preserve">Enviar a caixa fechada para o CBP</t>
  </si>
  <si>
    <t xml:space="preserve">0012</t>
  </si>
  <si>
    <t xml:space="preserve">476043, 476061, 476062, 476065</t>
  </si>
  <si>
    <t xml:space="preserve">Era aberta: vai inteira ao CBP com complemento de 44 un</t>
  </si>
  <si>
    <t xml:space="preserve">0013</t>
  </si>
  <si>
    <t xml:space="preserve">476065</t>
  </si>
  <si>
    <t xml:space="preserve">0014</t>
  </si>
  <si>
    <t xml:space="preserve">0015</t>
  </si>
  <si>
    <t xml:space="preserve">476043, 476065</t>
  </si>
  <si>
    <t xml:space="preserve">0016</t>
  </si>
  <si>
    <t xml:space="preserve">0017</t>
  </si>
  <si>
    <t xml:space="preserve">Continua aberta: inteira no CBP tiraria unidades que o CBTBE precisa</t>
  </si>
  <si>
    <t xml:space="preserve">0018</t>
  </si>
  <si>
    <t xml:space="preserve">0019</t>
  </si>
  <si>
    <t xml:space="preserve">0020</t>
  </si>
  <si>
    <t xml:space="preserve">0021</t>
  </si>
  <si>
    <t xml:space="preserve">0022</t>
  </si>
  <si>
    <t xml:space="preserve">0023</t>
  </si>
  <si>
    <t xml:space="preserve">Era aberta: vai inteira ao CBP com complemento de 14 un</t>
  </si>
  <si>
    <t xml:space="preserve">0024</t>
  </si>
  <si>
    <t xml:space="preserve">0025</t>
  </si>
  <si>
    <t xml:space="preserve">0026</t>
  </si>
  <si>
    <t xml:space="preserve">0027</t>
  </si>
  <si>
    <t xml:space="preserve">0028</t>
  </si>
  <si>
    <t xml:space="preserve">0029</t>
  </si>
  <si>
    <t xml:space="preserve">0030</t>
  </si>
  <si>
    <t xml:space="preserve">0031</t>
  </si>
  <si>
    <t xml:space="preserve">0032</t>
  </si>
  <si>
    <t xml:space="preserve">0033</t>
  </si>
  <si>
    <t xml:space="preserve">0034</t>
  </si>
  <si>
    <t xml:space="preserve">0035</t>
  </si>
  <si>
    <t xml:space="preserve">0036</t>
  </si>
  <si>
    <t xml:space="preserve">Continua aberta: separar conforme aba Separação</t>
  </si>
  <si>
    <t xml:space="preserve">0037</t>
  </si>
  <si>
    <t xml:space="preserve">0038</t>
  </si>
  <si>
    <t xml:space="preserve">0039</t>
  </si>
  <si>
    <t xml:space="preserve">0040</t>
  </si>
  <si>
    <t xml:space="preserve">Era aberta: vai inteira ao CBP com complemento de 48 un</t>
  </si>
  <si>
    <t xml:space="preserve">0041</t>
  </si>
  <si>
    <t xml:space="preserve">Era aberta: vai inteira ao CBP com complemento de 19 un</t>
  </si>
  <si>
    <t xml:space="preserve">0042</t>
  </si>
  <si>
    <t xml:space="preserve">Era aberta: vai inteira ao CBP com complemento de 1 un</t>
  </si>
  <si>
    <t xml:space="preserve">0043</t>
  </si>
  <si>
    <t xml:space="preserve">Era aberta: vai inteira ao CBP com complemento de 7 un</t>
  </si>
  <si>
    <t xml:space="preserve">0044</t>
  </si>
  <si>
    <t xml:space="preserve">0045</t>
  </si>
  <si>
    <t xml:space="preserve">0046</t>
  </si>
  <si>
    <t xml:space="preserve">0047</t>
  </si>
  <si>
    <t xml:space="preserve">0048</t>
  </si>
  <si>
    <t xml:space="preserve">0049</t>
  </si>
  <si>
    <t xml:space="preserve">0050</t>
  </si>
  <si>
    <t xml:space="preserve">Era aberta: vai inteira ao CBP com complemento de 45 un</t>
  </si>
  <si>
    <t xml:space="preserve">0051</t>
  </si>
  <si>
    <t xml:space="preserve">0052</t>
  </si>
  <si>
    <t xml:space="preserve">0053</t>
  </si>
  <si>
    <t xml:space="preserve">0054</t>
  </si>
  <si>
    <t xml:space="preserve">0055</t>
  </si>
  <si>
    <t xml:space="preserve">0056</t>
  </si>
  <si>
    <t xml:space="preserve">Era aberta: vai inteira ao CBP com complemento de 32 un</t>
  </si>
  <si>
    <t xml:space="preserve">0057</t>
  </si>
  <si>
    <t xml:space="preserve">0058</t>
  </si>
  <si>
    <t xml:space="preserve">0059</t>
  </si>
  <si>
    <t xml:space="preserve">0060</t>
  </si>
  <si>
    <t xml:space="preserve">0061</t>
  </si>
  <si>
    <t xml:space="preserve">0062</t>
  </si>
  <si>
    <t xml:space="preserve">0063</t>
  </si>
  <si>
    <t xml:space="preserve">0064</t>
  </si>
  <si>
    <t xml:space="preserve">0065</t>
  </si>
  <si>
    <t xml:space="preserve">0066</t>
  </si>
  <si>
    <t xml:space="preserve">0067</t>
  </si>
  <si>
    <t xml:space="preserve">0068</t>
  </si>
  <si>
    <t xml:space="preserve">0069</t>
  </si>
  <si>
    <t xml:space="preserve">0070</t>
  </si>
  <si>
    <t xml:space="preserve">0071</t>
  </si>
  <si>
    <t xml:space="preserve">0072</t>
  </si>
  <si>
    <t xml:space="preserve">0073</t>
  </si>
  <si>
    <t xml:space="preserve">0074</t>
  </si>
  <si>
    <t xml:space="preserve">0075</t>
  </si>
  <si>
    <t xml:space="preserve">0076</t>
  </si>
  <si>
    <t xml:space="preserve">0077</t>
  </si>
  <si>
    <t xml:space="preserve">476043, 476061</t>
  </si>
  <si>
    <t xml:space="preserve">0078</t>
  </si>
  <si>
    <t xml:space="preserve">0079</t>
  </si>
  <si>
    <t xml:space="preserve">0080</t>
  </si>
  <si>
    <t xml:space="preserve">0081</t>
  </si>
  <si>
    <t xml:space="preserve">0082</t>
  </si>
  <si>
    <t xml:space="preserve">0083</t>
  </si>
  <si>
    <t xml:space="preserve">0084</t>
  </si>
  <si>
    <t xml:space="preserve">0085</t>
  </si>
  <si>
    <t xml:space="preserve">0086</t>
  </si>
  <si>
    <t xml:space="preserve">0087</t>
  </si>
  <si>
    <t xml:space="preserve">0088</t>
  </si>
  <si>
    <t xml:space="preserve">0089</t>
  </si>
  <si>
    <t xml:space="preserve">0090</t>
  </si>
  <si>
    <t xml:space="preserve">0091</t>
  </si>
  <si>
    <t xml:space="preserve">0092</t>
  </si>
  <si>
    <t xml:space="preserve">0093</t>
  </si>
  <si>
    <t xml:space="preserve">0094</t>
  </si>
  <si>
    <t xml:space="preserve">0095</t>
  </si>
  <si>
    <t xml:space="preserve">0096</t>
  </si>
  <si>
    <t xml:space="preserve">0097</t>
  </si>
  <si>
    <t xml:space="preserve">0098</t>
  </si>
  <si>
    <t xml:space="preserve">0099</t>
  </si>
  <si>
    <t xml:space="preserve">0100</t>
  </si>
  <si>
    <t xml:space="preserve">0101</t>
  </si>
  <si>
    <t xml:space="preserve">0102</t>
  </si>
  <si>
    <t xml:space="preserve">0103</t>
  </si>
  <si>
    <t xml:space="preserve">0104</t>
  </si>
  <si>
    <t xml:space="preserve">Era aberta: vai inteira ao CBP com complemento de 26 un</t>
  </si>
  <si>
    <t xml:space="preserve">0105</t>
  </si>
  <si>
    <t xml:space="preserve">0106</t>
  </si>
  <si>
    <t xml:space="preserve">0107</t>
  </si>
  <si>
    <t xml:space="preserve">0108</t>
  </si>
  <si>
    <t xml:space="preserve">0109</t>
  </si>
  <si>
    <t xml:space="preserve">0110</t>
  </si>
  <si>
    <t xml:space="preserve">0111</t>
  </si>
  <si>
    <t xml:space="preserve">0112</t>
  </si>
  <si>
    <t xml:space="preserve">0113</t>
  </si>
  <si>
    <t xml:space="preserve">0114</t>
  </si>
  <si>
    <t xml:space="preserve">0115</t>
  </si>
  <si>
    <t xml:space="preserve">0116</t>
  </si>
  <si>
    <t xml:space="preserve">0117</t>
  </si>
  <si>
    <t xml:space="preserve">0118</t>
  </si>
  <si>
    <t xml:space="preserve">0119</t>
  </si>
  <si>
    <t xml:space="preserve">0120</t>
  </si>
  <si>
    <t xml:space="preserve">0121</t>
  </si>
  <si>
    <t xml:space="preserve">0122</t>
  </si>
  <si>
    <t xml:space="preserve">0123</t>
  </si>
  <si>
    <t xml:space="preserve">0124</t>
  </si>
  <si>
    <t xml:space="preserve">0125</t>
  </si>
  <si>
    <t xml:space="preserve">0126</t>
  </si>
  <si>
    <t xml:space="preserve">0127</t>
  </si>
  <si>
    <t xml:space="preserve">0128</t>
  </si>
  <si>
    <t xml:space="preserve">0129</t>
  </si>
  <si>
    <t xml:space="preserve">0130</t>
  </si>
  <si>
    <t xml:space="preserve">0131</t>
  </si>
  <si>
    <t xml:space="preserve">0132</t>
  </si>
  <si>
    <t xml:space="preserve">0133</t>
  </si>
  <si>
    <t xml:space="preserve">Era aberta: vai inteira ao CBP com complemento de 3 un</t>
  </si>
  <si>
    <t xml:space="preserve">0134</t>
  </si>
  <si>
    <t xml:space="preserve">0135</t>
  </si>
  <si>
    <t xml:space="preserve">0136</t>
  </si>
  <si>
    <t xml:space="preserve">0137</t>
  </si>
  <si>
    <t xml:space="preserve">0138</t>
  </si>
  <si>
    <t xml:space="preserve">0139</t>
  </si>
  <si>
    <t xml:space="preserve">0140</t>
  </si>
  <si>
    <t xml:space="preserve">0141</t>
  </si>
  <si>
    <t xml:space="preserve">Era aberta: vai inteira ao CBP com complemento de 24 un</t>
  </si>
  <si>
    <t xml:space="preserve">0142</t>
  </si>
  <si>
    <t xml:space="preserve">0143</t>
  </si>
  <si>
    <t xml:space="preserve">Era aberta: vai inteira ao CBP com complemento de 29 un</t>
  </si>
  <si>
    <t xml:space="preserve">0144</t>
  </si>
  <si>
    <t xml:space="preserve">Era aberta: vai inteira ao CBP com complemento de 43 un</t>
  </si>
  <si>
    <t xml:space="preserve">0145</t>
  </si>
  <si>
    <t xml:space="preserve">0146</t>
  </si>
  <si>
    <t xml:space="preserve">0147</t>
  </si>
  <si>
    <t xml:space="preserve">0148</t>
  </si>
  <si>
    <t xml:space="preserve">0149</t>
  </si>
  <si>
    <t xml:space="preserve">0150</t>
  </si>
  <si>
    <t xml:space="preserve">0151</t>
  </si>
  <si>
    <t xml:space="preserve">Era aberta: vai inteira ao CBP com complemento de 61 un</t>
  </si>
  <si>
    <t xml:space="preserve">0152</t>
  </si>
  <si>
    <t xml:space="preserve">0153</t>
  </si>
  <si>
    <t xml:space="preserve">0154</t>
  </si>
  <si>
    <t xml:space="preserve">0155</t>
  </si>
  <si>
    <t xml:space="preserve">Era aberta: vai inteira ao CBP com complemento de 10 un</t>
  </si>
  <si>
    <t xml:space="preserve">0156</t>
  </si>
  <si>
    <t xml:space="preserve">0157</t>
  </si>
  <si>
    <t xml:space="preserve">0158</t>
  </si>
  <si>
    <t xml:space="preserve">0159</t>
  </si>
  <si>
    <t xml:space="preserve">0160</t>
  </si>
  <si>
    <t xml:space="preserve">0161</t>
  </si>
  <si>
    <t xml:space="preserve">0162</t>
  </si>
  <si>
    <t xml:space="preserve">0163</t>
  </si>
  <si>
    <t xml:space="preserve">0164</t>
  </si>
  <si>
    <t xml:space="preserve">0165</t>
  </si>
  <si>
    <t xml:space="preserve">0166</t>
  </si>
  <si>
    <t xml:space="preserve">0167</t>
  </si>
  <si>
    <t xml:space="preserve">0168</t>
  </si>
  <si>
    <t xml:space="preserve">0169</t>
  </si>
  <si>
    <t xml:space="preserve">0170</t>
  </si>
  <si>
    <t xml:space="preserve">Era aberta: vai inteira ao CBP com complemento de 28 un</t>
  </si>
  <si>
    <t xml:space="preserve">0171</t>
  </si>
  <si>
    <t xml:space="preserve">0172</t>
  </si>
  <si>
    <t xml:space="preserve">0173</t>
  </si>
  <si>
    <t xml:space="preserve">0174</t>
  </si>
  <si>
    <t xml:space="preserve">0175</t>
  </si>
  <si>
    <t xml:space="preserve">0176</t>
  </si>
  <si>
    <t xml:space="preserve">0177</t>
  </si>
  <si>
    <t xml:space="preserve">0178</t>
  </si>
  <si>
    <t xml:space="preserve">0179</t>
  </si>
  <si>
    <t xml:space="preserve">Era aberta: vai inteira ao CBP com complemento de 89 un</t>
  </si>
  <si>
    <t xml:space="preserve">0180</t>
  </si>
  <si>
    <t xml:space="preserve">0181</t>
  </si>
  <si>
    <t xml:space="preserve">0182</t>
  </si>
  <si>
    <t xml:space="preserve">0183</t>
  </si>
  <si>
    <t xml:space="preserve">0184</t>
  </si>
  <si>
    <t xml:space="preserve">0185</t>
  </si>
  <si>
    <t xml:space="preserve">0186</t>
  </si>
  <si>
    <t xml:space="preserve">0187</t>
  </si>
  <si>
    <t xml:space="preserve">0188</t>
  </si>
  <si>
    <t xml:space="preserve">0189</t>
  </si>
  <si>
    <t xml:space="preserve">0190</t>
  </si>
  <si>
    <t xml:space="preserve">0191</t>
  </si>
  <si>
    <t xml:space="preserve">0192</t>
  </si>
  <si>
    <t xml:space="preserve">0193</t>
  </si>
  <si>
    <t xml:space="preserve">0194</t>
  </si>
  <si>
    <t xml:space="preserve">0195</t>
  </si>
  <si>
    <t xml:space="preserve">0196</t>
  </si>
  <si>
    <t xml:space="preserve">0197</t>
  </si>
  <si>
    <t xml:space="preserve">0198</t>
  </si>
  <si>
    <t xml:space="preserve">0199</t>
  </si>
  <si>
    <t xml:space="preserve">0200</t>
  </si>
  <si>
    <t xml:space="preserve">0201</t>
  </si>
  <si>
    <t xml:space="preserve">0202</t>
  </si>
  <si>
    <t xml:space="preserve">0203</t>
  </si>
  <si>
    <t xml:space="preserve">0204</t>
  </si>
  <si>
    <t xml:space="preserve">0205</t>
  </si>
  <si>
    <t xml:space="preserve">0206</t>
  </si>
  <si>
    <t xml:space="preserve">0207</t>
  </si>
  <si>
    <t xml:space="preserve">0208</t>
  </si>
  <si>
    <t xml:space="preserve">0209</t>
  </si>
  <si>
    <t xml:space="preserve">0210</t>
  </si>
  <si>
    <t xml:space="preserve">0211</t>
  </si>
  <si>
    <t xml:space="preserve">0212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</si>
  <si>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</si>
  <si>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</si>
  <si>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</si>
  <si>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</si>
  <si>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</si>
  <si>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0218</t>
  </si>
  <si>
    <t xml:space="preserve">0219</t>
  </si>
  <si>
    <t xml:space="preserve">0220</t>
  </si>
  <si>
    <t xml:space="preserve">0221</t>
  </si>
  <si>
    <t xml:space="preserve">0222</t>
  </si>
  <si>
    <t xml:space="preserve">0223</t>
  </si>
  <si>
    <t xml:space="preserve">0224</t>
  </si>
  <si>
    <t xml:space="preserve">0225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</si>
  <si>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</si>
  <si>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</si>
  <si>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</si>
  <si>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</si>
  <si>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</si>
  <si>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</si>
  <si>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0232</t>
  </si>
  <si>
    <t xml:space="preserve">0233</t>
  </si>
  <si>
    <t xml:space="preserve">476061</t>
  </si>
  <si>
    <t xml:space="preserve">0234</t>
  </si>
  <si>
    <t xml:space="preserve">0235</t>
  </si>
  <si>
    <t xml:space="preserve">0238</t>
  </si>
  <si>
    <t xml:space="preserve">0239</t>
  </si>
  <si>
    <t xml:space="preserve">0240</t>
  </si>
  <si>
    <t xml:space="preserve">0241</t>
  </si>
  <si>
    <t xml:space="preserve">0242</t>
  </si>
  <si>
    <t xml:space="preserve">0243</t>
  </si>
  <si>
    <t xml:space="preserve">0244</t>
  </si>
  <si>
    <t xml:space="preserve">0245</t>
  </si>
  <si>
    <t xml:space="preserve">0246</t>
  </si>
  <si>
    <t xml:space="preserve">Era aberta: vai inteira ao CBP com complemento de 22 un</t>
  </si>
  <si>
    <t xml:space="preserve">0247</t>
  </si>
  <si>
    <t xml:space="preserve">0248</t>
  </si>
  <si>
    <t xml:space="preserve">0249</t>
  </si>
  <si>
    <t xml:space="preserve">0250</t>
  </si>
  <si>
    <t xml:space="preserve">0251</t>
  </si>
  <si>
    <t xml:space="preserve">0252</t>
  </si>
  <si>
    <t xml:space="preserve">0253</t>
  </si>
  <si>
    <t xml:space="preserve">Era aberta: vai inteira ao CBP com complemento de 2 un</t>
  </si>
  <si>
    <t xml:space="preserve">0254</t>
  </si>
  <si>
    <t xml:space="preserve">Era aberta: vai inteira ao CBP com complemento de 11 un</t>
  </si>
  <si>
    <t xml:space="preserve">0255</t>
  </si>
  <si>
    <t xml:space="preserve">0256</t>
  </si>
  <si>
    <t xml:space="preserve">0257</t>
  </si>
  <si>
    <t xml:space="preserve">0258</t>
  </si>
  <si>
    <t xml:space="preserve">0259</t>
  </si>
  <si>
    <t xml:space="preserve">0260</t>
  </si>
  <si>
    <t xml:space="preserve">0261</t>
  </si>
  <si>
    <t xml:space="preserve">0262</t>
  </si>
  <si>
    <t xml:space="preserve">0263</t>
  </si>
  <si>
    <t xml:space="preserve">0264</t>
  </si>
  <si>
    <t xml:space="preserve">0265</t>
  </si>
  <si>
    <t xml:space="preserve">0266</t>
  </si>
  <si>
    <t xml:space="preserve">0267</t>
  </si>
  <si>
    <t xml:space="preserve">0268</t>
  </si>
  <si>
    <t xml:space="preserve">0269</t>
  </si>
  <si>
    <t xml:space="preserve">0270</t>
  </si>
  <si>
    <t xml:space="preserve">0271</t>
  </si>
  <si>
    <t xml:space="preserve">0272</t>
  </si>
  <si>
    <t xml:space="preserve">0273</t>
  </si>
  <si>
    <t xml:space="preserve">0274</t>
  </si>
  <si>
    <t xml:space="preserve">0275</t>
  </si>
  <si>
    <t xml:space="preserve">0276</t>
  </si>
  <si>
    <t xml:space="preserve">0277</t>
  </si>
  <si>
    <t xml:space="preserve">0278</t>
  </si>
  <si>
    <t xml:space="preserve">0279</t>
  </si>
  <si>
    <t xml:space="preserve">0280</t>
  </si>
  <si>
    <t xml:space="preserve">0281</t>
  </si>
  <si>
    <t xml:space="preserve">0282</t>
  </si>
  <si>
    <t xml:space="preserve">0283</t>
  </si>
  <si>
    <t xml:space="preserve">0284</t>
  </si>
  <si>
    <t xml:space="preserve">0285</t>
  </si>
  <si>
    <t xml:space="preserve">0286</t>
  </si>
  <si>
    <t xml:space="preserve">0287</t>
  </si>
  <si>
    <t xml:space="preserve">0288</t>
  </si>
  <si>
    <t xml:space="preserve">0289</t>
  </si>
  <si>
    <t xml:space="preserve">0290</t>
  </si>
  <si>
    <t xml:space="preserve">0291</t>
  </si>
  <si>
    <t xml:space="preserve">0292</t>
  </si>
  <si>
    <t xml:space="preserve">0293</t>
  </si>
  <si>
    <t xml:space="preserve">0294</t>
  </si>
  <si>
    <t xml:space="preserve">0295</t>
  </si>
  <si>
    <t xml:space="preserve">0296</t>
  </si>
  <si>
    <t xml:space="preserve">0297</t>
  </si>
  <si>
    <t xml:space="preserve">0298</t>
  </si>
  <si>
    <t xml:space="preserve">0299</t>
  </si>
  <si>
    <t xml:space="preserve">0300</t>
  </si>
  <si>
    <t xml:space="preserve">0301</t>
  </si>
  <si>
    <t xml:space="preserve">0302</t>
  </si>
  <si>
    <t xml:space="preserve">0303</t>
  </si>
  <si>
    <t xml:space="preserve">0304</t>
  </si>
  <si>
    <t xml:space="preserve">0305</t>
  </si>
  <si>
    <t xml:space="preserve">0306</t>
  </si>
  <si>
    <t xml:space="preserve">0307</t>
  </si>
  <si>
    <t xml:space="preserve">0308</t>
  </si>
  <si>
    <t xml:space="preserve">0309</t>
  </si>
  <si>
    <t xml:space="preserve">0310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</si>
  <si>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</si>
  <si>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</si>
  <si>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</si>
  <si>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</si>
  <si>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</si>
  <si>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</si>
  <si>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</si>
  <si>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0318</t>
  </si>
  <si>
    <t xml:space="preserve">0325</t>
  </si>
  <si>
    <t xml:space="preserve">0326</t>
  </si>
  <si>
    <t xml:space="preserve">0327</t>
  </si>
  <si>
    <t xml:space="preserve">0328</t>
  </si>
  <si>
    <t xml:space="preserve">0329</t>
  </si>
  <si>
    <t xml:space="preserve">0330</t>
  </si>
  <si>
    <t xml:space="preserve">0333</t>
  </si>
  <si>
    <t xml:space="preserve">0334</t>
  </si>
  <si>
    <t xml:space="preserve">0335</t>
  </si>
  <si>
    <t xml:space="preserve">0336</t>
  </si>
  <si>
    <t xml:space="preserve">0337</t>
  </si>
  <si>
    <t xml:space="preserve">S/Caixa</t>
  </si>
  <si>
    <t xml:space="preserve">475799</t>
  </si>
  <si>
    <t xml:space="preserve">Unidades soltas: separar conforme aba Separação</t>
  </si>
  <si>
    <t xml:space="preserve">Ordem</t>
  </si>
  <si>
    <t xml:space="preserve">Complemento desta caixa (un)</t>
  </si>
  <si>
    <t xml:space="preserve">Complemento acumulado (un)</t>
  </si>
  <si>
    <t xml:space="preserve">Caixas abertas evitadas (acum.)</t>
  </si>
  <si>
    <t xml:space="preserve">Cenários de limite por caixa</t>
  </si>
  <si>
    <t xml:space="preserve">Caixas convertidas</t>
  </si>
  <si>
    <t xml:space="preserve">Complemento total (un)</t>
  </si>
  <si>
    <t xml:space="preserve">Sem complemento (V2)</t>
  </si>
  <si>
    <t xml:space="preserve">Até 5 un por caixa</t>
  </si>
  <si>
    <t xml:space="preserve">Até 10 un por caixa</t>
  </si>
  <si>
    <t xml:space="preserve">Até 20 un por caixa</t>
  </si>
  <si>
    <t xml:space="preserve">Todas as viáveis (esta versão)</t>
  </si>
  <si>
    <t xml:space="preserve">Ordem: começa pelas caixas com menor complemento. Cada caixa só entra se, com as anteriores já convertidas, nenhum título do CBTBE perde cobertura. Os cenários foram calculados um a um (valores digitados).</t>
  </si>
  <si>
    <t xml:space="preserve">ISBN</t>
  </si>
  <si>
    <t xml:space="preserve">Descrição</t>
  </si>
  <si>
    <t xml:space="preserve">Estoque</t>
  </si>
  <si>
    <t xml:space="preserve">Nota</t>
  </si>
  <si>
    <t xml:space="preserve">Situação da caixa</t>
  </si>
  <si>
    <t xml:space="preserve">Separar p/ CBP (se aberta)</t>
  </si>
  <si>
    <t xml:space="preserve">Separar p/ CBTBE (se aberta)</t>
  </si>
  <si>
    <t xml:space="preserve">Qtd p/ CBP</t>
  </si>
  <si>
    <t xml:space="preserve">Qtd p/ CBTBE</t>
  </si>
  <si>
    <t xml:space="preserve">Qtd devolução</t>
  </si>
  <si>
    <t xml:space="preserve">9786558821403</t>
  </si>
  <si>
    <t xml:space="preserve">O DOM EXTRAORDINARIO DE SER COMUM</t>
  </si>
  <si>
    <t xml:space="preserve">9786558823391</t>
  </si>
  <si>
    <t xml:space="preserve">AUTOCOMPAIXAO PARA LIDAR COM O BURNOUT</t>
  </si>
  <si>
    <t xml:space="preserve">9786581335281</t>
  </si>
  <si>
    <t xml:space="preserve">TERAPIA DE ACEITACAO E COMPROMISSO 2ED.</t>
  </si>
  <si>
    <t xml:space="preserve">9786558823452</t>
  </si>
  <si>
    <t xml:space="preserve">DISCUTA CERTO: COMO CASAIS FELIZES TRANSFORMAN</t>
  </si>
  <si>
    <t xml:space="preserve">9786558824565</t>
  </si>
  <si>
    <t xml:space="preserve">TERAPEUTAS EXTRAORDINARIOS</t>
  </si>
  <si>
    <t xml:space="preserve">9786558823636</t>
  </si>
  <si>
    <t xml:space="preserve">AUTISMO E ADOLESCENCIA - COMO EU VEJO</t>
  </si>
  <si>
    <t xml:space="preserve">9786558824121</t>
  </si>
  <si>
    <t xml:space="preserve">PASSO A PASSO P/ A VIDA SUPERANDO O COMP. SUICIDA</t>
  </si>
  <si>
    <t xml:space="preserve">9788582715802</t>
  </si>
  <si>
    <t xml:space="preserve">PSICOLOGIA DO COTIDIANO 2</t>
  </si>
  <si>
    <t xml:space="preserve">9786558823704</t>
  </si>
  <si>
    <t xml:space="preserve">PSICOTERAPEUTAS EFICAZES</t>
  </si>
  <si>
    <t xml:space="preserve">9786558824442</t>
  </si>
  <si>
    <t xml:space="preserve">ABORDAGENS TRANSDIAG. EM TER. COG. COMPORTAMENTAL</t>
  </si>
  <si>
    <t xml:space="preserve">9786558822479</t>
  </si>
  <si>
    <t xml:space="preserve">SUPERANDO A INFIDELIDADE 2ED.</t>
  </si>
  <si>
    <t xml:space="preserve">9786558823223</t>
  </si>
  <si>
    <t xml:space="preserve">CONSTRUINDO UMA VIDA QUE VALE A PENA SER VIVIDA</t>
  </si>
  <si>
    <t xml:space="preserve">9786558822820</t>
  </si>
  <si>
    <t xml:space="preserve">EXPERIMENTANDO A TER. DE ACEIT. E COMP. DE DENTRO</t>
  </si>
  <si>
    <t xml:space="preserve">9786558823612</t>
  </si>
  <si>
    <t xml:space="preserve">MINDFULNESS PARA A VIDA</t>
  </si>
  <si>
    <t xml:space="preserve">9788582713976</t>
  </si>
  <si>
    <t xml:space="preserve">TERAPIA COGNITIVA-COMPORTAMENTAL P/ ADOLESCENTES</t>
  </si>
  <si>
    <t xml:space="preserve">9786558823902</t>
  </si>
  <si>
    <t xml:space="preserve">O LIVRO DE HABIL. DA TER. DE ACEITACAO E COMPROMIS</t>
  </si>
  <si>
    <t xml:space="preserve">9786558822196</t>
  </si>
  <si>
    <t xml:space="preserve">NOVAS TECNICAS DE TERAPIA DO LUTO</t>
  </si>
  <si>
    <t xml:space="preserve">9786558824480</t>
  </si>
  <si>
    <t xml:space="preserve">A PRATICA DA PSICOT. PSICOD. BASEADA EM EVIDENCIAS</t>
  </si>
  <si>
    <t xml:space="preserve">9786558820635</t>
  </si>
  <si>
    <t xml:space="preserve">INTERVENCOES ON-LINE E TER. COG.-COMPORTAMENTAIS</t>
  </si>
  <si>
    <t xml:space="preserve">9786558823353</t>
  </si>
  <si>
    <t xml:space="preserve">O QUE FAZER QUANDO VOCE SE PREOCUPA DEMAIS 2ED.</t>
  </si>
  <si>
    <t xml:space="preserve">9788582712573</t>
  </si>
  <si>
    <t xml:space="preserve">TERAPIA COGNITIVA FOCADA EM ESQUEMAS</t>
  </si>
  <si>
    <t xml:space="preserve">9786558821939</t>
  </si>
  <si>
    <t xml:space="preserve">CASOS CLINICOS DO DSM-5-TR</t>
  </si>
  <si>
    <t xml:space="preserve">9786558821717</t>
  </si>
  <si>
    <t xml:space="preserve">UMA BASE SEGURA - APLIC. CLIN. DA TEORIA DO APEGO</t>
  </si>
  <si>
    <t xml:space="preserve">9786558822011</t>
  </si>
  <si>
    <t xml:space="preserve">VENCENDO A COMPULSAO ALIMENTAR 2ED.</t>
  </si>
  <si>
    <t xml:space="preserve">9786558821953</t>
  </si>
  <si>
    <t xml:space="preserve">ANSIEDADE SOCIAL</t>
  </si>
  <si>
    <t xml:space="preserve">9786558823438</t>
  </si>
  <si>
    <t xml:space="preserve">MANUAL DE TER. INDIV. FOCADA NAS EMOCOES (EFIT)</t>
  </si>
  <si>
    <t xml:space="preserve">9786558820970</t>
  </si>
  <si>
    <t xml:space="preserve">MANUAL CLINICO DOS TRANSTORNOS PSICOLOGICOS 6ED.</t>
  </si>
  <si>
    <t xml:space="preserve">9786558822172</t>
  </si>
  <si>
    <t xml:space="preserve">TEORIA DO APEGO NA PRATICA</t>
  </si>
  <si>
    <t xml:space="preserve">9786558822806</t>
  </si>
  <si>
    <t xml:space="preserve">TERAPIA FOCADA NAS EMOCOES 2ED.</t>
  </si>
  <si>
    <t xml:space="preserve">9788582715055</t>
  </si>
  <si>
    <t xml:space="preserve">PSICOPATOLOGIA E SEMIOLOGIA DOS TRANST.MENTAIS 3ED</t>
  </si>
  <si>
    <t xml:space="preserve">9788582715154</t>
  </si>
  <si>
    <t xml:space="preserve">PRINCIPIOS BASICOS DE ANAL. DO COMPORTAMENTO 2ED.</t>
  </si>
  <si>
    <t xml:space="preserve">9786558823087</t>
  </si>
  <si>
    <t xml:space="preserve">MANUAL DO ESTOICISMO</t>
  </si>
  <si>
    <t xml:space="preserve">9786558823537</t>
  </si>
  <si>
    <t xml:space="preserve">MINDFULNESS E DEPRESSAO 2ED.</t>
  </si>
  <si>
    <t xml:space="preserve">9786558823025</t>
  </si>
  <si>
    <t xml:space="preserve">DIAGNOSTICO DESCOMPLICADO 3ED.</t>
  </si>
  <si>
    <t xml:space="preserve">9786558823803</t>
  </si>
  <si>
    <t xml:space="preserve">LENDO WINNICOTT</t>
  </si>
  <si>
    <t xml:space="preserve">9786558823599</t>
  </si>
  <si>
    <t xml:space="preserve">ANALISE DO COMPORTAMENTO APLICADA 3ED.</t>
  </si>
  <si>
    <t xml:space="preserve">9788582715734</t>
  </si>
  <si>
    <t xml:space="preserve">TERAPIA DO ESQUEMA PARA CASAIS</t>
  </si>
  <si>
    <t xml:space="preserve">9786558820932</t>
  </si>
  <si>
    <t xml:space="preserve">DSM 5-TR MN.DIAG. E EST. DE TRANST. MENTAIS 5ED</t>
  </si>
  <si>
    <t xml:space="preserve">9786558823827</t>
  </si>
  <si>
    <t xml:space="preserve">ENTREVISTA MOTIVACIONAL 4ED.</t>
  </si>
  <si>
    <t xml:space="preserve">9786558824183</t>
  </si>
  <si>
    <t xml:space="preserve">FUNDAMENTANDO A PSICOTERAPIA NA AUTOCOMPAIXAO</t>
  </si>
  <si>
    <t xml:space="preserve">9786558822059</t>
  </si>
  <si>
    <t xml:space="preserve">VENCENDO A TIMIDEZ E A ANS. SOCIAL NA ADOL. 2ED.</t>
  </si>
  <si>
    <t xml:space="preserve">9786558822356</t>
  </si>
  <si>
    <t xml:space="preserve">DROGAS E ADICOES CONSULTA RAPIDA</t>
  </si>
  <si>
    <t xml:space="preserve">9786558821113</t>
  </si>
  <si>
    <t xml:space="preserve">REF. RAPIDA AOS CRIT. DIAG. DO DSM 5 - TR 5ED.</t>
  </si>
  <si>
    <t xml:space="preserve">9786558822868</t>
  </si>
  <si>
    <t xml:space="preserve">NAO DEIXE AS EMOCOES COMANDAREM SUA VIDA 2ED.</t>
  </si>
  <si>
    <t xml:space="preserve">9786558820819</t>
  </si>
  <si>
    <t xml:space="preserve">CRISE SUICIDA - 2.ED</t>
  </si>
  <si>
    <t xml:space="preserve">9786555580020</t>
  </si>
  <si>
    <t xml:space="preserve">PSICOPATOLOGIA UMA ABORDAGEM INTEGRADA 3ED.</t>
  </si>
  <si>
    <t xml:space="preserve">9786558821854</t>
  </si>
  <si>
    <t xml:space="preserve">EMOCAO EM TERAPIA - DA CIENCIA A PRATICA</t>
  </si>
  <si>
    <t xml:space="preserve">9786558821878</t>
  </si>
  <si>
    <t xml:space="preserve">A RELACAO TERAP. NAS TER.COG.-COMPORTAMENTAIS</t>
  </si>
  <si>
    <t xml:space="preserve">9788536314969</t>
  </si>
  <si>
    <t xml:space="preserve">TERAPIA DO ESQUEMA GUIA DE TECNICAS COGNITIVO</t>
  </si>
  <si>
    <t xml:space="preserve">9786558821915</t>
  </si>
  <si>
    <t xml:space="preserve">PRINCIPIOS DA TERAPIA COMP. DIALETICA EM ACAO</t>
  </si>
  <si>
    <t xml:space="preserve">9786558821304</t>
  </si>
  <si>
    <t xml:space="preserve">O QUE TE TORNA MAIS FORTE</t>
  </si>
  <si>
    <t xml:space="preserve">9788582714973</t>
  </si>
  <si>
    <t xml:space="preserve">TECNICAS DE TERAPIA COGNITIVA - MN. TERAPEUTA 2ED.</t>
  </si>
  <si>
    <t xml:space="preserve">9786558822097</t>
  </si>
  <si>
    <t xml:space="preserve">TERAPIA DO ESQUEMA</t>
  </si>
  <si>
    <t xml:space="preserve">9786558822981</t>
  </si>
  <si>
    <t xml:space="preserve">PROTOCOLO UNIF. P/ TRAT. TRANSD.  - MN. PACIENTE</t>
  </si>
  <si>
    <t xml:space="preserve">9786558823728</t>
  </si>
  <si>
    <t xml:space="preserve">TERAPIA BASEADA EM PROCESSOS</t>
  </si>
  <si>
    <t xml:space="preserve">9786558821595</t>
  </si>
  <si>
    <t xml:space="preserve">MITOS DA PARENTALIDADE</t>
  </si>
  <si>
    <t xml:space="preserve">9786558822929</t>
  </si>
  <si>
    <t xml:space="preserve">AUTISMO E EDUCACAO - COMO EU VEJO</t>
  </si>
  <si>
    <t xml:space="preserve">9786558823780</t>
  </si>
  <si>
    <t xml:space="preserve">MANUAL DE TERAPIA DE GRUPO PRISMAS</t>
  </si>
  <si>
    <t xml:space="preserve">9786558822554</t>
  </si>
  <si>
    <t xml:space="preserve">ESTRATEGIAS COG.-COMP. DE INTERVENCAO 4ED.</t>
  </si>
  <si>
    <t xml:space="preserve">9786558823964</t>
  </si>
  <si>
    <t xml:space="preserve">REF. RAPIDA DO DSM-5-TR P/ SAUDE MENTAL</t>
  </si>
  <si>
    <t xml:space="preserve">9788582713389</t>
  </si>
  <si>
    <t xml:space="preserve">PSICOLOGIA DO COTIDIANO</t>
  </si>
  <si>
    <t xml:space="preserve">9786558823865</t>
  </si>
  <si>
    <t xml:space="preserve">TRATADO SOBRE O TRANSTORNO DO ESPECTRO AUTISTA</t>
  </si>
  <si>
    <t xml:space="preserve">9786558821694</t>
  </si>
  <si>
    <t xml:space="preserve">TERAPIA FOCADA NA COMPAIXAO</t>
  </si>
  <si>
    <t xml:space="preserve">9786558822653</t>
  </si>
  <si>
    <t xml:space="preserve">EXPERIMENTANDO A TER. FOCADA NA COMP. DE DENTRO</t>
  </si>
  <si>
    <t xml:space="preserve">9786558824404</t>
  </si>
  <si>
    <t xml:space="preserve">MANUAL DE TECN. VIVENCIAIS EM TERAPIA DO ESQUEMA</t>
  </si>
  <si>
    <t xml:space="preserve">9786558823315</t>
  </si>
  <si>
    <t xml:space="preserve">CARTAS A UM JOVEM PSICOLOGO</t>
  </si>
  <si>
    <t xml:space="preserve">9786558821205</t>
  </si>
  <si>
    <t xml:space="preserve">ENSINO, FORMACAO E SUPERVISAO EM PSICOLOGIA</t>
  </si>
  <si>
    <t xml:space="preserve">9786558822943</t>
  </si>
  <si>
    <t xml:space="preserve">O LIVRO DA TER. DE ACEIT. E COMPR. P/ CRIANCAS</t>
  </si>
  <si>
    <t xml:space="preserve">9786558823049</t>
  </si>
  <si>
    <t xml:space="preserve">COMPAIXAO PARA CASAIS-DESENV. AS HABIL. DA CONEXAO</t>
  </si>
  <si>
    <t xml:space="preserve">9786558822776</t>
  </si>
  <si>
    <t xml:space="preserve">AUTISMO -  CONCEITO, DIAG., INTERV. E LEGISLACAO</t>
  </si>
  <si>
    <t xml:space="preserve">9788536324296</t>
  </si>
  <si>
    <t xml:space="preserve">LIVRE DE ANSIEDADE</t>
  </si>
  <si>
    <t xml:space="preserve">9788582715475</t>
  </si>
  <si>
    <t xml:space="preserve">A PRATICA CLINICA DA TERAPIA COGNITIVA 2ED.</t>
  </si>
  <si>
    <t xml:space="preserve">9786558820529</t>
  </si>
  <si>
    <t xml:space="preserve">CASOS CLINICOS EM SAUDE MENTAL</t>
  </si>
  <si>
    <t xml:space="preserve">9786558822592</t>
  </si>
  <si>
    <t xml:space="preserve">DIALOGO SOCRATICO PARA A DESCOB. EM PSICOTERAPIA</t>
  </si>
  <si>
    <t xml:space="preserve">9786558821281</t>
  </si>
  <si>
    <t xml:space="preserve">AUTISMO NO ADULTO</t>
  </si>
  <si>
    <t xml:space="preserve">9788582712047</t>
  </si>
  <si>
    <t xml:space="preserve">APRENDENDO A VIVER COM O TRANSTORNO BIPOLAR</t>
  </si>
  <si>
    <t xml:space="preserve">9786558823063</t>
  </si>
  <si>
    <t xml:space="preserve">A SOLUCAO MINDFULNESS</t>
  </si>
  <si>
    <t xml:space="preserve">9786558824008</t>
  </si>
  <si>
    <t xml:space="preserve">DBT PROXIMOS PASSOS - CONSTR. UMA VIDA - MN. TERAP</t>
  </si>
  <si>
    <t xml:space="preserve">9786558823742</t>
  </si>
  <si>
    <t xml:space="preserve">TERAPIA DE ACEITACAO E COMPROMISSO PARA INSONIA</t>
  </si>
  <si>
    <t xml:space="preserve">9786558823766</t>
  </si>
  <si>
    <t xml:space="preserve">A NOVA ERA DA SAUDE MENTAL COM INTEL. ARTIFICIAL</t>
  </si>
  <si>
    <t xml:space="preserve">9786558822691</t>
  </si>
  <si>
    <t xml:space="preserve">SOLIDAO ESSENCIAL-PALESTRAS DE ROMA S/ WINNICOTT</t>
  </si>
  <si>
    <t xml:space="preserve">9786558824541</t>
  </si>
  <si>
    <t xml:space="preserve">PROTOCOLO UNIF. P/ TRAT. TRANSD. - GUIA TERAPEUTA</t>
  </si>
  <si>
    <t xml:space="preserve">9786558823414</t>
  </si>
  <si>
    <t xml:space="preserve">FUNDAMENTOS PSICANALITICOS DE ZIMERMAN 2ED.</t>
  </si>
  <si>
    <t xml:space="preserve">9786558820772</t>
  </si>
  <si>
    <t xml:space="preserve">TRANSTORNOS PSIQUIATRICOS NA MULHER</t>
  </si>
  <si>
    <t xml:space="preserve">9786558821441</t>
  </si>
  <si>
    <t xml:space="preserve">O LIVRO DA RAIVA PARA CRIANCAS</t>
  </si>
  <si>
    <t xml:space="preserve">9786558822677</t>
  </si>
  <si>
    <t xml:space="preserve">NEUROCIENCIA DA MEMORIA</t>
  </si>
  <si>
    <t xml:space="preserve">9786558820055</t>
  </si>
  <si>
    <t xml:space="preserve">NEUROCIENCIA E MINDFULNESS</t>
  </si>
  <si>
    <t xml:space="preserve">9786558821779</t>
  </si>
  <si>
    <t xml:space="preserve">ARMADILHAS DA QUIMICA AMOROSA</t>
  </si>
  <si>
    <t xml:space="preserve">9786558824589</t>
  </si>
  <si>
    <t xml:space="preserve">TREINAMENTO DE HABIL. EM DBT 2ED.-REV. TERAP</t>
  </si>
  <si>
    <t xml:space="preserve">9786558821052</t>
  </si>
  <si>
    <t xml:space="preserve">APRENDENDO A TERAPIA BASEADA EM PROCESSOS</t>
  </si>
  <si>
    <t xml:space="preserve">9786558821472</t>
  </si>
  <si>
    <t xml:space="preserve">PENSANDO MELHOR...</t>
  </si>
  <si>
    <t xml:space="preserve">9786558822639</t>
  </si>
  <si>
    <t xml:space="preserve">CASOS CLINICOS LGBTQIAPN+</t>
  </si>
  <si>
    <t xml:space="preserve">9786558823209</t>
  </si>
  <si>
    <t xml:space="preserve">VENCENDO O ESTRESSE, A ANS., A DEPR. E OUTROS SOFR</t>
  </si>
  <si>
    <t xml:space="preserve">9786558823261</t>
  </si>
  <si>
    <t xml:space="preserve">UMA ABORD. PSICOL. P/ O DIAG. C/ BASE NA CID-11</t>
  </si>
  <si>
    <t xml:space="preserve">9786558823513</t>
  </si>
  <si>
    <t xml:space="preserve">ADICOES TECNOL. E OUTRAS ADICOES COMPORTAMENTAIS</t>
  </si>
  <si>
    <t xml:space="preserve">9788582715550</t>
  </si>
  <si>
    <t xml:space="preserve">A CURA DO CIUME</t>
  </si>
  <si>
    <t xml:space="preserve">9786558822035</t>
  </si>
  <si>
    <t xml:space="preserve">VENCENDO A DEPRESSAO</t>
  </si>
  <si>
    <t xml:space="preserve">9786558823490</t>
  </si>
  <si>
    <t xml:space="preserve">TERAPIA COGNITIVO-COMPORTAMENTAL NA PRATICA 2ED.</t>
  </si>
  <si>
    <t xml:space="preserve">9786558822257</t>
  </si>
  <si>
    <t xml:space="preserve">VENCENDO A ANSIEDADE E A PREOCUPACAO 2ED.</t>
  </si>
  <si>
    <t xml:space="preserve">9786558823247</t>
  </si>
  <si>
    <t xml:space="preserve">O GUIA DO MIDIATRA</t>
  </si>
  <si>
    <t xml:space="preserve">9786558822783</t>
  </si>
  <si>
    <t xml:space="preserve">MEDOS, DUVIDAS E MANIAS 3ED.</t>
  </si>
  <si>
    <t xml:space="preserve">9786558822219</t>
  </si>
  <si>
    <t xml:space="preserve">PRATICA DELIBERADA EM TERAPIA DO ESQUEMA</t>
  </si>
  <si>
    <t xml:space="preserve">9786558822967</t>
  </si>
  <si>
    <t xml:space="preserve">TERAPIA COGNITIVA DA DEPRESSAO 2ED.</t>
  </si>
  <si>
    <t xml:space="preserve">9786558822615</t>
  </si>
  <si>
    <t xml:space="preserve">MANUAL DE FORM. DE CASOS EM PSICOTERAPIA 3ED.</t>
  </si>
  <si>
    <t xml:space="preserve">9786558824084</t>
  </si>
  <si>
    <t xml:space="preserve">VIVENDO BEM COM PSICOSE</t>
  </si>
  <si>
    <t xml:space="preserve">9786558820208</t>
  </si>
  <si>
    <t xml:space="preserve">O QUE A CIENC. NOS DIZ S/ O TRANST. DO ESP.AUTISTA</t>
  </si>
  <si>
    <t xml:space="preserve">9788536316383</t>
  </si>
  <si>
    <t xml:space="preserve">PENSE MAGRO: A DIETA DEFINITIVA DE BECK</t>
  </si>
  <si>
    <t xml:space="preserve">9786581335403</t>
  </si>
  <si>
    <t xml:space="preserve">NAO ACREDITE EM TUDO QUE VOCE SENTE</t>
  </si>
  <si>
    <t xml:space="preserve">9786558820376</t>
  </si>
  <si>
    <t xml:space="preserve">CT-R - TERAPIA COG. ORIENTADA PARA A RECUPERACAO</t>
  </si>
  <si>
    <t xml:space="preserve">9786558821243</t>
  </si>
  <si>
    <t xml:space="preserve">QUESTIONAMENTO SOCRATICO PARA TERAPEUTAS</t>
  </si>
  <si>
    <t xml:space="preserve">9786558824329</t>
  </si>
  <si>
    <t xml:space="preserve">MAS EU NAO ATAREI AS TUAS MAOS</t>
  </si>
  <si>
    <t xml:space="preserve">9786558822233</t>
  </si>
  <si>
    <t xml:space="preserve">TERAPIA COG.- COMP. BREVE P/ PREVENCAO DO SUICIDIO</t>
  </si>
  <si>
    <t xml:space="preserve">9788582715536</t>
  </si>
  <si>
    <t xml:space="preserve">MANUAL DE MINDFULNESS E AUTOCOMPAIXAO</t>
  </si>
  <si>
    <t xml:space="preserve">9786558823476</t>
  </si>
  <si>
    <t xml:space="preserve">PROGRAMADOS PARA O AMOR 2ED.</t>
  </si>
  <si>
    <t xml:space="preserve">9786558823940</t>
  </si>
  <si>
    <t xml:space="preserve">PSICOLOGIA DA SAUDE 7ED.</t>
  </si>
  <si>
    <t xml:space="preserve">9788582713365</t>
  </si>
  <si>
    <t xml:space="preserve">A MENTE VENCENDO O HUMOR 2ED.</t>
  </si>
  <si>
    <t xml:space="preserve">9786558823667</t>
  </si>
  <si>
    <t xml:space="preserve">MODELO ALTERNATIVO P/ TRANST. DE PERSONALIDADE</t>
  </si>
  <si>
    <t xml:space="preserve">9786558823841</t>
  </si>
  <si>
    <t xml:space="preserve">VERGONHA E RAIVA NA PSICOTERAPIA</t>
  </si>
  <si>
    <t xml:space="preserve">9788536307466</t>
  </si>
  <si>
    <t xml:space="preserve">TERAPIA COGNITIVA PARA DESAFIOS CLINICOS</t>
  </si>
  <si>
    <t xml:space="preserve">9786558823551</t>
  </si>
  <si>
    <t xml:space="preserve">VIVENDO BEM COM TRANSTORNO BIPOLAR</t>
  </si>
  <si>
    <t xml:space="preserve">9788536318912</t>
  </si>
  <si>
    <t xml:space="preserve">LIVRO DE TAREFAS PENSE MAGRO</t>
  </si>
  <si>
    <t xml:space="preserve">9786558821328</t>
  </si>
  <si>
    <t xml:space="preserve">TRATANDO TDAH EM CRIANCAS E ADOLESCENTES</t>
  </si>
  <si>
    <t xml:space="preserve">9786558821380</t>
  </si>
  <si>
    <t xml:space="preserve">MANUAL DE TER. COG.-COMP. PARA ADOL. ANSIOSOS</t>
  </si>
  <si>
    <t xml:space="preserve">9786581335052</t>
  </si>
  <si>
    <t xml:space="preserve">TERAPIA COG. -COMPORTAMENTAL BASEADA EM PROCESSOS</t>
  </si>
  <si>
    <t xml:space="preserve">9788582715598</t>
  </si>
  <si>
    <t xml:space="preserve">GUIA PARA COMPREENSAO E MANEJO DO TDAH</t>
  </si>
  <si>
    <t xml:space="preserve">9786558823162</t>
  </si>
  <si>
    <t xml:space="preserve">VENCENDO O TRANST. DE ESTR. POS-TRAUMAT. MN.TERAPE</t>
  </si>
  <si>
    <t xml:space="preserve">9786558820994</t>
  </si>
  <si>
    <t xml:space="preserve">VENCENDO O TDAH ADULTO 2ED.</t>
  </si>
  <si>
    <t xml:space="preserve">9786558820253</t>
  </si>
  <si>
    <t xml:space="preserve">TERAPIA COG.-COMPORTAMENTAL:TEORIA E PRATICA 3ED.</t>
  </si>
  <si>
    <t xml:space="preserve">9788582714119</t>
  </si>
  <si>
    <t xml:space="preserve">TERAPIA COGNITIVA DOS TRANST. PERSONALIDADE 3ED.</t>
  </si>
  <si>
    <t xml:space="preserve">9788565852869</t>
  </si>
  <si>
    <t xml:space="preserve">REGULACAO EMOCIONAL EM PSICOTERAPIA</t>
  </si>
  <si>
    <t xml:space="preserve">9786558820116</t>
  </si>
  <si>
    <t xml:space="preserve">TCC EXPRESSA</t>
  </si>
  <si>
    <t xml:space="preserve">9786558820574</t>
  </si>
  <si>
    <t xml:space="preserve">LIDANDO COM A ANSIEDADE</t>
  </si>
  <si>
    <t xml:space="preserve">9788582715413</t>
  </si>
  <si>
    <t xml:space="preserve">APRENDENDO A TERAPIA COGNITIVO-COMPORTAMENTAL 2ED.</t>
  </si>
  <si>
    <t xml:space="preserve">9786558823681</t>
  </si>
  <si>
    <t xml:space="preserve">PSICOTERAPIA ANALITICA FUNCIONAL 2ED.</t>
  </si>
  <si>
    <t xml:space="preserve">9786558823988</t>
  </si>
  <si>
    <t xml:space="preserve">PREVENCAO E INTERVENCAO NO CICLO VITAL</t>
  </si>
  <si>
    <t xml:space="preserve">9786558824046</t>
  </si>
  <si>
    <t xml:space="preserve">PERFECCIONISMO E SAUDE</t>
  </si>
  <si>
    <t xml:space="preserve">9786558824060</t>
  </si>
  <si>
    <t xml:space="preserve">O LUTO NA PERSPECTIVA DAS TER.COG.-COMPORTAMENTAIS</t>
  </si>
  <si>
    <t xml:space="preserve">9786558824145</t>
  </si>
  <si>
    <t xml:space="preserve">TRABALHANDO C/ PAIS NA PSICOTERAPIA INFANTOJUVENIL</t>
  </si>
  <si>
    <t xml:space="preserve">9786558824206</t>
  </si>
  <si>
    <t xml:space="preserve">ARTE E ANALISE DO COMPORTAMENTO</t>
  </si>
  <si>
    <t xml:space="preserve">9786558824244</t>
  </si>
  <si>
    <t xml:space="preserve">PENSAMENTO VISUAL</t>
  </si>
  <si>
    <t xml:space="preserve">9786558824268</t>
  </si>
  <si>
    <t xml:space="preserve">ATIVACAO COMPORTAMENTAL</t>
  </si>
  <si>
    <t xml:space="preserve">9786558824367</t>
  </si>
  <si>
    <t xml:space="preserve">VIVENDO BEM COM TDAH ADULTO</t>
  </si>
  <si>
    <t xml:space="preserve">9786558824503</t>
  </si>
  <si>
    <t xml:space="preserve">NEM FREUD, NEM SKINNER</t>
  </si>
  <si>
    <t xml:space="preserve">Estoque na caixa</t>
  </si>
  <si>
    <t xml:space="preserve">Separar p/ CBP</t>
  </si>
  <si>
    <t xml:space="preserve">Separar p/ CBTBE</t>
  </si>
  <si>
    <t xml:space="preserve">Volta p/ estoque</t>
  </si>
  <si>
    <t xml:space="preserve">Título</t>
  </si>
  <si>
    <t xml:space="preserve">Autor</t>
  </si>
  <si>
    <t xml:space="preserve">Evento</t>
  </si>
  <si>
    <t xml:space="preserve">Qtd pedido</t>
  </si>
  <si>
    <t xml:space="preserve">Sai da sobra</t>
  </si>
  <si>
    <t xml:space="preserve">Saldo a enviar do estoque</t>
  </si>
  <si>
    <t xml:space="preserve">% atendido</t>
  </si>
  <si>
    <t xml:space="preserve">Checagem</t>
  </si>
  <si>
    <t xml:space="preserve">GOBBI, ANDERSON</t>
  </si>
  <si>
    <t xml:space="preserve">ROZA, THIAGO HENRIQUE</t>
  </si>
  <si>
    <t xml:space="preserve">BOTEGA, NEURY JOSE</t>
  </si>
  <si>
    <t xml:space="preserve">9786558824428</t>
  </si>
  <si>
    <t xml:space="preserve">TRANSTORNO BIPOLAR - UM GUIA CLIN. BAS. EM EVIDENC</t>
  </si>
  <si>
    <t xml:space="preserve">PASSOS, IVES CAVALCANTE</t>
  </si>
  <si>
    <t xml:space="preserve">RIESGO, RUDIMAR DOS SANTOS</t>
  </si>
  <si>
    <t xml:space="preserve">SORDI, ANNE ORGLER</t>
  </si>
  <si>
    <t xml:space="preserve">HILT, ROBERT J.</t>
  </si>
  <si>
    <t xml:space="preserve">AMERICAN PSYCHIATRIC ASSOCIATION</t>
  </si>
  <si>
    <t xml:space="preserve">9786558820338</t>
  </si>
  <si>
    <t xml:space="preserve">TRATADO DE PSIQUIATRIA DA ASSOC. BRAS. PSIQUIATRIA</t>
  </si>
  <si>
    <t xml:space="preserve">NARDI, ANTONIO E.</t>
  </si>
  <si>
    <t xml:space="preserve">SILVA, ANTONIO GERALDO</t>
  </si>
  <si>
    <t xml:space="preserve">9786558821366</t>
  </si>
  <si>
    <t xml:space="preserve">PSICOFARMACOS CONSULTA RAPIDA 6ED.</t>
  </si>
  <si>
    <t xml:space="preserve">CORDIOLI, ARISTIDES V.</t>
  </si>
  <si>
    <t xml:space="preserve">DEL PORTO, JOSE ALBERTO</t>
  </si>
  <si>
    <t xml:space="preserve">ROHDE, LUIS A.</t>
  </si>
  <si>
    <t xml:space="preserve">9788582715840</t>
  </si>
  <si>
    <t xml:space="preserve">TRANSTORNOS DA PERSONALIDADE 2ED.</t>
  </si>
  <si>
    <t xml:space="preserve">LOUZA, MARIO R.</t>
  </si>
  <si>
    <t xml:space="preserve">DSM - 5</t>
  </si>
  <si>
    <t xml:space="preserve">CANTILINO, AMAURY</t>
  </si>
  <si>
    <t xml:space="preserve">DALGALARRONDO, PAULO</t>
  </si>
  <si>
    <t xml:space="preserve">9786558822134</t>
  </si>
  <si>
    <t xml:space="preserve">TRANSTORNO BIPOLAR NO CICLO DA VIDA</t>
  </si>
  <si>
    <t xml:space="preserve">CAIXETA, LEONARDO</t>
  </si>
  <si>
    <t xml:space="preserve">9786558820871</t>
  </si>
  <si>
    <t xml:space="preserve">MEDICINA DO SONO</t>
  </si>
  <si>
    <t xml:space="preserve">TAVARES, ALMIR</t>
  </si>
  <si>
    <t xml:space="preserve">9786558823575</t>
  </si>
  <si>
    <t xml:space="preserve">REALIDADE VIRTUAL NA SAUDE MENTAL</t>
  </si>
  <si>
    <t xml:space="preserve">GONCALVES, LUCIO LAGE</t>
  </si>
  <si>
    <t xml:space="preserve">BARNHILL, JOHN W.</t>
  </si>
  <si>
    <t xml:space="preserve">9786558820468</t>
  </si>
  <si>
    <t xml:space="preserve">INTRODUCAO A AVALIACAO PSIQUIATRICA</t>
  </si>
  <si>
    <t xml:space="preserve">ODA, ANA MARIA G. R.</t>
  </si>
  <si>
    <t xml:space="preserve">9786558823124</t>
  </si>
  <si>
    <t xml:space="preserve">PSICOFARMACOLOGIA DA TEORIA A CLINICA</t>
  </si>
  <si>
    <t xml:space="preserve">JUNQUEIRA, LUIZ HENRIQUE</t>
  </si>
  <si>
    <t xml:space="preserve">9786558822271</t>
  </si>
  <si>
    <t xml:space="preserve">MANUAL DE FARMACOLOGIA PSIQUIATRICA DE KAPLAN 8ED.</t>
  </si>
  <si>
    <t xml:space="preserve">AHMAD, SAMOON</t>
  </si>
  <si>
    <t xml:space="preserve">MILLER, WILLIAM R.</t>
  </si>
  <si>
    <t xml:space="preserve">ZIMERMAN, DAVID E.</t>
  </si>
  <si>
    <t xml:space="preserve">TOLIN, DAVID F.</t>
  </si>
  <si>
    <t xml:space="preserve">BOONE, MATTHEW S.</t>
  </si>
  <si>
    <t xml:space="preserve">KUYKEN, WILLEM</t>
  </si>
  <si>
    <t xml:space="preserve">GREENBERG, LESLIE S.</t>
  </si>
  <si>
    <t xml:space="preserve">GRANDIN, TEMPLE</t>
  </si>
  <si>
    <t xml:space="preserve">MELO, WILSON VIEIRA</t>
  </si>
  <si>
    <t xml:space="preserve">9788582714584</t>
  </si>
  <si>
    <t xml:space="preserve">CONDUTAS EM PSIQUIATRIA 2ED. - CONSULTA RAPIDA</t>
  </si>
  <si>
    <t xml:space="preserve">MORENO, RICARDO A.</t>
  </si>
  <si>
    <t xml:space="preserve">MIKLOWITZ, DAVID J.</t>
  </si>
  <si>
    <t xml:space="preserve">9788582715963</t>
  </si>
  <si>
    <t xml:space="preserve">EMERGENCIAS PSIQUIATRICAS 4ED.</t>
  </si>
  <si>
    <t xml:space="preserve">QUEVEDO, JOAO</t>
  </si>
  <si>
    <t xml:space="preserve">SERRALTA, FERNANDA BARCELLOS</t>
  </si>
  <si>
    <t xml:space="preserve">ORNELAS, ANA CLAUDIA</t>
  </si>
  <si>
    <t xml:space="preserve">COOPER, JOHN O.</t>
  </si>
  <si>
    <t xml:space="preserve">HEMANNY, CURT</t>
  </si>
  <si>
    <t xml:space="preserve">COMTOIS, KATHERINE ANNE</t>
  </si>
  <si>
    <t xml:space="preserve">RONEN, GALIA TYANO</t>
  </si>
  <si>
    <t xml:space="preserve">PAIM, KELLY</t>
  </si>
  <si>
    <t xml:space="preserve">BROERING. CAMILLA VOLPATO</t>
  </si>
  <si>
    <t xml:space="preserve">AGUIAR, KYARA RODRIGUES DE</t>
  </si>
  <si>
    <t xml:space="preserve">ALVES, MARCELA MANSUR</t>
  </si>
  <si>
    <t xml:space="preserve">EHRENREICH-MAY, JILL</t>
  </si>
  <si>
    <t xml:space="preserve">MUNOZ-MARTINEZ AMANDA</t>
  </si>
  <si>
    <t xml:space="preserve">9786558824305</t>
  </si>
  <si>
    <t xml:space="preserve">REGULACAO EMOCIONAL</t>
  </si>
  <si>
    <t xml:space="preserve">CAMINHA, RENATO M.</t>
  </si>
  <si>
    <t xml:space="preserve">FAVA, DEBORA</t>
  </si>
  <si>
    <t xml:space="preserve">LINEHAN, MARSHA M.</t>
  </si>
  <si>
    <t xml:space="preserve">BRINEN, AARON P.</t>
  </si>
  <si>
    <t xml:space="preserve">KNOUSE, LAURA E.</t>
  </si>
  <si>
    <t xml:space="preserve">BARKLEY, RUSSELL A.</t>
  </si>
  <si>
    <t xml:space="preserve">LEAHY, ROBERT L.</t>
  </si>
  <si>
    <t xml:space="preserve">9786558821755</t>
  </si>
  <si>
    <t xml:space="preserve">PSIQUIATRIA INTERVENCIONISTA</t>
  </si>
  <si>
    <t xml:space="preserve">BRUNONI, ANDRE RUSSOWSKY</t>
  </si>
  <si>
    <t xml:space="preserve">EL RAFIHI-FERREIRA, RENATHA</t>
  </si>
  <si>
    <t xml:space="preserve">KRESS, CHRISTINA</t>
  </si>
  <si>
    <t xml:space="preserve">9788582715291</t>
  </si>
  <si>
    <t xml:space="preserve">FUNDAMENTOS DE PSICOFARMACOLOGIA DE STAHL 6ED.</t>
  </si>
  <si>
    <t xml:space="preserve">STAHL, STEPHEN M.</t>
  </si>
  <si>
    <t xml:space="preserve">BERNIER, RAPHAEL A.</t>
  </si>
  <si>
    <t xml:space="preserve">ALL, SHERRIE D.</t>
  </si>
  <si>
    <t xml:space="preserve">BLACK, TAMAR D.</t>
  </si>
  <si>
    <t xml:space="preserve">MOREIRA, MARCIO B.</t>
  </si>
  <si>
    <t xml:space="preserve">9786558820314</t>
  </si>
  <si>
    <t xml:space="preserve">TRANSTORNOS ALIMENTARES DIAGNOSTICO E MANEJO</t>
  </si>
  <si>
    <t xml:space="preserve">APPOLINARIO, JOSE C.</t>
  </si>
  <si>
    <t xml:space="preserve">MORENO, ANDRE LUIZ</t>
  </si>
  <si>
    <t xml:space="preserve">9788582713747</t>
  </si>
  <si>
    <t xml:space="preserve">HISTORIA DA MELANCOLIA</t>
  </si>
  <si>
    <t xml:space="preserve">CORDAS, TAKI A.</t>
  </si>
  <si>
    <t xml:space="preserve">WILLIAMS, MARK</t>
  </si>
  <si>
    <t xml:space="preserve">BACH, BO</t>
  </si>
  <si>
    <t xml:space="preserve">DIEHL, ALESSANDRA</t>
  </si>
  <si>
    <t xml:space="preserve">JOHNSON, SUSAN</t>
  </si>
  <si>
    <t xml:space="preserve">NEFF, KRISTIN</t>
  </si>
  <si>
    <t xml:space="preserve">9786558821014</t>
  </si>
  <si>
    <t xml:space="preserve">AVANCOS EM PSICOPATOLOGIA</t>
  </si>
  <si>
    <t xml:space="preserve">OLIVEIRA, SERGIO EDUARDO SILVA DE</t>
  </si>
  <si>
    <t xml:space="preserve">9786558822844</t>
  </si>
  <si>
    <t xml:space="preserve">MANUAL DE DIAG. DIFERENCIAL DO DSM-5-TR 5ED.</t>
  </si>
  <si>
    <t xml:space="preserve">FIRST, MICHAEL B.</t>
  </si>
  <si>
    <t xml:space="preserve">TORRES, ALBINA R.</t>
  </si>
  <si>
    <t xml:space="preserve">9788582715864</t>
  </si>
  <si>
    <t xml:space="preserve">NEUROBIOLOGIA DOS TRANSTORNOS PSIQUIATRICOS</t>
  </si>
  <si>
    <t xml:space="preserve">9786558820857</t>
  </si>
  <si>
    <t xml:space="preserve">PSICOGERIATRIA DIAGNOSTICO E MANEJO</t>
  </si>
  <si>
    <t xml:space="preserve">ALVES, GILBERTO SOUSA</t>
  </si>
  <si>
    <t xml:space="preserve">9788582715093</t>
  </si>
  <si>
    <t xml:space="preserve">A ARTE DE TRATAR - POR UMA PSICANALISE ESTETICA</t>
  </si>
  <si>
    <t xml:space="preserve">GUTFREIND, CELSO</t>
  </si>
  <si>
    <t xml:space="preserve">ABREU, CRISTIANO N.</t>
  </si>
  <si>
    <t xml:space="preserve">TATKIN, STAN</t>
  </si>
  <si>
    <t xml:space="preserve">9788582714560</t>
  </si>
  <si>
    <t xml:space="preserve">ALEM DO CONSULTORIO - COMO A PSIQUIATRIA NOS AJUDA</t>
  </si>
  <si>
    <t xml:space="preserve">BARROS, DANIEL MARTINS</t>
  </si>
  <si>
    <t xml:space="preserve">HOFMANN, STEFAN G.</t>
  </si>
  <si>
    <t xml:space="preserve">FAIRBURN, CHRISTOPHER G.</t>
  </si>
  <si>
    <t xml:space="preserve">SIEGEL, RONALD D.</t>
  </si>
  <si>
    <t xml:space="preserve">HAYES, LOUISE L.</t>
  </si>
  <si>
    <t xml:space="preserve">9788536320946</t>
  </si>
  <si>
    <t xml:space="preserve">HOMENS MAUS FAZEM O QUE HOMENS BONS SONHAM</t>
  </si>
  <si>
    <t xml:space="preserve">SIMON, ROBERT I.</t>
  </si>
  <si>
    <t xml:space="preserve">9788582715512</t>
  </si>
  <si>
    <t xml:space="preserve">PERSONAGENS OU PACIENTES? 2</t>
  </si>
  <si>
    <t xml:space="preserve">9788582713785</t>
  </si>
  <si>
    <t xml:space="preserve">COMPENDIO DE PSIQUIATRIA 11ED.</t>
  </si>
  <si>
    <t xml:space="preserve">SADOCK, BENJAMIN</t>
  </si>
  <si>
    <t xml:space="preserve">REED, GEOFFREY</t>
  </si>
  <si>
    <t xml:space="preserve">DIJK, SHERI VAN</t>
  </si>
  <si>
    <t xml:space="preserve">9788582715277</t>
  </si>
  <si>
    <t xml:space="preserve">PSICOTERAPIAS ABORDAGENS ATUAIS 4ED.</t>
  </si>
  <si>
    <t xml:space="preserve">NEIMEYER, ROBERT A.</t>
  </si>
  <si>
    <t xml:space="preserve">9786558821656</t>
  </si>
  <si>
    <t xml:space="preserve">TRANSTORNOS DO HUMOR NA INFANCIA E ADOLESCENCIA</t>
  </si>
  <si>
    <t xml:space="preserve">FU-I, LEE</t>
  </si>
  <si>
    <t xml:space="preserve">9786558822158</t>
  </si>
  <si>
    <t xml:space="preserve">TEORIAS DA PERSONALIDADE 10ED.</t>
  </si>
  <si>
    <t xml:space="preserve">FEIST, JESS &amp; GREGORY</t>
  </si>
  <si>
    <t xml:space="preserve">9788582714911</t>
  </si>
  <si>
    <t xml:space="preserve">MEMORIA 3ED.</t>
  </si>
  <si>
    <t xml:space="preserve">IZQUIERDO, IVAN</t>
  </si>
  <si>
    <t xml:space="preserve">9786558820543</t>
  </si>
  <si>
    <t xml:space="preserve">SUA HISTORIA DE AMOR</t>
  </si>
  <si>
    <t xml:space="preserve">9786558820956</t>
  </si>
  <si>
    <t xml:space="preserve">ALCOOLISMO HOJE 4ED.</t>
  </si>
  <si>
    <t xml:space="preserve">MARQUES, ANA CECILIA</t>
  </si>
  <si>
    <t xml:space="preserve">9788582711507</t>
  </si>
  <si>
    <t xml:space="preserve">FUNDAMENTOS DO DIAGNOSTICO PSIQUIATRICO</t>
  </si>
  <si>
    <t xml:space="preserve">FRANCES, ALLEN</t>
  </si>
  <si>
    <t xml:space="preserve">RICH, MICHAEL</t>
  </si>
  <si>
    <t xml:space="preserve">9786558821557</t>
  </si>
  <si>
    <t xml:space="preserve">TERAPIA COG.- COMP. P/ TRANST. POR USO SUBSTANCIAS</t>
  </si>
  <si>
    <t xml:space="preserve">BECK, AARON</t>
  </si>
  <si>
    <t xml:space="preserve">BOLLAS, CHRISTOPHER</t>
  </si>
  <si>
    <t xml:space="preserve">9786581335373</t>
  </si>
  <si>
    <t xml:space="preserve">ESQUIZOFRENIA  2ED.</t>
  </si>
  <si>
    <t xml:space="preserve">GADELHA, ARY</t>
  </si>
  <si>
    <t xml:space="preserve">9786558821618</t>
  </si>
  <si>
    <t xml:space="preserve">PSIQUIATRIA DIGITAL</t>
  </si>
  <si>
    <t xml:space="preserve">LIPP, MARILDA NOVAES</t>
  </si>
  <si>
    <t xml:space="preserve">9786558821632</t>
  </si>
  <si>
    <t xml:space="preserve">INSTRUMENTOS DE AVALIACAO EM SAUDE MENTAL 2ED.</t>
  </si>
  <si>
    <t xml:space="preserve">GORENSTEIN, CLARICE</t>
  </si>
  <si>
    <t xml:space="preserve">MORRISON, JAMES</t>
  </si>
  <si>
    <t xml:space="preserve">HUEBNER, DAWN</t>
  </si>
  <si>
    <t xml:space="preserve">9788582711040</t>
  </si>
  <si>
    <t xml:space="preserve">SAUDE MENTAL NA ESCOLA</t>
  </si>
  <si>
    <t xml:space="preserve">ESTANISLAU, GUSTAVO M.</t>
  </si>
  <si>
    <t xml:space="preserve">BOWLBY, JOHN</t>
  </si>
  <si>
    <t xml:space="preserve">9788582714836</t>
  </si>
  <si>
    <t xml:space="preserve">DEPENDENCIA QUIMICA:PREV., TRAT. E POLITICAS 2ED.</t>
  </si>
  <si>
    <t xml:space="preserve">9786558823148</t>
  </si>
  <si>
    <t xml:space="preserve">PSICOLOGIA MEDICA APLICADA</t>
  </si>
  <si>
    <t xml:space="preserve">BASSOLS, ANA MARGARETH SIQUEIRA</t>
  </si>
  <si>
    <t xml:space="preserve">9786558822738</t>
  </si>
  <si>
    <t xml:space="preserve">DEPRESSAO E ANSIEDADE EM JOVENS</t>
  </si>
  <si>
    <t xml:space="preserve">CHU, BRIAN C.</t>
  </si>
  <si>
    <t xml:space="preserve">9788536323985</t>
  </si>
  <si>
    <t xml:space="preserve">PSICOPATOLOGIA DA INFANCIA E DA ADOLESCENCIA</t>
  </si>
  <si>
    <t xml:space="preserve">DUMAS, JEAN E.</t>
  </si>
  <si>
    <t xml:space="preserve">WALTMAN, SCOTT H.</t>
  </si>
  <si>
    <t xml:space="preserve">CARDOSO, BRUNO LUIZ AVELINO</t>
  </si>
  <si>
    <t xml:space="preserve">YOUNG, JEFFREY E.</t>
  </si>
  <si>
    <t xml:space="preserve">9788582714287</t>
  </si>
  <si>
    <t xml:space="preserve">A SABEDORIA DA RECUPERACAO</t>
  </si>
  <si>
    <t xml:space="preserve">LARANJEIRA, RONALDO</t>
  </si>
  <si>
    <t xml:space="preserve">9788582715901</t>
  </si>
  <si>
    <t xml:space="preserve">PRATICA PSIQUIATRICA EM ONCOLOGIA</t>
  </si>
  <si>
    <t xml:space="preserve">9788565852128</t>
  </si>
  <si>
    <t xml:space="preserve">TREINAMENTO DE ATENCAO E MEMORIA NA ESQUIZOFRENIA</t>
  </si>
  <si>
    <t xml:space="preserve">PONTES &amp; ELKIS</t>
  </si>
  <si>
    <t xml:space="preserve">9788582712269</t>
  </si>
  <si>
    <t xml:space="preserve">A ANATOMIA DA VIOLENCIA</t>
  </si>
  <si>
    <t xml:space="preserve">RAINE, ADRIAN</t>
  </si>
  <si>
    <t xml:space="preserve">9788582714386</t>
  </si>
  <si>
    <t xml:space="preserve">A ENTREVISTA PSIQUIATRICA NA PRATICA CLINICA 3ED.</t>
  </si>
  <si>
    <t xml:space="preserve">MACKINNON, ROGER A.</t>
  </si>
  <si>
    <t xml:space="preserve">GREENBERGER, DENNIS</t>
  </si>
  <si>
    <t xml:space="preserve">9788582713686</t>
  </si>
  <si>
    <t xml:space="preserve">CASOS DE SUPERACAO EM ESQUIZOFRENIA</t>
  </si>
  <si>
    <t xml:space="preserve">BRESSAN, RODRIGO AFFONSECA</t>
  </si>
  <si>
    <t xml:space="preserve">9788582713570</t>
  </si>
  <si>
    <t xml:space="preserve">MANUAL DE PSICOFARMACOLOGIA CLINICA 8ED.</t>
  </si>
  <si>
    <t xml:space="preserve">SCHATZBERG, ALAN F.</t>
  </si>
  <si>
    <t xml:space="preserve">9788582713723</t>
  </si>
  <si>
    <t xml:space="preserve">NEUROPROGRESSAO E ESTAD. NO TRANSTORNO BIPOLAR</t>
  </si>
  <si>
    <t xml:space="preserve">KAPCZINSKI, FLAVIO</t>
  </si>
  <si>
    <t xml:space="preserve">9788582715116</t>
  </si>
  <si>
    <t xml:space="preserve">O TRATAMENTO DA DEPENDENCIA QUIMICA 2ED.</t>
  </si>
  <si>
    <t xml:space="preserve">ZANELATTO, NEIDE A.</t>
  </si>
  <si>
    <t xml:space="preserve">9788582711484</t>
  </si>
  <si>
    <t xml:space="preserve">PSICOTERAPIA DE ORIENTACAO ANALITICA 3ED.</t>
  </si>
  <si>
    <t xml:space="preserve">EIZIRIK, CLAUDIO L.</t>
  </si>
  <si>
    <t xml:space="preserve">STRAUB, RICHARD O.</t>
  </si>
  <si>
    <t xml:space="preserve">DE-FARIAS, ANA KARINA C. R.</t>
  </si>
  <si>
    <t xml:space="preserve">CALDWELL, LESLEY</t>
  </si>
  <si>
    <t xml:space="preserve">LEONARDI, JAN LUIZ</t>
  </si>
  <si>
    <t xml:space="preserve">BARLOW, DAVID H.</t>
  </si>
  <si>
    <t xml:space="preserve">9788582714775</t>
  </si>
  <si>
    <t xml:space="preserve">AVALIACAO NEUROPSICOLOGICA 2ED.</t>
  </si>
  <si>
    <t xml:space="preserve">MALLOY-DINIZ, LEANDRO F.</t>
  </si>
  <si>
    <t xml:space="preserve">9788582712900</t>
  </si>
  <si>
    <t xml:space="preserve">NEUROPSICOLOGIA APLICACOES CLINICAS</t>
  </si>
  <si>
    <t xml:space="preserve">9788582715314</t>
  </si>
  <si>
    <t xml:space="preserve">DEPENDENCIA DE INTERNET EM CRIANCAS E ADOLESCENTES</t>
  </si>
  <si>
    <t xml:space="preserve">YOUNG, KIMBERLY S.</t>
  </si>
  <si>
    <t xml:space="preserve">9788565852937</t>
  </si>
  <si>
    <t xml:space="preserve">DIAGNOSTICO PSICANALITICO 2ED.</t>
  </si>
  <si>
    <t xml:space="preserve">MCWILLIAMS, NANCY</t>
  </si>
  <si>
    <t xml:space="preserve">PADESKY, CHRISTINE A.</t>
  </si>
  <si>
    <t xml:space="preserve">9786558821090</t>
  </si>
  <si>
    <t xml:space="preserve">INTELIGENCIA ARTIFICIAL X HUMANOS</t>
  </si>
  <si>
    <t xml:space="preserve">EYSENCK, MICHAEL W.</t>
  </si>
  <si>
    <t xml:space="preserve">9788536326955</t>
  </si>
  <si>
    <t xml:space="preserve">LUDODIAGNOSTICO:INVESTIGACAO CLIN. ATR. DO BRINQUE</t>
  </si>
  <si>
    <t xml:space="preserve">AFFONSO, ROSA M.L.</t>
  </si>
  <si>
    <t xml:space="preserve">9788536324289</t>
  </si>
  <si>
    <t xml:space="preserve">PENSE MAGRO POR TODA A VIDA</t>
  </si>
  <si>
    <t xml:space="preserve">BECK, JUDITH</t>
  </si>
  <si>
    <t xml:space="preserve">BRAGA, DANIELA TUSI</t>
  </si>
  <si>
    <t xml:space="preserve">9788582713617</t>
  </si>
  <si>
    <t xml:space="preserve">VENCENDO O TRANSTORNO OBSESSIVO-COMPULSIVO 3ED.</t>
  </si>
  <si>
    <t xml:space="preserve">9786558823100</t>
  </si>
  <si>
    <t xml:space="preserve">8 CAMINHOS PARA A ESPERANCA</t>
  </si>
  <si>
    <t xml:space="preserve">BECKER, MICHELLE</t>
  </si>
  <si>
    <t xml:space="preserve">GOTTMAN, JULIE SCHWARTZ</t>
  </si>
  <si>
    <t xml:space="preserve">9786558823292</t>
  </si>
  <si>
    <t xml:space="preserve">MANUAL DE ANALISE DO COMPORTAMENTO APLICADA 2ED</t>
  </si>
  <si>
    <t xml:space="preserve">FISHER, WAYNE</t>
  </si>
  <si>
    <t xml:space="preserve">9786558821229</t>
  </si>
  <si>
    <t xml:space="preserve">POR QUE NAO SOMOS RACIONAIS 2ED.</t>
  </si>
  <si>
    <t xml:space="preserve">COSENZA, RAMON M.</t>
  </si>
  <si>
    <t xml:space="preserve">TOMPKINS, MICHAEL A.</t>
  </si>
  <si>
    <t xml:space="preserve">9788536319360</t>
  </si>
  <si>
    <t xml:space="preserve">CRIANCAS E ADOLESCENTES EM PSICOTERAPIA</t>
  </si>
  <si>
    <t xml:space="preserve">CASTRO, MARIA DA GRACA K.</t>
  </si>
  <si>
    <t xml:space="preserve">EELLS, TRACY D.</t>
  </si>
  <si>
    <t xml:space="preserve">9788582712436</t>
  </si>
  <si>
    <t xml:space="preserve">MINDFULNESS E PSICOTERAPIA 2ED.</t>
  </si>
  <si>
    <t xml:space="preserve">GERMER, CHRISTOPHER K.</t>
  </si>
  <si>
    <t xml:space="preserve">9788582715499</t>
  </si>
  <si>
    <t xml:space="preserve">PSICOTERAPIA POSITIVA: MANUAL DO TERAPEUTA</t>
  </si>
  <si>
    <t xml:space="preserve">RASHID, TAYYAB</t>
  </si>
  <si>
    <t xml:space="preserve">9788536325736</t>
  </si>
  <si>
    <t xml:space="preserve">PSICOTERAPIAS COGNITIVO-COMPORTAMENTAIS 2ED.</t>
  </si>
  <si>
    <t xml:space="preserve">RANGE, BERNARD</t>
  </si>
  <si>
    <t xml:space="preserve">BRYAN, CRAIG J.</t>
  </si>
  <si>
    <t xml:space="preserve">9788536323466</t>
  </si>
  <si>
    <t xml:space="preserve">TERAPIA COG.-COMP. PARA PACIENTES SUICIDAS</t>
  </si>
  <si>
    <t xml:space="preserve">WENZEL, AMY</t>
  </si>
  <si>
    <t xml:space="preserve">9788573079685</t>
  </si>
  <si>
    <t xml:space="preserve">TERAPIA COGNITIVA P/ TRANSTORNOS DA PERSONALIDADE</t>
  </si>
  <si>
    <t xml:space="preserve">CLARK, DAVID A.</t>
  </si>
  <si>
    <t xml:space="preserve">RESICK, PATRICIA A.</t>
  </si>
  <si>
    <t xml:space="preserve">9786558822516</t>
  </si>
  <si>
    <t xml:space="preserve">VENCENDO O TRANST. DE ESTRESSE POS-TRAUMATICO</t>
  </si>
  <si>
    <t xml:space="preserve">9788536324531</t>
  </si>
  <si>
    <t xml:space="preserve">VIOLENCIA SEXUAL CONTRA CRIANCAS E ADOLESCENTES</t>
  </si>
  <si>
    <t xml:space="preserve">AZAMBUJA, MARIA R.</t>
  </si>
  <si>
    <t xml:space="preserve">FRIEDBERG, ROBERT D.</t>
  </si>
  <si>
    <t xml:space="preserve">KRISTENSEN, ALINE DUARTE</t>
  </si>
  <si>
    <t xml:space="preserve">9788582715949</t>
  </si>
  <si>
    <t xml:space="preserve">AVALIACAO PSICOLOGICA NO CONTEXTO FORENSE</t>
  </si>
  <si>
    <t xml:space="preserve">HUTZ, CLAUDIO S.</t>
  </si>
  <si>
    <t xml:space="preserve">9788536326481</t>
  </si>
  <si>
    <t xml:space="preserve">CLINICA ANALITICO-COMPORTAMENTAL</t>
  </si>
  <si>
    <t xml:space="preserve">BORGES, NICODEMOS B.</t>
  </si>
  <si>
    <t xml:space="preserve">9788536320991</t>
  </si>
  <si>
    <t xml:space="preserve">ENTREVISTA INICIAL EM SAUDE MENTAL</t>
  </si>
  <si>
    <t xml:space="preserve">9786558821267</t>
  </si>
  <si>
    <t xml:space="preserve">EXPERIMENTANDO A TER. COG-COMP. DE DENTRO P/ FORA</t>
  </si>
  <si>
    <t xml:space="preserve">BENNETT-LEVY, JAMES</t>
  </si>
  <si>
    <t xml:space="preserve">KOLTS, RUSSELL L.</t>
  </si>
  <si>
    <t xml:space="preserve">9786558820079</t>
  </si>
  <si>
    <t xml:space="preserve">GUIA DE TERAPIA COG.-COMP.  PARA O TERAPEUTA 2ED.</t>
  </si>
  <si>
    <t xml:space="preserve">9788536302828</t>
  </si>
  <si>
    <t xml:space="preserve">MANUAL DE TECNICA PSICANALITICA</t>
  </si>
  <si>
    <t xml:space="preserve">9788522126835</t>
  </si>
  <si>
    <t xml:space="preserve">MODIFICACAO DO COMP. - TEORIA E PRATICA  TRAD. 6ED</t>
  </si>
  <si>
    <t xml:space="preserve">MILTENBERGER, RAYMOND G.</t>
  </si>
  <si>
    <t xml:space="preserve">8573077220</t>
  </si>
  <si>
    <t xml:space="preserve">PSICODIAGNOSTICO-V</t>
  </si>
  <si>
    <t xml:space="preserve">CUNHA, JUREMA A.</t>
  </si>
  <si>
    <t xml:space="preserve">SNYDER, DOUGLAS K.</t>
  </si>
  <si>
    <t xml:space="preserve">9788582714720</t>
  </si>
  <si>
    <t xml:space="preserve">TEORIA E FORM. DE CASOS EM ANAL. COMP. CLINICA</t>
  </si>
  <si>
    <t xml:space="preserve">HAYES, STEVEN C.</t>
  </si>
  <si>
    <t xml:space="preserve">9788536325897</t>
  </si>
  <si>
    <t xml:space="preserve">TERAPIA COGNITIVA PARA OS TRANSTORNOS DE ANSIEDADE</t>
  </si>
  <si>
    <t xml:space="preserve">9786558822295</t>
  </si>
  <si>
    <t xml:space="preserve">VENCENDO A ANSIEDADE E A FOBIA 7ED. - GUIA PRATICO</t>
  </si>
  <si>
    <t xml:space="preserve">BOURNE, EDMUND J.</t>
  </si>
  <si>
    <t xml:space="preserve">9788580556292</t>
  </si>
  <si>
    <t xml:space="preserve">O MUNDO DA CRIANCA 13ED.</t>
  </si>
  <si>
    <t xml:space="preserve">MARTORELL, GABRIELLA</t>
  </si>
  <si>
    <t xml:space="preserve">9788582713495</t>
  </si>
  <si>
    <t xml:space="preserve">POR QUE O AMOR E IMPORTANTE 2ED.</t>
  </si>
  <si>
    <t xml:space="preserve">GERHARDT, SUE</t>
  </si>
  <si>
    <t xml:space="preserve">FARRELL, JOAN M.</t>
  </si>
  <si>
    <t xml:space="preserve">9786558821038</t>
  </si>
  <si>
    <t xml:space="preserve">METODOS CRIATIVOS NA TERAPIA DO ESQUEMA</t>
  </si>
  <si>
    <t xml:space="preserve">HEATH, GILLIAN</t>
  </si>
  <si>
    <t xml:space="preserve">9786558040125</t>
  </si>
  <si>
    <t xml:space="preserve">DESENVOLVIMENTO HUMANO 14ED.</t>
  </si>
  <si>
    <t xml:space="preserve">PAPALIA, DAINE</t>
  </si>
  <si>
    <t xml:space="preserve">DATTILIO, FRANK M.</t>
  </si>
  <si>
    <t xml:space="preserve">9788582710555</t>
  </si>
  <si>
    <t xml:space="preserve">NEUROPSICOLOGIA TEORIA E PRATICA 2ED.</t>
  </si>
  <si>
    <t xml:space="preserve">FUENTES, DANIEL</t>
  </si>
  <si>
    <t xml:space="preserve">9786558822417</t>
  </si>
  <si>
    <t xml:space="preserve">O ELOGIO AO COMECO O BEBE, A CRIANCA E A APRENDIZA</t>
  </si>
  <si>
    <t xml:space="preserve">9786555584042</t>
  </si>
  <si>
    <t xml:space="preserve">PSICOLOGIA BIOLOGICA</t>
  </si>
  <si>
    <t xml:space="preserve">KALAT, JAMES W.</t>
  </si>
  <si>
    <t xml:space="preserve">GILBERT, PAUL</t>
  </si>
  <si>
    <t xml:space="preserve">9786558820307</t>
  </si>
  <si>
    <t xml:space="preserve">A NOVA INFANCIA EM ANALISE</t>
  </si>
  <si>
    <t xml:space="preserve">9786558820611</t>
  </si>
  <si>
    <t xml:space="preserve">ANALISE DO COMP. APLIC. NA ATENCAO PRIMARIA</t>
  </si>
  <si>
    <t xml:space="preserve">TIRCH, DENNIS</t>
  </si>
  <si>
    <t xml:space="preserve">9788536316314</t>
  </si>
  <si>
    <t xml:space="preserve">O QUE FAZER QUANDO VOCE NAO CONSEGUE DORMIR</t>
  </si>
  <si>
    <t xml:space="preserve">WAINER, RICARDO</t>
  </si>
  <si>
    <t xml:space="preserve">SWENSON, CHARLES R.</t>
  </si>
  <si>
    <t xml:space="preserve">9786559760572</t>
  </si>
  <si>
    <t xml:space="preserve">VOCE SABE ESTUDAR? 2ED.</t>
  </si>
  <si>
    <t xml:space="preserve">CASTRO, CLAUDIO DE M.</t>
  </si>
  <si>
    <t xml:space="preserve">9788536317021</t>
  </si>
  <si>
    <t xml:space="preserve">ENTREVISTA MOTIVACIONAL NO CUIDADO DA SAUDE</t>
  </si>
  <si>
    <t xml:space="preserve">ROLLNICK, STEPHEN</t>
  </si>
  <si>
    <t xml:space="preserve">9788582712351</t>
  </si>
  <si>
    <t xml:space="preserve">PSICOMETRIA</t>
  </si>
  <si>
    <t xml:space="preserve">9788536325484</t>
  </si>
  <si>
    <t xml:space="preserve">NEUROCIENCIA E EDUCACAO: COMO O CEREBRO APRENDE</t>
  </si>
  <si>
    <t xml:space="preserve">NEUFELD, CARMEM BEATRIZ</t>
  </si>
  <si>
    <t xml:space="preserve">WRIGHT, JESSE H.</t>
  </si>
  <si>
    <t xml:space="preserve">McClure JESSICA</t>
  </si>
  <si>
    <t xml:space="preserve">9788522127955</t>
  </si>
  <si>
    <t xml:space="preserve">HISTORIA DA PSICOLOGIA MODERNA 4ED. TRAD.11ED.</t>
  </si>
  <si>
    <t xml:space="preserve">SCHULTZ, DUANE P.</t>
  </si>
  <si>
    <t xml:space="preserve">9788580554885</t>
  </si>
  <si>
    <t xml:space="preserve">INTRODUCAO A PSICOLOGIA 10ED.</t>
  </si>
  <si>
    <t xml:space="preserve">FELDMAN, ROBERT S.</t>
  </si>
  <si>
    <t xml:space="preserve">9786555580037</t>
  </si>
  <si>
    <t xml:space="preserve">TEORIAS DA PERSONALIDADE TRAD. 11ED.</t>
  </si>
  <si>
    <t xml:space="preserve">SHANNON, JENNIFER</t>
  </si>
  <si>
    <t xml:space="preserve">9786558821571</t>
  </si>
  <si>
    <t xml:space="preserve">O QUE ACONTECE EM MINDFULNESS</t>
  </si>
  <si>
    <t xml:space="preserve">TEASDALE,  JOHN</t>
  </si>
  <si>
    <t xml:space="preserve">9786558822073</t>
  </si>
  <si>
    <t xml:space="preserve">GALAXIA (HA)BILIDADES (SO)CIAIS</t>
  </si>
  <si>
    <t xml:space="preserve">CABALLO, VICENTE E.</t>
  </si>
  <si>
    <t xml:space="preserve">9788536316345</t>
  </si>
  <si>
    <t xml:space="preserve">O QUE FAZER QUANDO VOCE SE IRRITA DEMAIS</t>
  </si>
  <si>
    <t xml:space="preserve">KELLY, PAIM</t>
  </si>
  <si>
    <t xml:space="preserve">9788536325637</t>
  </si>
  <si>
    <t xml:space="preserve">TERAPIAS COGNITIVO-COMP. P/ CRIANCAS E ADOLESC.</t>
  </si>
  <si>
    <t xml:space="preserve">PETERSEN, CIRCE S.</t>
  </si>
  <si>
    <t xml:space="preserve">9786559760473</t>
  </si>
  <si>
    <t xml:space="preserve">COMO APRENDEMOS? 3ED.</t>
  </si>
  <si>
    <t xml:space="preserve">MARTIN, HECTOR RUIZ</t>
  </si>
  <si>
    <t xml:space="preserve">Tipo</t>
  </si>
  <si>
    <t xml:space="preserve">Resto de caixa aberta</t>
  </si>
  <si>
    <t xml:space="preserve">Caixa fechada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</si>
</sst>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Caixas" displayName="tbCaixas" ref="A1:J329" headerRowCount="1" totalsRowCount="0" totalsRowShown="0">
  <autoFilter ref="A1:J329"/>
  <tableColumns count="10">
    <tableColumn id="1" name="Nº Caixa"/>
    <tableColumn id="2" name="Notas"/>
    <tableColumn id="3" name="Situação"/>
    <tableColumn id="4" name="Qtd títulos"/>
    <tableColumn id="5" name="Unidades"/>
    <tableColumn id="6" name="p/ CBP"/>
    <tableColumn id="7" name="p/ CBTBE"/>
    <tableColumn id="8" name="Devolução"/>
    <tableColumn id="9" name="Instrução"/>
    <tableColumn id="10" name="Complemento CBP (un)"/>
  </tableColumns>
</table>
</file>

<file path=xl/tables/table2.xml><?xml version="1.0" encoding="utf-8"?>
<table xmlns="http://schemas.openxmlformats.org/spreadsheetml/2006/main" id="2" name="tbComplemento" displayName="tbComplemento" ref="A1:E31" headerRowCount="1" totalsRowCount="0" totalsRowShown="0">
  <autoFilter ref="A1:E31"/>
  <tableColumns count="5">
    <tableColumn id="1" name="Ordem"/>
    <tableColumn id="2" name="Nº Caixa"/>
    <tableColumn id="3" name="Complemento desta caixa (un)"/>
    <tableColumn id="4" name="Complemento acumulado (un)"/>
    <tableColumn id="5" name="Caixas abertas evitadas (acum.)"/>
  </tableColumns>
</table>
</file>

<file path=xl/tables/table3.xml><?xml version="1.0" encoding="utf-8"?>
<table xmlns="http://schemas.openxmlformats.org/spreadsheetml/2006/main" id="3" name="tbDevolucao" displayName="tbDevolucao" ref="A1:F425" headerRowCount="1" totalsRowCount="0" totalsRowShown="0">
  <autoFilter ref="A1:F425"/>
  <tableColumns count="6">
    <tableColumn id="1" name="Nota"/>
    <tableColumn id="2" name="Nº Caixa"/>
    <tableColumn id="3" name="Tipo"/>
    <tableColumn id="4" name="ISBN"/>
    <tableColumn id="5" name="Descrição"/>
    <tableColumn id="6" name="Qtd devolução"/>
  </tableColumns>
</table>
</file>

<file path=xl/tables/table4.xml><?xml version="1.0" encoding="utf-8"?>
<table xmlns="http://schemas.openxmlformats.org/spreadsheetml/2006/main" id="4" name="tbItens" displayName="tbItens" ref="A1:K837" headerRowCount="1" totalsRowCount="0" totalsRowShown="0">
  <autoFilter ref="A1:K837"/>
  <tableColumns count="11">
    <tableColumn id="1" name="ISBN"/>
    <tableColumn id="2" name="Descrição"/>
    <tableColumn id="3" name="Nº Caixa"/>
    <tableColumn id="4" name="Estoque"/>
    <tableColumn id="5" name="Nota"/>
    <tableColumn id="6" name="Situação da caixa"/>
    <tableColumn id="7" name="Separar p/ CBP (se aberta)"/>
    <tableColumn id="8" name="Separar p/ CBTBE (se aberta)"/>
    <tableColumn id="9" name="Qtd p/ CBP"/>
    <tableColumn id="10" name="Qtd p/ CBTBE"/>
    <tableColumn id="11" name="Qtd devolução"/>
  </tableColumns>
</table>
</file>

<file path=xl/tables/table5.xml><?xml version="1.0" encoding="utf-8"?>
<table xmlns="http://schemas.openxmlformats.org/spreadsheetml/2006/main" id="5" name="tbPedido" displayName="tbPedido" ref="A1:K385" headerRowCount="1" totalsRowCount="0" totalsRowShown="0">
  <autoFilter ref="A1:K385"/>
  <tableColumns count="11">
    <tableColumn id="1" name="ISBN"/>
    <tableColumn id="2" name="Título"/>
    <tableColumn id="3" name="Autor"/>
    <tableColumn id="4" name="Evento"/>
    <tableColumn id="5" name="Qtd pedido"/>
    <tableColumn id="6" name="Sai da sobra"/>
    <tableColumn id="7" name="Saldo a enviar do estoque"/>
    <tableColumn id="8" name="% atendido"/>
    <tableColumn id="9" name="Complemento (un)"/>
    <tableColumn id="10" name="Pedido ajustado"/>
    <tableColumn id="11" name="Checagem"/>
  </tableColumns>
</table>
</file>

<file path=xl/tables/table6.xml><?xml version="1.0" encoding="utf-8"?>
<table xmlns="http://schemas.openxmlformats.org/spreadsheetml/2006/main" id="6" name="tbSeparacao" displayName="tbSeparacao" ref="A1:H273" headerRowCount="1" totalsRowCount="0" totalsRowShown="0">
  <autoFilter ref="A1:H273"/>
  <tableColumns count="8">
    <tableColumn id="1" name="Nº Caixa"/>
    <tableColumn id="2" name="Nota"/>
    <tableColumn id="3" name="ISBN"/>
    <tableColumn id="4" name="Descrição"/>
    <tableColumn id="5" name="Estoque na caixa"/>
    <tableColumn id="6" name="Separar p/ CBP"/>
    <tableColumn id="7" name="Separar p/ CBTBE"/>
    <tableColumn id="8" name="Volta p/ estoq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f aca="false">COUNTIF(Caixas!$C$2:$C$329,A4)</f>
        <v>79</v>
      </c>
      <c r="C4" s="3" t="n">
        <f aca="false">SUMIF(Caixas!$C$2:$C$329,A4,Caixas!$E$2:$E$329)</f>
        <v>3790</v>
      </c>
      <c r="D4" s="3" t="n">
        <f aca="false">SUMIF(Caixas!$C$2:$C$329,A4,Caixas!$F$2:$F$329)</f>
        <v>3790</v>
      </c>
      <c r="E4" s="3" t="n">
        <f aca="false">SUMIF(Caixas!$C$2:$C$329,A4,Caixas!$G$2:$G$329)</f>
        <v>0</v>
      </c>
      <c r="F4" s="3" t="n">
        <f aca="false">SUMIF(Caixas!$C$2:$C$329,A4,Caixas!$H$2:$H$329)</f>
        <v>0</v>
      </c>
    </row>
    <row r="5" customFormat="false" ht="15" hidden="false" customHeight="false" outlineLevel="0" collapsed="false">
      <c r="A5" s="3" t="s">
        <v>8</v>
      </c>
      <c r="B5" s="3" t="n">
        <f aca="false">COUNTIF(Caixas!$C$2:$C$329,A5)</f>
        <v>43</v>
      </c>
      <c r="C5" s="3" t="n">
        <f aca="false">SUMIF(Caixas!$C$2:$C$329,A5,Caixas!$E$2:$E$329)</f>
        <v>1770</v>
      </c>
      <c r="D5" s="3" t="n">
        <f aca="false">SUMIF(Caixas!$C$2:$C$329,A5,Caixas!$F$2:$F$329)</f>
        <v>0</v>
      </c>
      <c r="E5" s="3" t="n">
        <f aca="false">SUMIF(Caixas!$C$2:$C$329,A5,Caixas!$G$2:$G$329)</f>
        <v>1770</v>
      </c>
      <c r="F5" s="3" t="n">
        <f aca="false">SUMIF(Caixas!$C$2:$C$329,A5,Caixas!$H$2:$H$329)</f>
        <v>0</v>
      </c>
    </row>
    <row r="6" customFormat="false" ht="15" hidden="false" customHeight="false" outlineLevel="0" collapsed="false">
      <c r="A6" s="3" t="s">
        <v>9</v>
      </c>
      <c r="B6" s="3" t="n">
        <f aca="false">COUNTIF(Caixas!$C$2:$C$329,A6)</f>
        <v>76</v>
      </c>
      <c r="C6" s="3" t="n">
        <f aca="false">SUMIF(Caixas!$C$2:$C$329,A6,Caixas!$E$2:$E$329)</f>
        <v>5649</v>
      </c>
      <c r="D6" s="3" t="n">
        <f aca="false">SUMIF(Caixas!$C$2:$C$329,A6,Caixas!$F$2:$F$329)</f>
        <v>1312</v>
      </c>
      <c r="E6" s="3" t="n">
        <f aca="false">SUMIF(Caixas!$C$2:$C$329,A6,Caixas!$G$2:$G$329)</f>
        <v>2310</v>
      </c>
      <c r="F6" s="3" t="n">
        <f aca="false">SUMIF(Caixas!$C$2:$C$329,A6,Caixas!$H$2:$H$329)</f>
        <v>2027</v>
      </c>
    </row>
    <row r="7" customFormat="false" ht="15" hidden="false" customHeight="false" outlineLevel="0" collapsed="false">
      <c r="A7" s="3" t="s">
        <v>10</v>
      </c>
      <c r="B7" s="3" t="n">
        <f aca="false">COUNTIF(Caixas!$C$2:$C$329,A7)</f>
        <v>129</v>
      </c>
      <c r="C7" s="3" t="n">
        <f aca="false">SUMIF(Caixas!$C$2:$C$329,A7,Caixas!$E$2:$E$329)</f>
        <v>5695</v>
      </c>
      <c r="D7" s="3" t="n">
        <f aca="false">SUMIF(Caixas!$C$2:$C$329,A7,Caixas!$F$2:$F$329)</f>
        <v>0</v>
      </c>
      <c r="E7" s="3" t="n">
        <f aca="false">SUMIF(Caixas!$C$2:$C$329,A7,Caixas!$G$2:$G$329)</f>
        <v>0</v>
      </c>
      <c r="F7" s="3" t="n">
        <f aca="false">SUMIF(Caixas!$C$2:$C$329,A7,Caixas!$H$2:$H$329)</f>
        <v>5695</v>
      </c>
    </row>
    <row r="8" customFormat="false" ht="15" hidden="false" customHeight="false" outlineLevel="0" collapsed="false">
      <c r="A8" s="3" t="s">
        <v>11</v>
      </c>
      <c r="B8" s="3" t="n">
        <f aca="false">COUNTIF(Caixas!$C$2:$C$329,A8)</f>
        <v>1</v>
      </c>
      <c r="C8" s="3" t="n">
        <f aca="false">SUMIF(Caixas!$C$2:$C$329,A8,Caixas!$E$2:$E$329)</f>
        <v>2690</v>
      </c>
      <c r="D8" s="3" t="n">
        <f aca="false">SUMIF(Caixas!$C$2:$C$329,A8,Caixas!$F$2:$F$329)</f>
        <v>723</v>
      </c>
      <c r="E8" s="3" t="n">
        <f aca="false">SUMIF(Caixas!$C$2:$C$329,A8,Caixas!$G$2:$G$329)</f>
        <v>807</v>
      </c>
      <c r="F8" s="3" t="n">
        <f aca="false">SUMIF(Caixas!$C$2:$C$329,A8,Caixas!$H$2:$H$329)</f>
        <v>1160</v>
      </c>
    </row>
    <row r="9" customFormat="false" ht="15" hidden="false" customHeight="false" outlineLevel="0" collapsed="false">
      <c r="A9" s="4" t="s">
        <v>12</v>
      </c>
      <c r="B9" s="4" t="n">
        <f aca="false">SUM(B4:B8)</f>
        <v>328</v>
      </c>
      <c r="C9" s="4" t="n">
        <f aca="false">SUM(C4:C8)</f>
        <v>19594</v>
      </c>
      <c r="D9" s="4" t="n">
        <f aca="false">SUM(D4:D8)</f>
        <v>5825</v>
      </c>
      <c r="E9" s="4" t="n">
        <f aca="false">SUM(E4:E8)</f>
        <v>4887</v>
      </c>
      <c r="F9" s="4" t="n">
        <f aca="false">SUM(F4:F8)</f>
        <v>8882</v>
      </c>
    </row>
    <row r="11" customFormat="false" ht="23.85" hidden="false" customHeight="false" outlineLevel="0" collapsed="false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customFormat="false" ht="15" hidden="false" customHeight="false" outlineLevel="0" collapsed="false">
      <c r="A12" s="3" t="s">
        <v>19</v>
      </c>
      <c r="B12" s="3" t="n">
        <f aca="false">SUMIF('Pedido x Sobra'!$D$2:$D$385,A12,'Pedido x Sobra'!$E$2:$E$385)</f>
        <v>10400</v>
      </c>
      <c r="C12" s="3" t="n">
        <f aca="false">SUMIF('Pedido x Sobra'!$D$2:$D$385,A12,'Pedido x Sobra'!$F$2:$F$385)-SUMIF('Pedido x Sobra'!$D$2:$D$385,A12,'Pedido x Sobra'!$I$2:$I$385)</f>
        <v>5166</v>
      </c>
      <c r="D12" s="3" t="n">
        <f aca="false">SUMIF('Pedido x Sobra'!$D$2:$D$385,A12,'Pedido x Sobra'!$G$2:$G$385)</f>
        <v>5234</v>
      </c>
      <c r="E12" s="3" t="n">
        <f aca="false">SUMIF('Pedido x Sobra'!$D$2:$D$385,A12,'Pedido x Sobra'!$I$2:$I$385)</f>
        <v>659</v>
      </c>
      <c r="F12" s="3" t="n">
        <f aca="false">SUMIF('Pedido x Sobra'!$D$2:$D$385,A12,'Pedido x Sobra'!$J$2:$J$385)</f>
        <v>11059</v>
      </c>
    </row>
    <row r="13" customFormat="false" ht="15" hidden="false" customHeight="false" outlineLevel="0" collapsed="false">
      <c r="A13" s="3" t="s">
        <v>20</v>
      </c>
      <c r="B13" s="3" t="n">
        <f aca="false">SUMIF('Pedido x Sobra'!$D$2:$D$385,A13,'Pedido x Sobra'!$E$2:$E$385)</f>
        <v>7671</v>
      </c>
      <c r="C13" s="3" t="n">
        <f aca="false">SUMIF('Pedido x Sobra'!$D$2:$D$385,A13,'Pedido x Sobra'!$F$2:$F$385)-SUMIF('Pedido x Sobra'!$D$2:$D$385,A13,'Pedido x Sobra'!$I$2:$I$385)</f>
        <v>4887</v>
      </c>
      <c r="D13" s="3" t="n">
        <f aca="false">SUMIF('Pedido x Sobra'!$D$2:$D$385,A13,'Pedido x Sobra'!$G$2:$G$385)</f>
        <v>2784</v>
      </c>
      <c r="E13" s="3" t="n">
        <f aca="false">SUMIF('Pedido x Sobra'!$D$2:$D$385,A13,'Pedido x Sobra'!$I$2:$I$385)</f>
        <v>0</v>
      </c>
      <c r="F13" s="3" t="n">
        <f aca="false">SUMIF('Pedido x Sobra'!$D$2:$D$385,A13,'Pedido x Sobra'!$J$2:$J$385)</f>
        <v>7671</v>
      </c>
    </row>
    <row r="14" customFormat="false" ht="15" hidden="false" customHeight="false" outlineLevel="0" collapsed="false">
      <c r="A14" s="4" t="s">
        <v>12</v>
      </c>
      <c r="B14" s="4" t="n">
        <f aca="false">B12+B13</f>
        <v>18071</v>
      </c>
      <c r="C14" s="4" t="n">
        <f aca="false">C12+C13</f>
        <v>10053</v>
      </c>
      <c r="D14" s="4" t="n">
        <f aca="false">D12+D13</f>
        <v>8018</v>
      </c>
      <c r="E14" s="4" t="n">
        <f aca="false">E12+E13</f>
        <v>659</v>
      </c>
      <c r="F14" s="4" t="n">
        <f aca="false">F12+F13</f>
        <v>18730</v>
      </c>
    </row>
    <row r="16" customFormat="false" ht="23.85" hidden="false" customHeight="false" outlineLevel="0" collapsed="false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5"/>
    </row>
    <row r="17" customFormat="false" ht="15" hidden="false" customHeight="false" outlineLevel="0" collapsed="false">
      <c r="A17" s="3" t="s">
        <v>26</v>
      </c>
      <c r="B17" s="6" t="n">
        <v>6022</v>
      </c>
      <c r="C17" s="6" t="n">
        <v>0</v>
      </c>
      <c r="D17" s="6" t="n">
        <v>99</v>
      </c>
      <c r="E17" s="6" t="n">
        <v>0</v>
      </c>
    </row>
    <row r="18" customFormat="false" ht="15" hidden="false" customHeight="false" outlineLevel="0" collapsed="false">
      <c r="A18" s="3" t="s">
        <v>27</v>
      </c>
      <c r="B18" s="6" t="n">
        <v>10053</v>
      </c>
      <c r="C18" s="6" t="n">
        <v>106</v>
      </c>
      <c r="D18" s="6" t="n">
        <v>92</v>
      </c>
      <c r="E18" s="6" t="n">
        <v>0</v>
      </c>
    </row>
    <row r="19" customFormat="false" ht="15" hidden="false" customHeight="false" outlineLevel="0" collapsed="false">
      <c r="A19" s="3" t="s">
        <v>28</v>
      </c>
      <c r="B19" s="3" t="n">
        <f aca="false">D9+E9</f>
        <v>10712</v>
      </c>
      <c r="C19" s="3" t="n">
        <f aca="false">B6</f>
        <v>76</v>
      </c>
      <c r="D19" s="3" t="n">
        <f aca="false">B4+B5</f>
        <v>122</v>
      </c>
      <c r="E19" s="3" t="n">
        <f aca="false">E14</f>
        <v>659</v>
      </c>
    </row>
    <row r="21" customFormat="false" ht="15" hidden="false" customHeight="false" outlineLevel="0" collapsed="false">
      <c r="A21" s="4" t="s">
        <v>29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3" t="s">
        <v>30</v>
      </c>
    </row>
    <row r="23" customFormat="false" ht="15" hidden="false" customHeight="false" outlineLevel="0" collapsed="false">
      <c r="A23" s="3" t="s">
        <v>31</v>
      </c>
    </row>
    <row r="24" customFormat="false" ht="15" hidden="false" customHeight="false" outlineLevel="0" collapsed="false">
      <c r="A24" s="3" t="s">
        <v>32</v>
      </c>
    </row>
    <row r="25" customFormat="false" ht="15" hidden="false" customHeight="false" outlineLevel="0" collapsed="false">
      <c r="A25" s="3" t="s">
        <v>33</v>
      </c>
    </row>
    <row r="26" customFormat="false" ht="15" hidden="false" customHeight="false" outlineLevel="0" collapsed="false">
      <c r="A26" s="3" t="s">
        <v>34</v>
      </c>
    </row>
    <row r="27" customFormat="false" ht="15" hidden="false" customHeight="false" outlineLevel="0" collapsed="false">
      <c r="A27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58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40</v>
      </c>
      <c r="J1" s="7" t="s">
        <v>41</v>
      </c>
    </row>
    <row r="2" customFormat="false" ht="15" hidden="false" customHeight="false" outlineLevel="0" collapsed="false">
      <c r="A2" s="8" t="s">
        <v>42</v>
      </c>
      <c r="B2" s="8" t="s">
        <v>43</v>
      </c>
      <c r="C2" s="9" t="s">
        <v>9</v>
      </c>
      <c r="D2" s="8" t="n">
        <f aca="false">COUNTIF(Itens!$C:$C,A2)</f>
        <v>3</v>
      </c>
      <c r="E2" s="8" t="n">
        <f aca="false">SUMIF(Itens!$C:$C,A2,Itens!$D:$D)</f>
        <v>84</v>
      </c>
      <c r="F2" s="8" t="n">
        <f aca="false">SUMIF(Itens!$C:$C,A2,Itens!$I:$I)</f>
        <v>20</v>
      </c>
      <c r="G2" s="8" t="n">
        <f aca="false">SUMIF(Itens!$C:$C,A2,Itens!$J:$J)</f>
        <v>29</v>
      </c>
      <c r="H2" s="8" t="n">
        <f aca="false">SUMIF(Itens!$C:$C,A2,Itens!$K:$K)</f>
        <v>35</v>
      </c>
      <c r="I2" s="8" t="s">
        <v>44</v>
      </c>
      <c r="J2" s="10" t="n">
        <v>0</v>
      </c>
    </row>
    <row r="3" customFormat="false" ht="15" hidden="false" customHeight="false" outlineLevel="0" collapsed="false">
      <c r="A3" s="8" t="s">
        <v>45</v>
      </c>
      <c r="B3" s="8" t="s">
        <v>43</v>
      </c>
      <c r="C3" s="9" t="s">
        <v>10</v>
      </c>
      <c r="D3" s="8" t="n">
        <f aca="false">COUNTIF(Itens!$C:$C,A3)</f>
        <v>3</v>
      </c>
      <c r="E3" s="8" t="n">
        <f aca="false">SUMIF(Itens!$C:$C,A3,Itens!$D:$D)</f>
        <v>74</v>
      </c>
      <c r="F3" s="8" t="n">
        <f aca="false">SUMIF(Itens!$C:$C,A3,Itens!$I:$I)</f>
        <v>0</v>
      </c>
      <c r="G3" s="8" t="n">
        <f aca="false">SUMIF(Itens!$C:$C,A3,Itens!$J:$J)</f>
        <v>0</v>
      </c>
      <c r="H3" s="8" t="n">
        <f aca="false">SUMIF(Itens!$C:$C,A3,Itens!$K:$K)</f>
        <v>74</v>
      </c>
      <c r="I3" s="8" t="s">
        <v>46</v>
      </c>
      <c r="J3" s="10" t="n">
        <v>0</v>
      </c>
    </row>
    <row r="4" customFormat="false" ht="15" hidden="false" customHeight="false" outlineLevel="0" collapsed="false">
      <c r="A4" s="8" t="s">
        <v>47</v>
      </c>
      <c r="B4" s="8" t="s">
        <v>43</v>
      </c>
      <c r="C4" s="9" t="s">
        <v>10</v>
      </c>
      <c r="D4" s="8" t="n">
        <f aca="false">COUNTIF(Itens!$C:$C,A4)</f>
        <v>3</v>
      </c>
      <c r="E4" s="8" t="n">
        <f aca="false">SUMIF(Itens!$C:$C,A4,Itens!$D:$D)</f>
        <v>74</v>
      </c>
      <c r="F4" s="8" t="n">
        <f aca="false">SUMIF(Itens!$C:$C,A4,Itens!$I:$I)</f>
        <v>0</v>
      </c>
      <c r="G4" s="8" t="n">
        <f aca="false">SUMIF(Itens!$C:$C,A4,Itens!$J:$J)</f>
        <v>0</v>
      </c>
      <c r="H4" s="8" t="n">
        <f aca="false">SUMIF(Itens!$C:$C,A4,Itens!$K:$K)</f>
        <v>74</v>
      </c>
      <c r="I4" s="8" t="s">
        <v>46</v>
      </c>
      <c r="J4" s="10" t="n">
        <v>0</v>
      </c>
    </row>
    <row r="5" customFormat="false" ht="15" hidden="false" customHeight="false" outlineLevel="0" collapsed="false">
      <c r="A5" s="8" t="s">
        <v>48</v>
      </c>
      <c r="B5" s="8" t="s">
        <v>43</v>
      </c>
      <c r="C5" s="9" t="s">
        <v>10</v>
      </c>
      <c r="D5" s="8" t="n">
        <f aca="false">COUNTIF(Itens!$C:$C,A5)</f>
        <v>3</v>
      </c>
      <c r="E5" s="8" t="n">
        <f aca="false">SUMIF(Itens!$C:$C,A5,Itens!$D:$D)</f>
        <v>74</v>
      </c>
      <c r="F5" s="8" t="n">
        <f aca="false">SUMIF(Itens!$C:$C,A5,Itens!$I:$I)</f>
        <v>0</v>
      </c>
      <c r="G5" s="8" t="n">
        <f aca="false">SUMIF(Itens!$C:$C,A5,Itens!$J:$J)</f>
        <v>0</v>
      </c>
      <c r="H5" s="8" t="n">
        <f aca="false">SUMIF(Itens!$C:$C,A5,Itens!$K:$K)</f>
        <v>74</v>
      </c>
      <c r="I5" s="8" t="s">
        <v>46</v>
      </c>
      <c r="J5" s="10" t="n">
        <v>0</v>
      </c>
    </row>
    <row r="6" customFormat="false" ht="15" hidden="false" customHeight="false" outlineLevel="0" collapsed="false">
      <c r="A6" s="8" t="s">
        <v>49</v>
      </c>
      <c r="B6" s="8" t="s">
        <v>50</v>
      </c>
      <c r="C6" s="9" t="s">
        <v>8</v>
      </c>
      <c r="D6" s="8" t="n">
        <f aca="false">COUNTIF(Itens!$C:$C,A6)</f>
        <v>2</v>
      </c>
      <c r="E6" s="8" t="n">
        <f aca="false">SUMIF(Itens!$C:$C,A6,Itens!$D:$D)</f>
        <v>50</v>
      </c>
      <c r="F6" s="8" t="n">
        <f aca="false">SUMIF(Itens!$C:$C,A6,Itens!$I:$I)</f>
        <v>0</v>
      </c>
      <c r="G6" s="8" t="n">
        <f aca="false">SUMIF(Itens!$C:$C,A6,Itens!$J:$J)</f>
        <v>50</v>
      </c>
      <c r="H6" s="8" t="n">
        <f aca="false">SUMIF(Itens!$C:$C,A6,Itens!$K:$K)</f>
        <v>0</v>
      </c>
      <c r="I6" s="8" t="s">
        <v>51</v>
      </c>
      <c r="J6" s="10" t="n">
        <v>0</v>
      </c>
    </row>
    <row r="7" customFormat="false" ht="15" hidden="false" customHeight="false" outlineLevel="0" collapsed="false">
      <c r="A7" s="8" t="s">
        <v>52</v>
      </c>
      <c r="B7" s="8" t="s">
        <v>50</v>
      </c>
      <c r="C7" s="9" t="s">
        <v>10</v>
      </c>
      <c r="D7" s="8" t="n">
        <f aca="false">COUNTIF(Itens!$C:$C,A7)</f>
        <v>2</v>
      </c>
      <c r="E7" s="8" t="n">
        <f aca="false">SUMIF(Itens!$C:$C,A7,Itens!$D:$D)</f>
        <v>50</v>
      </c>
      <c r="F7" s="8" t="n">
        <f aca="false">SUMIF(Itens!$C:$C,A7,Itens!$I:$I)</f>
        <v>0</v>
      </c>
      <c r="G7" s="8" t="n">
        <f aca="false">SUMIF(Itens!$C:$C,A7,Itens!$J:$J)</f>
        <v>0</v>
      </c>
      <c r="H7" s="8" t="n">
        <f aca="false">SUMIF(Itens!$C:$C,A7,Itens!$K:$K)</f>
        <v>50</v>
      </c>
      <c r="I7" s="8" t="s">
        <v>46</v>
      </c>
      <c r="J7" s="10" t="n">
        <v>0</v>
      </c>
    </row>
    <row r="8" customFormat="false" ht="15" hidden="false" customHeight="false" outlineLevel="0" collapsed="false">
      <c r="A8" s="8" t="s">
        <v>53</v>
      </c>
      <c r="B8" s="8" t="s">
        <v>43</v>
      </c>
      <c r="C8" s="9" t="s">
        <v>10</v>
      </c>
      <c r="D8" s="8" t="n">
        <f aca="false">COUNTIF(Itens!$C:$C,A8)</f>
        <v>3</v>
      </c>
      <c r="E8" s="8" t="n">
        <f aca="false">SUMIF(Itens!$C:$C,A8,Itens!$D:$D)</f>
        <v>90</v>
      </c>
      <c r="F8" s="8" t="n">
        <f aca="false">SUMIF(Itens!$C:$C,A8,Itens!$I:$I)</f>
        <v>0</v>
      </c>
      <c r="G8" s="8" t="n">
        <f aca="false">SUMIF(Itens!$C:$C,A8,Itens!$J:$J)</f>
        <v>0</v>
      </c>
      <c r="H8" s="8" t="n">
        <f aca="false">SUMIF(Itens!$C:$C,A8,Itens!$K:$K)</f>
        <v>90</v>
      </c>
      <c r="I8" s="8" t="s">
        <v>46</v>
      </c>
      <c r="J8" s="10" t="n">
        <v>0</v>
      </c>
    </row>
    <row r="9" customFormat="false" ht="15" hidden="false" customHeight="false" outlineLevel="0" collapsed="false">
      <c r="A9" s="8" t="s">
        <v>54</v>
      </c>
      <c r="B9" s="8" t="s">
        <v>50</v>
      </c>
      <c r="C9" s="9" t="s">
        <v>7</v>
      </c>
      <c r="D9" s="8" t="n">
        <f aca="false">COUNTIF(Itens!$C:$C,A9)</f>
        <v>2</v>
      </c>
      <c r="E9" s="8" t="n">
        <f aca="false">SUMIF(Itens!$C:$C,A9,Itens!$D:$D)</f>
        <v>72</v>
      </c>
      <c r="F9" s="8" t="n">
        <f aca="false">SUMIF(Itens!$C:$C,A9,Itens!$I:$I)</f>
        <v>72</v>
      </c>
      <c r="G9" s="8" t="n">
        <f aca="false">SUMIF(Itens!$C:$C,A9,Itens!$J:$J)</f>
        <v>0</v>
      </c>
      <c r="H9" s="8" t="n">
        <f aca="false">SUMIF(Itens!$C:$C,A9,Itens!$K:$K)</f>
        <v>0</v>
      </c>
      <c r="I9" s="8" t="s">
        <v>55</v>
      </c>
      <c r="J9" s="10" t="n">
        <v>4</v>
      </c>
    </row>
    <row r="10" customFormat="false" ht="15" hidden="false" customHeight="false" outlineLevel="0" collapsed="false">
      <c r="A10" s="8" t="s">
        <v>56</v>
      </c>
      <c r="B10" s="8" t="s">
        <v>50</v>
      </c>
      <c r="C10" s="9" t="s">
        <v>10</v>
      </c>
      <c r="D10" s="8" t="n">
        <f aca="false">COUNTIF(Itens!$C:$C,A10)</f>
        <v>2</v>
      </c>
      <c r="E10" s="8" t="n">
        <f aca="false">SUMIF(Itens!$C:$C,A10,Itens!$D:$D)</f>
        <v>66</v>
      </c>
      <c r="F10" s="8" t="n">
        <f aca="false">SUMIF(Itens!$C:$C,A10,Itens!$I:$I)</f>
        <v>0</v>
      </c>
      <c r="G10" s="8" t="n">
        <f aca="false">SUMIF(Itens!$C:$C,A10,Itens!$J:$J)</f>
        <v>0</v>
      </c>
      <c r="H10" s="8" t="n">
        <f aca="false">SUMIF(Itens!$C:$C,A10,Itens!$K:$K)</f>
        <v>66</v>
      </c>
      <c r="I10" s="8" t="s">
        <v>46</v>
      </c>
      <c r="J10" s="10" t="n">
        <v>0</v>
      </c>
    </row>
    <row r="11" customFormat="false" ht="15" hidden="false" customHeight="false" outlineLevel="0" collapsed="false">
      <c r="A11" s="8" t="s">
        <v>57</v>
      </c>
      <c r="B11" s="8" t="s">
        <v>43</v>
      </c>
      <c r="C11" s="9" t="s">
        <v>10</v>
      </c>
      <c r="D11" s="8" t="n">
        <f aca="false">COUNTIF(Itens!$C:$C,A11)</f>
        <v>3</v>
      </c>
      <c r="E11" s="8" t="n">
        <f aca="false">SUMIF(Itens!$C:$C,A11,Itens!$D:$D)</f>
        <v>78</v>
      </c>
      <c r="F11" s="8" t="n">
        <f aca="false">SUMIF(Itens!$C:$C,A11,Itens!$I:$I)</f>
        <v>0</v>
      </c>
      <c r="G11" s="8" t="n">
        <f aca="false">SUMIF(Itens!$C:$C,A11,Itens!$J:$J)</f>
        <v>0</v>
      </c>
      <c r="H11" s="8" t="n">
        <f aca="false">SUMIF(Itens!$C:$C,A11,Itens!$K:$K)</f>
        <v>78</v>
      </c>
      <c r="I11" s="8" t="s">
        <v>46</v>
      </c>
      <c r="J11" s="10" t="n">
        <v>0</v>
      </c>
    </row>
    <row r="12" customFormat="false" ht="15" hidden="false" customHeight="false" outlineLevel="0" collapsed="false">
      <c r="A12" s="8" t="s">
        <v>58</v>
      </c>
      <c r="B12" s="8" t="s">
        <v>43</v>
      </c>
      <c r="C12" s="9" t="s">
        <v>7</v>
      </c>
      <c r="D12" s="8" t="n">
        <f aca="false">COUNTIF(Itens!$C:$C,A12)</f>
        <v>3</v>
      </c>
      <c r="E12" s="8" t="n">
        <f aca="false">SUMIF(Itens!$C:$C,A12,Itens!$D:$D)</f>
        <v>84</v>
      </c>
      <c r="F12" s="8" t="n">
        <f aca="false">SUMIF(Itens!$C:$C,A12,Itens!$I:$I)</f>
        <v>84</v>
      </c>
      <c r="G12" s="8" t="n">
        <f aca="false">SUMIF(Itens!$C:$C,A12,Itens!$J:$J)</f>
        <v>0</v>
      </c>
      <c r="H12" s="8" t="n">
        <f aca="false">SUMIF(Itens!$C:$C,A12,Itens!$K:$K)</f>
        <v>0</v>
      </c>
      <c r="I12" s="8" t="s">
        <v>59</v>
      </c>
      <c r="J12" s="10" t="n">
        <v>0</v>
      </c>
    </row>
    <row r="13" customFormat="false" ht="15" hidden="false" customHeight="false" outlineLevel="0" collapsed="false">
      <c r="A13" s="8" t="s">
        <v>60</v>
      </c>
      <c r="B13" s="8" t="s">
        <v>61</v>
      </c>
      <c r="C13" s="9" t="s">
        <v>7</v>
      </c>
      <c r="D13" s="8" t="n">
        <f aca="false">COUNTIF(Itens!$C:$C,A13)</f>
        <v>4</v>
      </c>
      <c r="E13" s="8" t="n">
        <f aca="false">SUMIF(Itens!$C:$C,A13,Itens!$D:$D)</f>
        <v>100</v>
      </c>
      <c r="F13" s="8" t="n">
        <f aca="false">SUMIF(Itens!$C:$C,A13,Itens!$I:$I)</f>
        <v>100</v>
      </c>
      <c r="G13" s="8" t="n">
        <f aca="false">SUMIF(Itens!$C:$C,A13,Itens!$J:$J)</f>
        <v>0</v>
      </c>
      <c r="H13" s="8" t="n">
        <f aca="false">SUMIF(Itens!$C:$C,A13,Itens!$K:$K)</f>
        <v>0</v>
      </c>
      <c r="I13" s="8" t="s">
        <v>62</v>
      </c>
      <c r="J13" s="10" t="n">
        <v>44</v>
      </c>
    </row>
    <row r="14" customFormat="false" ht="15" hidden="false" customHeight="false" outlineLevel="0" collapsed="false">
      <c r="A14" s="8" t="s">
        <v>63</v>
      </c>
      <c r="B14" s="8" t="s">
        <v>64</v>
      </c>
      <c r="C14" s="9" t="s">
        <v>10</v>
      </c>
      <c r="D14" s="8" t="n">
        <f aca="false">COUNTIF(Itens!$C:$C,A14)</f>
        <v>1</v>
      </c>
      <c r="E14" s="8" t="n">
        <f aca="false">SUMIF(Itens!$C:$C,A14,Itens!$D:$D)</f>
        <v>40</v>
      </c>
      <c r="F14" s="8" t="n">
        <f aca="false">SUMIF(Itens!$C:$C,A14,Itens!$I:$I)</f>
        <v>0</v>
      </c>
      <c r="G14" s="8" t="n">
        <f aca="false">SUMIF(Itens!$C:$C,A14,Itens!$J:$J)</f>
        <v>0</v>
      </c>
      <c r="H14" s="8" t="n">
        <f aca="false">SUMIF(Itens!$C:$C,A14,Itens!$K:$K)</f>
        <v>40</v>
      </c>
      <c r="I14" s="8" t="s">
        <v>46</v>
      </c>
      <c r="J14" s="10" t="n">
        <v>0</v>
      </c>
    </row>
    <row r="15" customFormat="false" ht="15" hidden="false" customHeight="false" outlineLevel="0" collapsed="false">
      <c r="A15" s="8" t="s">
        <v>65</v>
      </c>
      <c r="B15" s="8" t="s">
        <v>64</v>
      </c>
      <c r="C15" s="9" t="s">
        <v>10</v>
      </c>
      <c r="D15" s="8" t="n">
        <f aca="false">COUNTIF(Itens!$C:$C,A15)</f>
        <v>1</v>
      </c>
      <c r="E15" s="8" t="n">
        <f aca="false">SUMIF(Itens!$C:$C,A15,Itens!$D:$D)</f>
        <v>34</v>
      </c>
      <c r="F15" s="8" t="n">
        <f aca="false">SUMIF(Itens!$C:$C,A15,Itens!$I:$I)</f>
        <v>0</v>
      </c>
      <c r="G15" s="8" t="n">
        <f aca="false">SUMIF(Itens!$C:$C,A15,Itens!$J:$J)</f>
        <v>0</v>
      </c>
      <c r="H15" s="8" t="n">
        <f aca="false">SUMIF(Itens!$C:$C,A15,Itens!$K:$K)</f>
        <v>34</v>
      </c>
      <c r="I15" s="8" t="s">
        <v>46</v>
      </c>
      <c r="J15" s="10" t="n">
        <v>0</v>
      </c>
    </row>
    <row r="16" customFormat="false" ht="15" hidden="false" customHeight="false" outlineLevel="0" collapsed="false">
      <c r="A16" s="8" t="s">
        <v>66</v>
      </c>
      <c r="B16" s="8" t="s">
        <v>67</v>
      </c>
      <c r="C16" s="9" t="s">
        <v>8</v>
      </c>
      <c r="D16" s="8" t="n">
        <f aca="false">COUNTIF(Itens!$C:$C,A16)</f>
        <v>2</v>
      </c>
      <c r="E16" s="8" t="n">
        <f aca="false">SUMIF(Itens!$C:$C,A16,Itens!$D:$D)</f>
        <v>60</v>
      </c>
      <c r="F16" s="8" t="n">
        <f aca="false">SUMIF(Itens!$C:$C,A16,Itens!$I:$I)</f>
        <v>0</v>
      </c>
      <c r="G16" s="8" t="n">
        <f aca="false">SUMIF(Itens!$C:$C,A16,Itens!$J:$J)</f>
        <v>60</v>
      </c>
      <c r="H16" s="8" t="n">
        <f aca="false">SUMIF(Itens!$C:$C,A16,Itens!$K:$K)</f>
        <v>0</v>
      </c>
      <c r="I16" s="8" t="s">
        <v>51</v>
      </c>
      <c r="J16" s="10" t="n">
        <v>0</v>
      </c>
    </row>
    <row r="17" customFormat="false" ht="15" hidden="false" customHeight="false" outlineLevel="0" collapsed="false">
      <c r="A17" s="8" t="s">
        <v>68</v>
      </c>
      <c r="B17" s="8" t="s">
        <v>67</v>
      </c>
      <c r="C17" s="9" t="s">
        <v>8</v>
      </c>
      <c r="D17" s="8" t="n">
        <f aca="false">COUNTIF(Itens!$C:$C,A17)</f>
        <v>2</v>
      </c>
      <c r="E17" s="8" t="n">
        <f aca="false">SUMIF(Itens!$C:$C,A17,Itens!$D:$D)</f>
        <v>52</v>
      </c>
      <c r="F17" s="8" t="n">
        <f aca="false">SUMIF(Itens!$C:$C,A17,Itens!$I:$I)</f>
        <v>0</v>
      </c>
      <c r="G17" s="8" t="n">
        <f aca="false">SUMIF(Itens!$C:$C,A17,Itens!$J:$J)</f>
        <v>52</v>
      </c>
      <c r="H17" s="8" t="n">
        <f aca="false">SUMIF(Itens!$C:$C,A17,Itens!$K:$K)</f>
        <v>0</v>
      </c>
      <c r="I17" s="8" t="s">
        <v>51</v>
      </c>
      <c r="J17" s="10" t="n">
        <v>0</v>
      </c>
    </row>
    <row r="18" customFormat="false" ht="15" hidden="false" customHeight="false" outlineLevel="0" collapsed="false">
      <c r="A18" s="8" t="s">
        <v>69</v>
      </c>
      <c r="B18" s="8" t="s">
        <v>43</v>
      </c>
      <c r="C18" s="9" t="s">
        <v>9</v>
      </c>
      <c r="D18" s="8" t="n">
        <f aca="false">COUNTIF(Itens!$C:$C,A18)</f>
        <v>3</v>
      </c>
      <c r="E18" s="8" t="n">
        <f aca="false">SUMIF(Itens!$C:$C,A18,Itens!$D:$D)</f>
        <v>84</v>
      </c>
      <c r="F18" s="8" t="n">
        <f aca="false">SUMIF(Itens!$C:$C,A18,Itens!$I:$I)</f>
        <v>40</v>
      </c>
      <c r="G18" s="8" t="n">
        <f aca="false">SUMIF(Itens!$C:$C,A18,Itens!$J:$J)</f>
        <v>24</v>
      </c>
      <c r="H18" s="8" t="n">
        <f aca="false">SUMIF(Itens!$C:$C,A18,Itens!$K:$K)</f>
        <v>20</v>
      </c>
      <c r="I18" s="8" t="s">
        <v>70</v>
      </c>
      <c r="J18" s="10" t="n">
        <v>0</v>
      </c>
    </row>
    <row r="19" customFormat="false" ht="15" hidden="false" customHeight="false" outlineLevel="0" collapsed="false">
      <c r="A19" s="8" t="s">
        <v>71</v>
      </c>
      <c r="B19" s="8" t="s">
        <v>43</v>
      </c>
      <c r="C19" s="9" t="s">
        <v>10</v>
      </c>
      <c r="D19" s="8" t="n">
        <f aca="false">COUNTIF(Itens!$C:$C,A19)</f>
        <v>3</v>
      </c>
      <c r="E19" s="8" t="n">
        <f aca="false">SUMIF(Itens!$C:$C,A19,Itens!$D:$D)</f>
        <v>68</v>
      </c>
      <c r="F19" s="8" t="n">
        <f aca="false">SUMIF(Itens!$C:$C,A19,Itens!$I:$I)</f>
        <v>0</v>
      </c>
      <c r="G19" s="8" t="n">
        <f aca="false">SUMIF(Itens!$C:$C,A19,Itens!$J:$J)</f>
        <v>0</v>
      </c>
      <c r="H19" s="8" t="n">
        <f aca="false">SUMIF(Itens!$C:$C,A19,Itens!$K:$K)</f>
        <v>68</v>
      </c>
      <c r="I19" s="8" t="s">
        <v>46</v>
      </c>
      <c r="J19" s="10" t="n">
        <v>0</v>
      </c>
    </row>
    <row r="20" customFormat="false" ht="15" hidden="false" customHeight="false" outlineLevel="0" collapsed="false">
      <c r="A20" s="8" t="s">
        <v>72</v>
      </c>
      <c r="B20" s="8" t="s">
        <v>43</v>
      </c>
      <c r="C20" s="9" t="s">
        <v>9</v>
      </c>
      <c r="D20" s="8" t="n">
        <f aca="false">COUNTIF(Itens!$C:$C,A20)</f>
        <v>3</v>
      </c>
      <c r="E20" s="8" t="n">
        <f aca="false">SUMIF(Itens!$C:$C,A20,Itens!$D:$D)</f>
        <v>96</v>
      </c>
      <c r="F20" s="8" t="n">
        <f aca="false">SUMIF(Itens!$C:$C,A20,Itens!$I:$I)</f>
        <v>12</v>
      </c>
      <c r="G20" s="8" t="n">
        <f aca="false">SUMIF(Itens!$C:$C,A20,Itens!$J:$J)</f>
        <v>49</v>
      </c>
      <c r="H20" s="8" t="n">
        <f aca="false">SUMIF(Itens!$C:$C,A20,Itens!$K:$K)</f>
        <v>35</v>
      </c>
      <c r="I20" s="8" t="s">
        <v>70</v>
      </c>
      <c r="J20" s="10" t="n">
        <v>0</v>
      </c>
    </row>
    <row r="21" customFormat="false" ht="15" hidden="false" customHeight="false" outlineLevel="0" collapsed="false">
      <c r="A21" s="8" t="s">
        <v>73</v>
      </c>
      <c r="B21" s="8" t="s">
        <v>43</v>
      </c>
      <c r="C21" s="9" t="s">
        <v>7</v>
      </c>
      <c r="D21" s="8" t="n">
        <f aca="false">COUNTIF(Itens!$C:$C,A21)</f>
        <v>3</v>
      </c>
      <c r="E21" s="8" t="n">
        <f aca="false">SUMIF(Itens!$C:$C,A21,Itens!$D:$D)</f>
        <v>98</v>
      </c>
      <c r="F21" s="8" t="n">
        <f aca="false">SUMIF(Itens!$C:$C,A21,Itens!$I:$I)</f>
        <v>98</v>
      </c>
      <c r="G21" s="8" t="n">
        <f aca="false">SUMIF(Itens!$C:$C,A21,Itens!$J:$J)</f>
        <v>0</v>
      </c>
      <c r="H21" s="8" t="n">
        <f aca="false">SUMIF(Itens!$C:$C,A21,Itens!$K:$K)</f>
        <v>0</v>
      </c>
      <c r="I21" s="8" t="s">
        <v>59</v>
      </c>
      <c r="J21" s="10" t="n">
        <v>0</v>
      </c>
    </row>
    <row r="22" customFormat="false" ht="15" hidden="false" customHeight="false" outlineLevel="0" collapsed="false">
      <c r="A22" s="8" t="s">
        <v>74</v>
      </c>
      <c r="B22" s="8" t="s">
        <v>67</v>
      </c>
      <c r="C22" s="9" t="s">
        <v>7</v>
      </c>
      <c r="D22" s="8" t="n">
        <f aca="false">COUNTIF(Itens!$C:$C,A22)</f>
        <v>2</v>
      </c>
      <c r="E22" s="8" t="n">
        <f aca="false">SUMIF(Itens!$C:$C,A22,Itens!$D:$D)</f>
        <v>58</v>
      </c>
      <c r="F22" s="8" t="n">
        <f aca="false">SUMIF(Itens!$C:$C,A22,Itens!$I:$I)</f>
        <v>58</v>
      </c>
      <c r="G22" s="8" t="n">
        <f aca="false">SUMIF(Itens!$C:$C,A22,Itens!$J:$J)</f>
        <v>0</v>
      </c>
      <c r="H22" s="8" t="n">
        <f aca="false">SUMIF(Itens!$C:$C,A22,Itens!$K:$K)</f>
        <v>0</v>
      </c>
      <c r="I22" s="8" t="s">
        <v>59</v>
      </c>
      <c r="J22" s="10" t="n">
        <v>0</v>
      </c>
    </row>
    <row r="23" customFormat="false" ht="15" hidden="false" customHeight="false" outlineLevel="0" collapsed="false">
      <c r="A23" s="8" t="s">
        <v>75</v>
      </c>
      <c r="B23" s="8" t="s">
        <v>67</v>
      </c>
      <c r="C23" s="9" t="s">
        <v>10</v>
      </c>
      <c r="D23" s="8" t="n">
        <f aca="false">COUNTIF(Itens!$C:$C,A23)</f>
        <v>2</v>
      </c>
      <c r="E23" s="8" t="n">
        <f aca="false">SUMIF(Itens!$C:$C,A23,Itens!$D:$D)</f>
        <v>66</v>
      </c>
      <c r="F23" s="8" t="n">
        <f aca="false">SUMIF(Itens!$C:$C,A23,Itens!$I:$I)</f>
        <v>0</v>
      </c>
      <c r="G23" s="8" t="n">
        <f aca="false">SUMIF(Itens!$C:$C,A23,Itens!$J:$J)</f>
        <v>0</v>
      </c>
      <c r="H23" s="8" t="n">
        <f aca="false">SUMIF(Itens!$C:$C,A23,Itens!$K:$K)</f>
        <v>66</v>
      </c>
      <c r="I23" s="8" t="s">
        <v>46</v>
      </c>
      <c r="J23" s="10" t="n">
        <v>0</v>
      </c>
    </row>
    <row r="24" customFormat="false" ht="15" hidden="false" customHeight="false" outlineLevel="0" collapsed="false">
      <c r="A24" s="8" t="s">
        <v>76</v>
      </c>
      <c r="B24" s="8" t="s">
        <v>43</v>
      </c>
      <c r="C24" s="9" t="s">
        <v>7</v>
      </c>
      <c r="D24" s="8" t="n">
        <f aca="false">COUNTIF(Itens!$C:$C,A24)</f>
        <v>3</v>
      </c>
      <c r="E24" s="8" t="n">
        <f aca="false">SUMIF(Itens!$C:$C,A24,Itens!$D:$D)</f>
        <v>104</v>
      </c>
      <c r="F24" s="8" t="n">
        <f aca="false">SUMIF(Itens!$C:$C,A24,Itens!$I:$I)</f>
        <v>104</v>
      </c>
      <c r="G24" s="8" t="n">
        <f aca="false">SUMIF(Itens!$C:$C,A24,Itens!$J:$J)</f>
        <v>0</v>
      </c>
      <c r="H24" s="8" t="n">
        <f aca="false">SUMIF(Itens!$C:$C,A24,Itens!$K:$K)</f>
        <v>0</v>
      </c>
      <c r="I24" s="8" t="s">
        <v>77</v>
      </c>
      <c r="J24" s="10" t="n">
        <v>14</v>
      </c>
    </row>
    <row r="25" customFormat="false" ht="15" hidden="false" customHeight="false" outlineLevel="0" collapsed="false">
      <c r="A25" s="8" t="s">
        <v>78</v>
      </c>
      <c r="B25" s="8" t="s">
        <v>43</v>
      </c>
      <c r="C25" s="9" t="s">
        <v>9</v>
      </c>
      <c r="D25" s="8" t="n">
        <f aca="false">COUNTIF(Itens!$C:$C,A25)</f>
        <v>3</v>
      </c>
      <c r="E25" s="8" t="n">
        <f aca="false">SUMIF(Itens!$C:$C,A25,Itens!$D:$D)</f>
        <v>146</v>
      </c>
      <c r="F25" s="8" t="n">
        <f aca="false">SUMIF(Itens!$C:$C,A25,Itens!$I:$I)</f>
        <v>25</v>
      </c>
      <c r="G25" s="8" t="n">
        <f aca="false">SUMIF(Itens!$C:$C,A25,Itens!$J:$J)</f>
        <v>47</v>
      </c>
      <c r="H25" s="8" t="n">
        <f aca="false">SUMIF(Itens!$C:$C,A25,Itens!$K:$K)</f>
        <v>74</v>
      </c>
      <c r="I25" s="8" t="s">
        <v>44</v>
      </c>
      <c r="J25" s="10" t="n">
        <v>0</v>
      </c>
    </row>
    <row r="26" customFormat="false" ht="15" hidden="false" customHeight="false" outlineLevel="0" collapsed="false">
      <c r="A26" s="8" t="s">
        <v>79</v>
      </c>
      <c r="B26" s="8" t="s">
        <v>43</v>
      </c>
      <c r="C26" s="9" t="s">
        <v>10</v>
      </c>
      <c r="D26" s="8" t="n">
        <f aca="false">COUNTIF(Itens!$C:$C,A26)</f>
        <v>3</v>
      </c>
      <c r="E26" s="8" t="n">
        <f aca="false">SUMIF(Itens!$C:$C,A26,Itens!$D:$D)</f>
        <v>142</v>
      </c>
      <c r="F26" s="8" t="n">
        <f aca="false">SUMIF(Itens!$C:$C,A26,Itens!$I:$I)</f>
        <v>0</v>
      </c>
      <c r="G26" s="8" t="n">
        <f aca="false">SUMIF(Itens!$C:$C,A26,Itens!$J:$J)</f>
        <v>0</v>
      </c>
      <c r="H26" s="8" t="n">
        <f aca="false">SUMIF(Itens!$C:$C,A26,Itens!$K:$K)</f>
        <v>142</v>
      </c>
      <c r="I26" s="8" t="s">
        <v>46</v>
      </c>
      <c r="J26" s="10" t="n">
        <v>0</v>
      </c>
    </row>
    <row r="27" customFormat="false" ht="15" hidden="false" customHeight="false" outlineLevel="0" collapsed="false">
      <c r="A27" s="8" t="s">
        <v>80</v>
      </c>
      <c r="B27" s="8" t="s">
        <v>67</v>
      </c>
      <c r="C27" s="9" t="s">
        <v>9</v>
      </c>
      <c r="D27" s="8" t="n">
        <f aca="false">COUNTIF(Itens!$C:$C,A27)</f>
        <v>2</v>
      </c>
      <c r="E27" s="8" t="n">
        <f aca="false">SUMIF(Itens!$C:$C,A27,Itens!$D:$D)</f>
        <v>78</v>
      </c>
      <c r="F27" s="8" t="n">
        <f aca="false">SUMIF(Itens!$C:$C,A27,Itens!$I:$I)</f>
        <v>0</v>
      </c>
      <c r="G27" s="8" t="n">
        <f aca="false">SUMIF(Itens!$C:$C,A27,Itens!$J:$J)</f>
        <v>44</v>
      </c>
      <c r="H27" s="8" t="n">
        <f aca="false">SUMIF(Itens!$C:$C,A27,Itens!$K:$K)</f>
        <v>34</v>
      </c>
      <c r="I27" s="8" t="s">
        <v>44</v>
      </c>
      <c r="J27" s="10" t="n">
        <v>0</v>
      </c>
    </row>
    <row r="28" customFormat="false" ht="15" hidden="false" customHeight="false" outlineLevel="0" collapsed="false">
      <c r="A28" s="8" t="s">
        <v>81</v>
      </c>
      <c r="B28" s="8" t="s">
        <v>67</v>
      </c>
      <c r="C28" s="9" t="s">
        <v>10</v>
      </c>
      <c r="D28" s="8" t="n">
        <f aca="false">COUNTIF(Itens!$C:$C,A28)</f>
        <v>2</v>
      </c>
      <c r="E28" s="8" t="n">
        <f aca="false">SUMIF(Itens!$C:$C,A28,Itens!$D:$D)</f>
        <v>56</v>
      </c>
      <c r="F28" s="8" t="n">
        <f aca="false">SUMIF(Itens!$C:$C,A28,Itens!$I:$I)</f>
        <v>0</v>
      </c>
      <c r="G28" s="8" t="n">
        <f aca="false">SUMIF(Itens!$C:$C,A28,Itens!$J:$J)</f>
        <v>0</v>
      </c>
      <c r="H28" s="8" t="n">
        <f aca="false">SUMIF(Itens!$C:$C,A28,Itens!$K:$K)</f>
        <v>56</v>
      </c>
      <c r="I28" s="8" t="s">
        <v>46</v>
      </c>
      <c r="J28" s="10" t="n">
        <v>0</v>
      </c>
    </row>
    <row r="29" customFormat="false" ht="15" hidden="false" customHeight="false" outlineLevel="0" collapsed="false">
      <c r="A29" s="8" t="s">
        <v>82</v>
      </c>
      <c r="B29" s="8" t="s">
        <v>43</v>
      </c>
      <c r="C29" s="9" t="s">
        <v>9</v>
      </c>
      <c r="D29" s="8" t="n">
        <f aca="false">COUNTIF(Itens!$C:$C,A29)</f>
        <v>3</v>
      </c>
      <c r="E29" s="8" t="n">
        <f aca="false">SUMIF(Itens!$C:$C,A29,Itens!$D:$D)</f>
        <v>78</v>
      </c>
      <c r="F29" s="8" t="n">
        <f aca="false">SUMIF(Itens!$C:$C,A29,Itens!$I:$I)</f>
        <v>10</v>
      </c>
      <c r="G29" s="8" t="n">
        <f aca="false">SUMIF(Itens!$C:$C,A29,Itens!$J:$J)</f>
        <v>36</v>
      </c>
      <c r="H29" s="8" t="n">
        <f aca="false">SUMIF(Itens!$C:$C,A29,Itens!$K:$K)</f>
        <v>32</v>
      </c>
      <c r="I29" s="8" t="s">
        <v>44</v>
      </c>
      <c r="J29" s="10" t="n">
        <v>0</v>
      </c>
    </row>
    <row r="30" customFormat="false" ht="15" hidden="false" customHeight="false" outlineLevel="0" collapsed="false">
      <c r="A30" s="8" t="s">
        <v>83</v>
      </c>
      <c r="B30" s="8" t="s">
        <v>43</v>
      </c>
      <c r="C30" s="9" t="s">
        <v>9</v>
      </c>
      <c r="D30" s="8" t="n">
        <f aca="false">COUNTIF(Itens!$C:$C,A30)</f>
        <v>3</v>
      </c>
      <c r="E30" s="8" t="n">
        <f aca="false">SUMIF(Itens!$C:$C,A30,Itens!$D:$D)</f>
        <v>66</v>
      </c>
      <c r="F30" s="8" t="n">
        <f aca="false">SUMIF(Itens!$C:$C,A30,Itens!$I:$I)</f>
        <v>22</v>
      </c>
      <c r="G30" s="8" t="n">
        <f aca="false">SUMIF(Itens!$C:$C,A30,Itens!$J:$J)</f>
        <v>0</v>
      </c>
      <c r="H30" s="8" t="n">
        <f aca="false">SUMIF(Itens!$C:$C,A30,Itens!$K:$K)</f>
        <v>44</v>
      </c>
      <c r="I30" s="8" t="s">
        <v>44</v>
      </c>
      <c r="J30" s="10" t="n">
        <v>0</v>
      </c>
    </row>
    <row r="31" customFormat="false" ht="15" hidden="false" customHeight="false" outlineLevel="0" collapsed="false">
      <c r="A31" s="8" t="s">
        <v>84</v>
      </c>
      <c r="B31" s="8" t="s">
        <v>43</v>
      </c>
      <c r="C31" s="9" t="s">
        <v>9</v>
      </c>
      <c r="D31" s="8" t="n">
        <f aca="false">COUNTIF(Itens!$C:$C,A31)</f>
        <v>3</v>
      </c>
      <c r="E31" s="8" t="n">
        <f aca="false">SUMIF(Itens!$C:$C,A31,Itens!$D:$D)</f>
        <v>66</v>
      </c>
      <c r="F31" s="8" t="n">
        <f aca="false">SUMIF(Itens!$C:$C,A31,Itens!$I:$I)</f>
        <v>22</v>
      </c>
      <c r="G31" s="8" t="n">
        <f aca="false">SUMIF(Itens!$C:$C,A31,Itens!$J:$J)</f>
        <v>23</v>
      </c>
      <c r="H31" s="8" t="n">
        <f aca="false">SUMIF(Itens!$C:$C,A31,Itens!$K:$K)</f>
        <v>21</v>
      </c>
      <c r="I31" s="8" t="s">
        <v>44</v>
      </c>
      <c r="J31" s="10" t="n">
        <v>0</v>
      </c>
    </row>
    <row r="32" customFormat="false" ht="15" hidden="false" customHeight="false" outlineLevel="0" collapsed="false">
      <c r="A32" s="8" t="s">
        <v>85</v>
      </c>
      <c r="B32" s="8" t="s">
        <v>43</v>
      </c>
      <c r="C32" s="9" t="s">
        <v>9</v>
      </c>
      <c r="D32" s="8" t="n">
        <f aca="false">COUNTIF(Itens!$C:$C,A32)</f>
        <v>3</v>
      </c>
      <c r="E32" s="8" t="n">
        <f aca="false">SUMIF(Itens!$C:$C,A32,Itens!$D:$D)</f>
        <v>83</v>
      </c>
      <c r="F32" s="8" t="n">
        <f aca="false">SUMIF(Itens!$C:$C,A32,Itens!$I:$I)</f>
        <v>39</v>
      </c>
      <c r="G32" s="8" t="n">
        <f aca="false">SUMIF(Itens!$C:$C,A32,Itens!$J:$J)</f>
        <v>24</v>
      </c>
      <c r="H32" s="8" t="n">
        <f aca="false">SUMIF(Itens!$C:$C,A32,Itens!$K:$K)</f>
        <v>20</v>
      </c>
      <c r="I32" s="8" t="s">
        <v>44</v>
      </c>
      <c r="J32" s="10" t="n">
        <v>0</v>
      </c>
    </row>
    <row r="33" customFormat="false" ht="15" hidden="false" customHeight="false" outlineLevel="0" collapsed="false">
      <c r="A33" s="8" t="s">
        <v>86</v>
      </c>
      <c r="B33" s="8" t="s">
        <v>43</v>
      </c>
      <c r="C33" s="9" t="s">
        <v>9</v>
      </c>
      <c r="D33" s="8" t="n">
        <f aca="false">COUNTIF(Itens!$C:$C,A33)</f>
        <v>8</v>
      </c>
      <c r="E33" s="8" t="n">
        <f aca="false">SUMIF(Itens!$C:$C,A33,Itens!$D:$D)</f>
        <v>173</v>
      </c>
      <c r="F33" s="8" t="n">
        <f aca="false">SUMIF(Itens!$C:$C,A33,Itens!$I:$I)</f>
        <v>46</v>
      </c>
      <c r="G33" s="8" t="n">
        <f aca="false">SUMIF(Itens!$C:$C,A33,Itens!$J:$J)</f>
        <v>22</v>
      </c>
      <c r="H33" s="8" t="n">
        <f aca="false">SUMIF(Itens!$C:$C,A33,Itens!$K:$K)</f>
        <v>105</v>
      </c>
      <c r="I33" s="8" t="s">
        <v>44</v>
      </c>
      <c r="J33" s="10" t="n">
        <v>0</v>
      </c>
    </row>
    <row r="34" customFormat="false" ht="15" hidden="false" customHeight="false" outlineLevel="0" collapsed="false">
      <c r="A34" s="8" t="s">
        <v>87</v>
      </c>
      <c r="B34" s="8" t="s">
        <v>43</v>
      </c>
      <c r="C34" s="9" t="s">
        <v>9</v>
      </c>
      <c r="D34" s="8" t="n">
        <f aca="false">COUNTIF(Itens!$C:$C,A34)</f>
        <v>7</v>
      </c>
      <c r="E34" s="8" t="n">
        <f aca="false">SUMIF(Itens!$C:$C,A34,Itens!$D:$D)</f>
        <v>109</v>
      </c>
      <c r="F34" s="8" t="n">
        <f aca="false">SUMIF(Itens!$C:$C,A34,Itens!$I:$I)</f>
        <v>57</v>
      </c>
      <c r="G34" s="8" t="n">
        <f aca="false">SUMIF(Itens!$C:$C,A34,Itens!$J:$J)</f>
        <v>28</v>
      </c>
      <c r="H34" s="8" t="n">
        <f aca="false">SUMIF(Itens!$C:$C,A34,Itens!$K:$K)</f>
        <v>24</v>
      </c>
      <c r="I34" s="8" t="s">
        <v>44</v>
      </c>
      <c r="J34" s="10" t="n">
        <v>0</v>
      </c>
    </row>
    <row r="35" customFormat="false" ht="15" hidden="false" customHeight="false" outlineLevel="0" collapsed="false">
      <c r="A35" s="8" t="s">
        <v>88</v>
      </c>
      <c r="B35" s="8" t="s">
        <v>43</v>
      </c>
      <c r="C35" s="9" t="s">
        <v>9</v>
      </c>
      <c r="D35" s="8" t="n">
        <f aca="false">COUNTIF(Itens!$C:$C,A35)</f>
        <v>7</v>
      </c>
      <c r="E35" s="8" t="n">
        <f aca="false">SUMIF(Itens!$C:$C,A35,Itens!$D:$D)</f>
        <v>129</v>
      </c>
      <c r="F35" s="8" t="n">
        <f aca="false">SUMIF(Itens!$C:$C,A35,Itens!$I:$I)</f>
        <v>14</v>
      </c>
      <c r="G35" s="8" t="n">
        <f aca="false">SUMIF(Itens!$C:$C,A35,Itens!$J:$J)</f>
        <v>98</v>
      </c>
      <c r="H35" s="8" t="n">
        <f aca="false">SUMIF(Itens!$C:$C,A35,Itens!$K:$K)</f>
        <v>17</v>
      </c>
      <c r="I35" s="8" t="s">
        <v>44</v>
      </c>
      <c r="J35" s="10" t="n">
        <v>0</v>
      </c>
    </row>
    <row r="36" customFormat="false" ht="15" hidden="false" customHeight="false" outlineLevel="0" collapsed="false">
      <c r="A36" s="8" t="s">
        <v>89</v>
      </c>
      <c r="B36" s="8" t="s">
        <v>43</v>
      </c>
      <c r="C36" s="9" t="s">
        <v>10</v>
      </c>
      <c r="D36" s="8" t="n">
        <f aca="false">COUNTIF(Itens!$C:$C,A36)</f>
        <v>4</v>
      </c>
      <c r="E36" s="8" t="n">
        <f aca="false">SUMIF(Itens!$C:$C,A36,Itens!$D:$D)</f>
        <v>107</v>
      </c>
      <c r="F36" s="8" t="n">
        <f aca="false">SUMIF(Itens!$C:$C,A36,Itens!$I:$I)</f>
        <v>0</v>
      </c>
      <c r="G36" s="8" t="n">
        <f aca="false">SUMIF(Itens!$C:$C,A36,Itens!$J:$J)</f>
        <v>0</v>
      </c>
      <c r="H36" s="8" t="n">
        <f aca="false">SUMIF(Itens!$C:$C,A36,Itens!$K:$K)</f>
        <v>107</v>
      </c>
      <c r="I36" s="8" t="s">
        <v>46</v>
      </c>
      <c r="J36" s="10" t="n">
        <v>0</v>
      </c>
    </row>
    <row r="37" customFormat="false" ht="15" hidden="false" customHeight="false" outlineLevel="0" collapsed="false">
      <c r="A37" s="8" t="s">
        <v>90</v>
      </c>
      <c r="B37" s="8" t="s">
        <v>43</v>
      </c>
      <c r="C37" s="9" t="s">
        <v>9</v>
      </c>
      <c r="D37" s="8" t="n">
        <f aca="false">COUNTIF(Itens!$C:$C,A37)</f>
        <v>5</v>
      </c>
      <c r="E37" s="8" t="n">
        <f aca="false">SUMIF(Itens!$C:$C,A37,Itens!$D:$D)</f>
        <v>119</v>
      </c>
      <c r="F37" s="8" t="n">
        <f aca="false">SUMIF(Itens!$C:$C,A37,Itens!$I:$I)</f>
        <v>10</v>
      </c>
      <c r="G37" s="8" t="n">
        <f aca="false">SUMIF(Itens!$C:$C,A37,Itens!$J:$J)</f>
        <v>30</v>
      </c>
      <c r="H37" s="8" t="n">
        <f aca="false">SUMIF(Itens!$C:$C,A37,Itens!$K:$K)</f>
        <v>79</v>
      </c>
      <c r="I37" s="8" t="s">
        <v>91</v>
      </c>
      <c r="J37" s="10" t="n">
        <v>0</v>
      </c>
    </row>
    <row r="38" customFormat="false" ht="15" hidden="false" customHeight="false" outlineLevel="0" collapsed="false">
      <c r="A38" s="8" t="s">
        <v>92</v>
      </c>
      <c r="B38" s="8" t="s">
        <v>43</v>
      </c>
      <c r="C38" s="9" t="s">
        <v>10</v>
      </c>
      <c r="D38" s="8" t="n">
        <f aca="false">COUNTIF(Itens!$C:$C,A38)</f>
        <v>3</v>
      </c>
      <c r="E38" s="8" t="n">
        <f aca="false">SUMIF(Itens!$C:$C,A38,Itens!$D:$D)</f>
        <v>87</v>
      </c>
      <c r="F38" s="8" t="n">
        <f aca="false">SUMIF(Itens!$C:$C,A38,Itens!$I:$I)</f>
        <v>0</v>
      </c>
      <c r="G38" s="8" t="n">
        <f aca="false">SUMIF(Itens!$C:$C,A38,Itens!$J:$J)</f>
        <v>0</v>
      </c>
      <c r="H38" s="8" t="n">
        <f aca="false">SUMIF(Itens!$C:$C,A38,Itens!$K:$K)</f>
        <v>87</v>
      </c>
      <c r="I38" s="8" t="s">
        <v>46</v>
      </c>
      <c r="J38" s="10" t="n">
        <v>0</v>
      </c>
    </row>
    <row r="39" customFormat="false" ht="15" hidden="false" customHeight="false" outlineLevel="0" collapsed="false">
      <c r="A39" s="8" t="s">
        <v>93</v>
      </c>
      <c r="B39" s="8" t="s">
        <v>43</v>
      </c>
      <c r="C39" s="9" t="s">
        <v>10</v>
      </c>
      <c r="D39" s="8" t="n">
        <f aca="false">COUNTIF(Itens!$C:$C,A39)</f>
        <v>3</v>
      </c>
      <c r="E39" s="8" t="n">
        <f aca="false">SUMIF(Itens!$C:$C,A39,Itens!$D:$D)</f>
        <v>81</v>
      </c>
      <c r="F39" s="8" t="n">
        <f aca="false">SUMIF(Itens!$C:$C,A39,Itens!$I:$I)</f>
        <v>0</v>
      </c>
      <c r="G39" s="8" t="n">
        <f aca="false">SUMIF(Itens!$C:$C,A39,Itens!$J:$J)</f>
        <v>0</v>
      </c>
      <c r="H39" s="8" t="n">
        <f aca="false">SUMIF(Itens!$C:$C,A39,Itens!$K:$K)</f>
        <v>81</v>
      </c>
      <c r="I39" s="8" t="s">
        <v>46</v>
      </c>
      <c r="J39" s="10" t="n">
        <v>0</v>
      </c>
    </row>
    <row r="40" customFormat="false" ht="15" hidden="false" customHeight="false" outlineLevel="0" collapsed="false">
      <c r="A40" s="8" t="s">
        <v>94</v>
      </c>
      <c r="B40" s="8" t="s">
        <v>43</v>
      </c>
      <c r="C40" s="9" t="s">
        <v>10</v>
      </c>
      <c r="D40" s="8" t="n">
        <f aca="false">COUNTIF(Itens!$C:$C,A40)</f>
        <v>3</v>
      </c>
      <c r="E40" s="8" t="n">
        <f aca="false">SUMIF(Itens!$C:$C,A40,Itens!$D:$D)</f>
        <v>87</v>
      </c>
      <c r="F40" s="8" t="n">
        <f aca="false">SUMIF(Itens!$C:$C,A40,Itens!$I:$I)</f>
        <v>0</v>
      </c>
      <c r="G40" s="8" t="n">
        <f aca="false">SUMIF(Itens!$C:$C,A40,Itens!$J:$J)</f>
        <v>0</v>
      </c>
      <c r="H40" s="8" t="n">
        <f aca="false">SUMIF(Itens!$C:$C,A40,Itens!$K:$K)</f>
        <v>87</v>
      </c>
      <c r="I40" s="8" t="s">
        <v>46</v>
      </c>
      <c r="J40" s="10" t="n">
        <v>0</v>
      </c>
    </row>
    <row r="41" customFormat="false" ht="15" hidden="false" customHeight="false" outlineLevel="0" collapsed="false">
      <c r="A41" s="8" t="s">
        <v>95</v>
      </c>
      <c r="B41" s="8" t="s">
        <v>43</v>
      </c>
      <c r="C41" s="9" t="s">
        <v>7</v>
      </c>
      <c r="D41" s="8" t="n">
        <f aca="false">COUNTIF(Itens!$C:$C,A41)</f>
        <v>3</v>
      </c>
      <c r="E41" s="8" t="n">
        <f aca="false">SUMIF(Itens!$C:$C,A41,Itens!$D:$D)</f>
        <v>87</v>
      </c>
      <c r="F41" s="8" t="n">
        <f aca="false">SUMIF(Itens!$C:$C,A41,Itens!$I:$I)</f>
        <v>87</v>
      </c>
      <c r="G41" s="8" t="n">
        <f aca="false">SUMIF(Itens!$C:$C,A41,Itens!$J:$J)</f>
        <v>0</v>
      </c>
      <c r="H41" s="8" t="n">
        <f aca="false">SUMIF(Itens!$C:$C,A41,Itens!$K:$K)</f>
        <v>0</v>
      </c>
      <c r="I41" s="8" t="s">
        <v>96</v>
      </c>
      <c r="J41" s="10" t="n">
        <v>48</v>
      </c>
    </row>
    <row r="42" customFormat="false" ht="15" hidden="false" customHeight="false" outlineLevel="0" collapsed="false">
      <c r="A42" s="8" t="s">
        <v>97</v>
      </c>
      <c r="B42" s="8" t="s">
        <v>43</v>
      </c>
      <c r="C42" s="9" t="s">
        <v>7</v>
      </c>
      <c r="D42" s="8" t="n">
        <f aca="false">COUNTIF(Itens!$C:$C,A42)</f>
        <v>3</v>
      </c>
      <c r="E42" s="8" t="n">
        <f aca="false">SUMIF(Itens!$C:$C,A42,Itens!$D:$D)</f>
        <v>47</v>
      </c>
      <c r="F42" s="8" t="n">
        <f aca="false">SUMIF(Itens!$C:$C,A42,Itens!$I:$I)</f>
        <v>47</v>
      </c>
      <c r="G42" s="8" t="n">
        <f aca="false">SUMIF(Itens!$C:$C,A42,Itens!$J:$J)</f>
        <v>0</v>
      </c>
      <c r="H42" s="8" t="n">
        <f aca="false">SUMIF(Itens!$C:$C,A42,Itens!$K:$K)</f>
        <v>0</v>
      </c>
      <c r="I42" s="8" t="s">
        <v>98</v>
      </c>
      <c r="J42" s="10" t="n">
        <v>19</v>
      </c>
    </row>
    <row r="43" customFormat="false" ht="15" hidden="false" customHeight="false" outlineLevel="0" collapsed="false">
      <c r="A43" s="8" t="s">
        <v>99</v>
      </c>
      <c r="B43" s="8" t="s">
        <v>43</v>
      </c>
      <c r="C43" s="9" t="s">
        <v>7</v>
      </c>
      <c r="D43" s="8" t="n">
        <f aca="false">COUNTIF(Itens!$C:$C,A43)</f>
        <v>3</v>
      </c>
      <c r="E43" s="8" t="n">
        <f aca="false">SUMIF(Itens!$C:$C,A43,Itens!$D:$D)</f>
        <v>53</v>
      </c>
      <c r="F43" s="8" t="n">
        <f aca="false">SUMIF(Itens!$C:$C,A43,Itens!$I:$I)</f>
        <v>53</v>
      </c>
      <c r="G43" s="8" t="n">
        <f aca="false">SUMIF(Itens!$C:$C,A43,Itens!$J:$J)</f>
        <v>0</v>
      </c>
      <c r="H43" s="8" t="n">
        <f aca="false">SUMIF(Itens!$C:$C,A43,Itens!$K:$K)</f>
        <v>0</v>
      </c>
      <c r="I43" s="8" t="s">
        <v>100</v>
      </c>
      <c r="J43" s="10" t="n">
        <v>1</v>
      </c>
    </row>
    <row r="44" customFormat="false" ht="15" hidden="false" customHeight="false" outlineLevel="0" collapsed="false">
      <c r="A44" s="8" t="s">
        <v>101</v>
      </c>
      <c r="B44" s="8" t="s">
        <v>43</v>
      </c>
      <c r="C44" s="9" t="s">
        <v>7</v>
      </c>
      <c r="D44" s="8" t="n">
        <f aca="false">COUNTIF(Itens!$C:$C,A44)</f>
        <v>3</v>
      </c>
      <c r="E44" s="8" t="n">
        <f aca="false">SUMIF(Itens!$C:$C,A44,Itens!$D:$D)</f>
        <v>53</v>
      </c>
      <c r="F44" s="8" t="n">
        <f aca="false">SUMIF(Itens!$C:$C,A44,Itens!$I:$I)</f>
        <v>53</v>
      </c>
      <c r="G44" s="8" t="n">
        <f aca="false">SUMIF(Itens!$C:$C,A44,Itens!$J:$J)</f>
        <v>0</v>
      </c>
      <c r="H44" s="8" t="n">
        <f aca="false">SUMIF(Itens!$C:$C,A44,Itens!$K:$K)</f>
        <v>0</v>
      </c>
      <c r="I44" s="8" t="s">
        <v>102</v>
      </c>
      <c r="J44" s="10" t="n">
        <v>7</v>
      </c>
    </row>
    <row r="45" customFormat="false" ht="15" hidden="false" customHeight="false" outlineLevel="0" collapsed="false">
      <c r="A45" s="8" t="s">
        <v>103</v>
      </c>
      <c r="B45" s="8" t="s">
        <v>43</v>
      </c>
      <c r="C45" s="9" t="s">
        <v>10</v>
      </c>
      <c r="D45" s="8" t="n">
        <f aca="false">COUNTIF(Itens!$C:$C,A45)</f>
        <v>3</v>
      </c>
      <c r="E45" s="8" t="n">
        <f aca="false">SUMIF(Itens!$C:$C,A45,Itens!$D:$D)</f>
        <v>67</v>
      </c>
      <c r="F45" s="8" t="n">
        <f aca="false">SUMIF(Itens!$C:$C,A45,Itens!$I:$I)</f>
        <v>0</v>
      </c>
      <c r="G45" s="8" t="n">
        <f aca="false">SUMIF(Itens!$C:$C,A45,Itens!$J:$J)</f>
        <v>0</v>
      </c>
      <c r="H45" s="8" t="n">
        <f aca="false">SUMIF(Itens!$C:$C,A45,Itens!$K:$K)</f>
        <v>67</v>
      </c>
      <c r="I45" s="8" t="s">
        <v>46</v>
      </c>
      <c r="J45" s="10" t="n">
        <v>0</v>
      </c>
    </row>
    <row r="46" customFormat="false" ht="15" hidden="false" customHeight="false" outlineLevel="0" collapsed="false">
      <c r="A46" s="8" t="s">
        <v>104</v>
      </c>
      <c r="B46" s="8" t="s">
        <v>43</v>
      </c>
      <c r="C46" s="9" t="s">
        <v>9</v>
      </c>
      <c r="D46" s="8" t="n">
        <f aca="false">COUNTIF(Itens!$C:$C,A46)</f>
        <v>3</v>
      </c>
      <c r="E46" s="8" t="n">
        <f aca="false">SUMIF(Itens!$C:$C,A46,Itens!$D:$D)</f>
        <v>67</v>
      </c>
      <c r="F46" s="8" t="n">
        <f aca="false">SUMIF(Itens!$C:$C,A46,Itens!$I:$I)</f>
        <v>0</v>
      </c>
      <c r="G46" s="8" t="n">
        <f aca="false">SUMIF(Itens!$C:$C,A46,Itens!$J:$J)</f>
        <v>52</v>
      </c>
      <c r="H46" s="8" t="n">
        <f aca="false">SUMIF(Itens!$C:$C,A46,Itens!$K:$K)</f>
        <v>15</v>
      </c>
      <c r="I46" s="8" t="s">
        <v>70</v>
      </c>
      <c r="J46" s="10" t="n">
        <v>0</v>
      </c>
    </row>
    <row r="47" customFormat="false" ht="15" hidden="false" customHeight="false" outlineLevel="0" collapsed="false">
      <c r="A47" s="8" t="s">
        <v>105</v>
      </c>
      <c r="B47" s="8" t="s">
        <v>43</v>
      </c>
      <c r="C47" s="9" t="s">
        <v>10</v>
      </c>
      <c r="D47" s="8" t="n">
        <f aca="false">COUNTIF(Itens!$C:$C,A47)</f>
        <v>3</v>
      </c>
      <c r="E47" s="8" t="n">
        <f aca="false">SUMIF(Itens!$C:$C,A47,Itens!$D:$D)</f>
        <v>67</v>
      </c>
      <c r="F47" s="8" t="n">
        <f aca="false">SUMIF(Itens!$C:$C,A47,Itens!$I:$I)</f>
        <v>0</v>
      </c>
      <c r="G47" s="8" t="n">
        <f aca="false">SUMIF(Itens!$C:$C,A47,Itens!$J:$J)</f>
        <v>0</v>
      </c>
      <c r="H47" s="8" t="n">
        <f aca="false">SUMIF(Itens!$C:$C,A47,Itens!$K:$K)</f>
        <v>67</v>
      </c>
      <c r="I47" s="8" t="s">
        <v>46</v>
      </c>
      <c r="J47" s="10" t="n">
        <v>0</v>
      </c>
    </row>
    <row r="48" customFormat="false" ht="15" hidden="false" customHeight="false" outlineLevel="0" collapsed="false">
      <c r="A48" s="8" t="s">
        <v>106</v>
      </c>
      <c r="B48" s="8" t="s">
        <v>43</v>
      </c>
      <c r="C48" s="9" t="s">
        <v>8</v>
      </c>
      <c r="D48" s="8" t="n">
        <f aca="false">COUNTIF(Itens!$C:$C,A48)</f>
        <v>3</v>
      </c>
      <c r="E48" s="8" t="n">
        <f aca="false">SUMIF(Itens!$C:$C,A48,Itens!$D:$D)</f>
        <v>67</v>
      </c>
      <c r="F48" s="8" t="n">
        <f aca="false">SUMIF(Itens!$C:$C,A48,Itens!$I:$I)</f>
        <v>0</v>
      </c>
      <c r="G48" s="8" t="n">
        <f aca="false">SUMIF(Itens!$C:$C,A48,Itens!$J:$J)</f>
        <v>67</v>
      </c>
      <c r="H48" s="8" t="n">
        <f aca="false">SUMIF(Itens!$C:$C,A48,Itens!$K:$K)</f>
        <v>0</v>
      </c>
      <c r="I48" s="8" t="s">
        <v>51</v>
      </c>
      <c r="J48" s="10" t="n">
        <v>0</v>
      </c>
    </row>
    <row r="49" customFormat="false" ht="15" hidden="false" customHeight="false" outlineLevel="0" collapsed="false">
      <c r="A49" s="8" t="s">
        <v>107</v>
      </c>
      <c r="B49" s="8" t="s">
        <v>43</v>
      </c>
      <c r="C49" s="9" t="s">
        <v>9</v>
      </c>
      <c r="D49" s="8" t="n">
        <f aca="false">COUNTIF(Itens!$C:$C,A49)</f>
        <v>3</v>
      </c>
      <c r="E49" s="8" t="n">
        <f aca="false">SUMIF(Itens!$C:$C,A49,Itens!$D:$D)</f>
        <v>67</v>
      </c>
      <c r="F49" s="8" t="n">
        <f aca="false">SUMIF(Itens!$C:$C,A49,Itens!$I:$I)</f>
        <v>0</v>
      </c>
      <c r="G49" s="8" t="n">
        <f aca="false">SUMIF(Itens!$C:$C,A49,Itens!$J:$J)</f>
        <v>40</v>
      </c>
      <c r="H49" s="8" t="n">
        <f aca="false">SUMIF(Itens!$C:$C,A49,Itens!$K:$K)</f>
        <v>27</v>
      </c>
      <c r="I49" s="8" t="s">
        <v>70</v>
      </c>
      <c r="J49" s="10" t="n">
        <v>0</v>
      </c>
    </row>
    <row r="50" customFormat="false" ht="15" hidden="false" customHeight="false" outlineLevel="0" collapsed="false">
      <c r="A50" s="8" t="s">
        <v>108</v>
      </c>
      <c r="B50" s="8" t="s">
        <v>43</v>
      </c>
      <c r="C50" s="9" t="s">
        <v>9</v>
      </c>
      <c r="D50" s="8" t="n">
        <f aca="false">COUNTIF(Itens!$C:$C,A50)</f>
        <v>3</v>
      </c>
      <c r="E50" s="8" t="n">
        <f aca="false">SUMIF(Itens!$C:$C,A50,Itens!$D:$D)</f>
        <v>79</v>
      </c>
      <c r="F50" s="8" t="n">
        <f aca="false">SUMIF(Itens!$C:$C,A50,Itens!$I:$I)</f>
        <v>13</v>
      </c>
      <c r="G50" s="8" t="n">
        <f aca="false">SUMIF(Itens!$C:$C,A50,Itens!$J:$J)</f>
        <v>47</v>
      </c>
      <c r="H50" s="8" t="n">
        <f aca="false">SUMIF(Itens!$C:$C,A50,Itens!$K:$K)</f>
        <v>19</v>
      </c>
      <c r="I50" s="8" t="s">
        <v>70</v>
      </c>
      <c r="J50" s="10" t="n">
        <v>0</v>
      </c>
    </row>
    <row r="51" customFormat="false" ht="15" hidden="false" customHeight="false" outlineLevel="0" collapsed="false">
      <c r="A51" s="8" t="s">
        <v>109</v>
      </c>
      <c r="B51" s="8" t="s">
        <v>43</v>
      </c>
      <c r="C51" s="9" t="s">
        <v>7</v>
      </c>
      <c r="D51" s="8" t="n">
        <f aca="false">COUNTIF(Itens!$C:$C,A51)</f>
        <v>3</v>
      </c>
      <c r="E51" s="8" t="n">
        <f aca="false">SUMIF(Itens!$C:$C,A51,Itens!$D:$D)</f>
        <v>61</v>
      </c>
      <c r="F51" s="8" t="n">
        <f aca="false">SUMIF(Itens!$C:$C,A51,Itens!$I:$I)</f>
        <v>61</v>
      </c>
      <c r="G51" s="8" t="n">
        <f aca="false">SUMIF(Itens!$C:$C,A51,Itens!$J:$J)</f>
        <v>0</v>
      </c>
      <c r="H51" s="8" t="n">
        <f aca="false">SUMIF(Itens!$C:$C,A51,Itens!$K:$K)</f>
        <v>0</v>
      </c>
      <c r="I51" s="8" t="s">
        <v>110</v>
      </c>
      <c r="J51" s="10" t="n">
        <v>45</v>
      </c>
    </row>
    <row r="52" customFormat="false" ht="15" hidden="false" customHeight="false" outlineLevel="0" collapsed="false">
      <c r="A52" s="8" t="s">
        <v>111</v>
      </c>
      <c r="B52" s="8" t="s">
        <v>43</v>
      </c>
      <c r="C52" s="9" t="s">
        <v>9</v>
      </c>
      <c r="D52" s="8" t="n">
        <f aca="false">COUNTIF(Itens!$C:$C,A52)</f>
        <v>3</v>
      </c>
      <c r="E52" s="8" t="n">
        <f aca="false">SUMIF(Itens!$C:$C,A52,Itens!$D:$D)</f>
        <v>59</v>
      </c>
      <c r="F52" s="8" t="n">
        <f aca="false">SUMIF(Itens!$C:$C,A52,Itens!$I:$I)</f>
        <v>10</v>
      </c>
      <c r="G52" s="8" t="n">
        <f aca="false">SUMIF(Itens!$C:$C,A52,Itens!$J:$J)</f>
        <v>19</v>
      </c>
      <c r="H52" s="8" t="n">
        <f aca="false">SUMIF(Itens!$C:$C,A52,Itens!$K:$K)</f>
        <v>30</v>
      </c>
      <c r="I52" s="8" t="s">
        <v>70</v>
      </c>
      <c r="J52" s="10" t="n">
        <v>0</v>
      </c>
    </row>
    <row r="53" customFormat="false" ht="15" hidden="false" customHeight="false" outlineLevel="0" collapsed="false">
      <c r="A53" s="8" t="s">
        <v>112</v>
      </c>
      <c r="B53" s="8" t="s">
        <v>43</v>
      </c>
      <c r="C53" s="9" t="s">
        <v>10</v>
      </c>
      <c r="D53" s="8" t="n">
        <f aca="false">COUNTIF(Itens!$C:$C,A53)</f>
        <v>3</v>
      </c>
      <c r="E53" s="8" t="n">
        <f aca="false">SUMIF(Itens!$C:$C,A53,Itens!$D:$D)</f>
        <v>59</v>
      </c>
      <c r="F53" s="8" t="n">
        <f aca="false">SUMIF(Itens!$C:$C,A53,Itens!$I:$I)</f>
        <v>0</v>
      </c>
      <c r="G53" s="8" t="n">
        <f aca="false">SUMIF(Itens!$C:$C,A53,Itens!$J:$J)</f>
        <v>0</v>
      </c>
      <c r="H53" s="8" t="n">
        <f aca="false">SUMIF(Itens!$C:$C,A53,Itens!$K:$K)</f>
        <v>59</v>
      </c>
      <c r="I53" s="8" t="s">
        <v>46</v>
      </c>
      <c r="J53" s="10" t="n">
        <v>0</v>
      </c>
    </row>
    <row r="54" customFormat="false" ht="15" hidden="false" customHeight="false" outlineLevel="0" collapsed="false">
      <c r="A54" s="8" t="s">
        <v>113</v>
      </c>
      <c r="B54" s="8" t="s">
        <v>43</v>
      </c>
      <c r="C54" s="9" t="s">
        <v>10</v>
      </c>
      <c r="D54" s="8" t="n">
        <f aca="false">COUNTIF(Itens!$C:$C,A54)</f>
        <v>3</v>
      </c>
      <c r="E54" s="8" t="n">
        <f aca="false">SUMIF(Itens!$C:$C,A54,Itens!$D:$D)</f>
        <v>59</v>
      </c>
      <c r="F54" s="8" t="n">
        <f aca="false">SUMIF(Itens!$C:$C,A54,Itens!$I:$I)</f>
        <v>0</v>
      </c>
      <c r="G54" s="8" t="n">
        <f aca="false">SUMIF(Itens!$C:$C,A54,Itens!$J:$J)</f>
        <v>0</v>
      </c>
      <c r="H54" s="8" t="n">
        <f aca="false">SUMIF(Itens!$C:$C,A54,Itens!$K:$K)</f>
        <v>59</v>
      </c>
      <c r="I54" s="8" t="s">
        <v>46</v>
      </c>
      <c r="J54" s="10" t="n">
        <v>0</v>
      </c>
    </row>
    <row r="55" customFormat="false" ht="15" hidden="false" customHeight="false" outlineLevel="0" collapsed="false">
      <c r="A55" s="8" t="s">
        <v>114</v>
      </c>
      <c r="B55" s="8" t="s">
        <v>43</v>
      </c>
      <c r="C55" s="9" t="s">
        <v>10</v>
      </c>
      <c r="D55" s="8" t="n">
        <f aca="false">COUNTIF(Itens!$C:$C,A55)</f>
        <v>3</v>
      </c>
      <c r="E55" s="8" t="n">
        <f aca="false">SUMIF(Itens!$C:$C,A55,Itens!$D:$D)</f>
        <v>59</v>
      </c>
      <c r="F55" s="8" t="n">
        <f aca="false">SUMIF(Itens!$C:$C,A55,Itens!$I:$I)</f>
        <v>0</v>
      </c>
      <c r="G55" s="8" t="n">
        <f aca="false">SUMIF(Itens!$C:$C,A55,Itens!$J:$J)</f>
        <v>0</v>
      </c>
      <c r="H55" s="8" t="n">
        <f aca="false">SUMIF(Itens!$C:$C,A55,Itens!$K:$K)</f>
        <v>59</v>
      </c>
      <c r="I55" s="8" t="s">
        <v>46</v>
      </c>
      <c r="J55" s="10" t="n">
        <v>0</v>
      </c>
    </row>
    <row r="56" customFormat="false" ht="15" hidden="false" customHeight="false" outlineLevel="0" collapsed="false">
      <c r="A56" s="8" t="s">
        <v>115</v>
      </c>
      <c r="B56" s="8" t="s">
        <v>43</v>
      </c>
      <c r="C56" s="9" t="s">
        <v>7</v>
      </c>
      <c r="D56" s="8" t="n">
        <f aca="false">COUNTIF(Itens!$C:$C,A56)</f>
        <v>4</v>
      </c>
      <c r="E56" s="8" t="n">
        <f aca="false">SUMIF(Itens!$C:$C,A56,Itens!$D:$D)</f>
        <v>71</v>
      </c>
      <c r="F56" s="8" t="n">
        <f aca="false">SUMIF(Itens!$C:$C,A56,Itens!$I:$I)</f>
        <v>71</v>
      </c>
      <c r="G56" s="8" t="n">
        <f aca="false">SUMIF(Itens!$C:$C,A56,Itens!$J:$J)</f>
        <v>0</v>
      </c>
      <c r="H56" s="8" t="n">
        <f aca="false">SUMIF(Itens!$C:$C,A56,Itens!$K:$K)</f>
        <v>0</v>
      </c>
      <c r="I56" s="8" t="s">
        <v>59</v>
      </c>
      <c r="J56" s="10" t="n">
        <v>0</v>
      </c>
    </row>
    <row r="57" customFormat="false" ht="15" hidden="false" customHeight="false" outlineLevel="0" collapsed="false">
      <c r="A57" s="8" t="s">
        <v>116</v>
      </c>
      <c r="B57" s="8" t="s">
        <v>43</v>
      </c>
      <c r="C57" s="9" t="s">
        <v>7</v>
      </c>
      <c r="D57" s="8" t="n">
        <f aca="false">COUNTIF(Itens!$C:$C,A57)</f>
        <v>4</v>
      </c>
      <c r="E57" s="8" t="n">
        <f aca="false">SUMIF(Itens!$C:$C,A57,Itens!$D:$D)</f>
        <v>70</v>
      </c>
      <c r="F57" s="8" t="n">
        <f aca="false">SUMIF(Itens!$C:$C,A57,Itens!$I:$I)</f>
        <v>70</v>
      </c>
      <c r="G57" s="8" t="n">
        <f aca="false">SUMIF(Itens!$C:$C,A57,Itens!$J:$J)</f>
        <v>0</v>
      </c>
      <c r="H57" s="8" t="n">
        <f aca="false">SUMIF(Itens!$C:$C,A57,Itens!$K:$K)</f>
        <v>0</v>
      </c>
      <c r="I57" s="8" t="s">
        <v>117</v>
      </c>
      <c r="J57" s="10" t="n">
        <v>32</v>
      </c>
    </row>
    <row r="58" customFormat="false" ht="15" hidden="false" customHeight="false" outlineLevel="0" collapsed="false">
      <c r="A58" s="8" t="s">
        <v>118</v>
      </c>
      <c r="B58" s="8" t="s">
        <v>43</v>
      </c>
      <c r="C58" s="9" t="s">
        <v>8</v>
      </c>
      <c r="D58" s="8" t="n">
        <f aca="false">COUNTIF(Itens!$C:$C,A58)</f>
        <v>3</v>
      </c>
      <c r="E58" s="8" t="n">
        <f aca="false">SUMIF(Itens!$C:$C,A58,Itens!$D:$D)</f>
        <v>68</v>
      </c>
      <c r="F58" s="8" t="n">
        <f aca="false">SUMIF(Itens!$C:$C,A58,Itens!$I:$I)</f>
        <v>0</v>
      </c>
      <c r="G58" s="8" t="n">
        <f aca="false">SUMIF(Itens!$C:$C,A58,Itens!$J:$J)</f>
        <v>68</v>
      </c>
      <c r="H58" s="8" t="n">
        <f aca="false">SUMIF(Itens!$C:$C,A58,Itens!$K:$K)</f>
        <v>0</v>
      </c>
      <c r="I58" s="8" t="s">
        <v>51</v>
      </c>
      <c r="J58" s="10" t="n">
        <v>0</v>
      </c>
    </row>
    <row r="59" customFormat="false" ht="15" hidden="false" customHeight="false" outlineLevel="0" collapsed="false">
      <c r="A59" s="8" t="s">
        <v>119</v>
      </c>
      <c r="B59" s="8" t="s">
        <v>43</v>
      </c>
      <c r="C59" s="9" t="s">
        <v>7</v>
      </c>
      <c r="D59" s="8" t="n">
        <f aca="false">COUNTIF(Itens!$C:$C,A59)</f>
        <v>3</v>
      </c>
      <c r="E59" s="8" t="n">
        <f aca="false">SUMIF(Itens!$C:$C,A59,Itens!$D:$D)</f>
        <v>68</v>
      </c>
      <c r="F59" s="8" t="n">
        <f aca="false">SUMIF(Itens!$C:$C,A59,Itens!$I:$I)</f>
        <v>68</v>
      </c>
      <c r="G59" s="8" t="n">
        <f aca="false">SUMIF(Itens!$C:$C,A59,Itens!$J:$J)</f>
        <v>0</v>
      </c>
      <c r="H59" s="8" t="n">
        <f aca="false">SUMIF(Itens!$C:$C,A59,Itens!$K:$K)</f>
        <v>0</v>
      </c>
      <c r="I59" s="8" t="s">
        <v>59</v>
      </c>
      <c r="J59" s="10" t="n">
        <v>0</v>
      </c>
    </row>
    <row r="60" customFormat="false" ht="15" hidden="false" customHeight="false" outlineLevel="0" collapsed="false">
      <c r="A60" s="8" t="s">
        <v>120</v>
      </c>
      <c r="B60" s="8" t="s">
        <v>43</v>
      </c>
      <c r="C60" s="9" t="s">
        <v>10</v>
      </c>
      <c r="D60" s="8" t="n">
        <f aca="false">COUNTIF(Itens!$C:$C,A60)</f>
        <v>3</v>
      </c>
      <c r="E60" s="8" t="n">
        <f aca="false">SUMIF(Itens!$C:$C,A60,Itens!$D:$D)</f>
        <v>48</v>
      </c>
      <c r="F60" s="8" t="n">
        <f aca="false">SUMIF(Itens!$C:$C,A60,Itens!$I:$I)</f>
        <v>0</v>
      </c>
      <c r="G60" s="8" t="n">
        <f aca="false">SUMIF(Itens!$C:$C,A60,Itens!$J:$J)</f>
        <v>0</v>
      </c>
      <c r="H60" s="8" t="n">
        <f aca="false">SUMIF(Itens!$C:$C,A60,Itens!$K:$K)</f>
        <v>48</v>
      </c>
      <c r="I60" s="8" t="s">
        <v>46</v>
      </c>
      <c r="J60" s="10" t="n">
        <v>0</v>
      </c>
    </row>
    <row r="61" customFormat="false" ht="15" hidden="false" customHeight="false" outlineLevel="0" collapsed="false">
      <c r="A61" s="8" t="s">
        <v>121</v>
      </c>
      <c r="B61" s="8" t="s">
        <v>43</v>
      </c>
      <c r="C61" s="9" t="s">
        <v>10</v>
      </c>
      <c r="D61" s="8" t="n">
        <f aca="false">COUNTIF(Itens!$C:$C,A61)</f>
        <v>3</v>
      </c>
      <c r="E61" s="8" t="n">
        <f aca="false">SUMIF(Itens!$C:$C,A61,Itens!$D:$D)</f>
        <v>48</v>
      </c>
      <c r="F61" s="8" t="n">
        <f aca="false">SUMIF(Itens!$C:$C,A61,Itens!$I:$I)</f>
        <v>0</v>
      </c>
      <c r="G61" s="8" t="n">
        <f aca="false">SUMIF(Itens!$C:$C,A61,Itens!$J:$J)</f>
        <v>0</v>
      </c>
      <c r="H61" s="8" t="n">
        <f aca="false">SUMIF(Itens!$C:$C,A61,Itens!$K:$K)</f>
        <v>48</v>
      </c>
      <c r="I61" s="8" t="s">
        <v>46</v>
      </c>
      <c r="J61" s="10" t="n">
        <v>0</v>
      </c>
    </row>
    <row r="62" customFormat="false" ht="15" hidden="false" customHeight="false" outlineLevel="0" collapsed="false">
      <c r="A62" s="8" t="s">
        <v>122</v>
      </c>
      <c r="B62" s="8" t="s">
        <v>43</v>
      </c>
      <c r="C62" s="9" t="s">
        <v>10</v>
      </c>
      <c r="D62" s="8" t="n">
        <f aca="false">COUNTIF(Itens!$C:$C,A62)</f>
        <v>3</v>
      </c>
      <c r="E62" s="8" t="n">
        <f aca="false">SUMIF(Itens!$C:$C,A62,Itens!$D:$D)</f>
        <v>32</v>
      </c>
      <c r="F62" s="8" t="n">
        <f aca="false">SUMIF(Itens!$C:$C,A62,Itens!$I:$I)</f>
        <v>0</v>
      </c>
      <c r="G62" s="8" t="n">
        <f aca="false">SUMIF(Itens!$C:$C,A62,Itens!$J:$J)</f>
        <v>0</v>
      </c>
      <c r="H62" s="8" t="n">
        <f aca="false">SUMIF(Itens!$C:$C,A62,Itens!$K:$K)</f>
        <v>32</v>
      </c>
      <c r="I62" s="8" t="s">
        <v>46</v>
      </c>
      <c r="J62" s="10" t="n">
        <v>0</v>
      </c>
    </row>
    <row r="63" customFormat="false" ht="15" hidden="false" customHeight="false" outlineLevel="0" collapsed="false">
      <c r="A63" s="8" t="s">
        <v>123</v>
      </c>
      <c r="B63" s="8" t="s">
        <v>43</v>
      </c>
      <c r="C63" s="9" t="s">
        <v>10</v>
      </c>
      <c r="D63" s="8" t="n">
        <f aca="false">COUNTIF(Itens!$C:$C,A63)</f>
        <v>3</v>
      </c>
      <c r="E63" s="8" t="n">
        <f aca="false">SUMIF(Itens!$C:$C,A63,Itens!$D:$D)</f>
        <v>32</v>
      </c>
      <c r="F63" s="8" t="n">
        <f aca="false">SUMIF(Itens!$C:$C,A63,Itens!$I:$I)</f>
        <v>0</v>
      </c>
      <c r="G63" s="8" t="n">
        <f aca="false">SUMIF(Itens!$C:$C,A63,Itens!$J:$J)</f>
        <v>0</v>
      </c>
      <c r="H63" s="8" t="n">
        <f aca="false">SUMIF(Itens!$C:$C,A63,Itens!$K:$K)</f>
        <v>32</v>
      </c>
      <c r="I63" s="8" t="s">
        <v>46</v>
      </c>
      <c r="J63" s="10" t="n">
        <v>0</v>
      </c>
    </row>
    <row r="64" customFormat="false" ht="15" hidden="false" customHeight="false" outlineLevel="0" collapsed="false">
      <c r="A64" s="8" t="s">
        <v>124</v>
      </c>
      <c r="B64" s="8" t="s">
        <v>43</v>
      </c>
      <c r="C64" s="9" t="s">
        <v>10</v>
      </c>
      <c r="D64" s="8" t="n">
        <f aca="false">COUNTIF(Itens!$C:$C,A64)</f>
        <v>3</v>
      </c>
      <c r="E64" s="8" t="n">
        <f aca="false">SUMIF(Itens!$C:$C,A64,Itens!$D:$D)</f>
        <v>67</v>
      </c>
      <c r="F64" s="8" t="n">
        <f aca="false">SUMIF(Itens!$C:$C,A64,Itens!$I:$I)</f>
        <v>0</v>
      </c>
      <c r="G64" s="8" t="n">
        <f aca="false">SUMIF(Itens!$C:$C,A64,Itens!$J:$J)</f>
        <v>0</v>
      </c>
      <c r="H64" s="8" t="n">
        <f aca="false">SUMIF(Itens!$C:$C,A64,Itens!$K:$K)</f>
        <v>67</v>
      </c>
      <c r="I64" s="8" t="s">
        <v>46</v>
      </c>
      <c r="J64" s="10" t="n">
        <v>0</v>
      </c>
    </row>
    <row r="65" customFormat="false" ht="15" hidden="false" customHeight="false" outlineLevel="0" collapsed="false">
      <c r="A65" s="8" t="s">
        <v>125</v>
      </c>
      <c r="B65" s="8" t="s">
        <v>43</v>
      </c>
      <c r="C65" s="9" t="s">
        <v>10</v>
      </c>
      <c r="D65" s="8" t="n">
        <f aca="false">COUNTIF(Itens!$C:$C,A65)</f>
        <v>3</v>
      </c>
      <c r="E65" s="8" t="n">
        <f aca="false">SUMIF(Itens!$C:$C,A65,Itens!$D:$D)</f>
        <v>32</v>
      </c>
      <c r="F65" s="8" t="n">
        <f aca="false">SUMIF(Itens!$C:$C,A65,Itens!$I:$I)</f>
        <v>0</v>
      </c>
      <c r="G65" s="8" t="n">
        <f aca="false">SUMIF(Itens!$C:$C,A65,Itens!$J:$J)</f>
        <v>0</v>
      </c>
      <c r="H65" s="8" t="n">
        <f aca="false">SUMIF(Itens!$C:$C,A65,Itens!$K:$K)</f>
        <v>32</v>
      </c>
      <c r="I65" s="8" t="s">
        <v>46</v>
      </c>
      <c r="J65" s="10" t="n">
        <v>0</v>
      </c>
    </row>
    <row r="66" customFormat="false" ht="15" hidden="false" customHeight="false" outlineLevel="0" collapsed="false">
      <c r="A66" s="8" t="s">
        <v>126</v>
      </c>
      <c r="B66" s="8" t="s">
        <v>43</v>
      </c>
      <c r="C66" s="9" t="s">
        <v>8</v>
      </c>
      <c r="D66" s="8" t="n">
        <f aca="false">COUNTIF(Itens!$C:$C,A66)</f>
        <v>5</v>
      </c>
      <c r="E66" s="8" t="n">
        <f aca="false">SUMIF(Itens!$C:$C,A66,Itens!$D:$D)</f>
        <v>39</v>
      </c>
      <c r="F66" s="8" t="n">
        <f aca="false">SUMIF(Itens!$C:$C,A66,Itens!$I:$I)</f>
        <v>0</v>
      </c>
      <c r="G66" s="8" t="n">
        <f aca="false">SUMIF(Itens!$C:$C,A66,Itens!$J:$J)</f>
        <v>39</v>
      </c>
      <c r="H66" s="8" t="n">
        <f aca="false">SUMIF(Itens!$C:$C,A66,Itens!$K:$K)</f>
        <v>0</v>
      </c>
      <c r="I66" s="8" t="s">
        <v>51</v>
      </c>
      <c r="J66" s="10" t="n">
        <v>0</v>
      </c>
    </row>
    <row r="67" customFormat="false" ht="15" hidden="false" customHeight="false" outlineLevel="0" collapsed="false">
      <c r="A67" s="8" t="s">
        <v>127</v>
      </c>
      <c r="B67" s="8" t="s">
        <v>43</v>
      </c>
      <c r="C67" s="9" t="s">
        <v>8</v>
      </c>
      <c r="D67" s="8" t="n">
        <f aca="false">COUNTIF(Itens!$C:$C,A67)</f>
        <v>4</v>
      </c>
      <c r="E67" s="8" t="n">
        <f aca="false">SUMIF(Itens!$C:$C,A67,Itens!$D:$D)</f>
        <v>46</v>
      </c>
      <c r="F67" s="8" t="n">
        <f aca="false">SUMIF(Itens!$C:$C,A67,Itens!$I:$I)</f>
        <v>0</v>
      </c>
      <c r="G67" s="8" t="n">
        <f aca="false">SUMIF(Itens!$C:$C,A67,Itens!$J:$J)</f>
        <v>46</v>
      </c>
      <c r="H67" s="8" t="n">
        <f aca="false">SUMIF(Itens!$C:$C,A67,Itens!$K:$K)</f>
        <v>0</v>
      </c>
      <c r="I67" s="8" t="s">
        <v>51</v>
      </c>
      <c r="J67" s="10" t="n">
        <v>0</v>
      </c>
    </row>
    <row r="68" customFormat="false" ht="15" hidden="false" customHeight="false" outlineLevel="0" collapsed="false">
      <c r="A68" s="8" t="s">
        <v>128</v>
      </c>
      <c r="B68" s="8" t="s">
        <v>43</v>
      </c>
      <c r="C68" s="9" t="s">
        <v>10</v>
      </c>
      <c r="D68" s="8" t="n">
        <f aca="false">COUNTIF(Itens!$C:$C,A68)</f>
        <v>5</v>
      </c>
      <c r="E68" s="8" t="n">
        <f aca="false">SUMIF(Itens!$C:$C,A68,Itens!$D:$D)</f>
        <v>32</v>
      </c>
      <c r="F68" s="8" t="n">
        <f aca="false">SUMIF(Itens!$C:$C,A68,Itens!$I:$I)</f>
        <v>0</v>
      </c>
      <c r="G68" s="8" t="n">
        <f aca="false">SUMIF(Itens!$C:$C,A68,Itens!$J:$J)</f>
        <v>0</v>
      </c>
      <c r="H68" s="8" t="n">
        <f aca="false">SUMIF(Itens!$C:$C,A68,Itens!$K:$K)</f>
        <v>32</v>
      </c>
      <c r="I68" s="8" t="s">
        <v>46</v>
      </c>
      <c r="J68" s="10" t="n">
        <v>0</v>
      </c>
    </row>
    <row r="69" customFormat="false" ht="15" hidden="false" customHeight="false" outlineLevel="0" collapsed="false">
      <c r="A69" s="8" t="s">
        <v>129</v>
      </c>
      <c r="B69" s="8" t="s">
        <v>43</v>
      </c>
      <c r="C69" s="9" t="s">
        <v>10</v>
      </c>
      <c r="D69" s="8" t="n">
        <f aca="false">COUNTIF(Itens!$C:$C,A69)</f>
        <v>3</v>
      </c>
      <c r="E69" s="8" t="n">
        <f aca="false">SUMIF(Itens!$C:$C,A69,Itens!$D:$D)</f>
        <v>20</v>
      </c>
      <c r="F69" s="8" t="n">
        <f aca="false">SUMIF(Itens!$C:$C,A69,Itens!$I:$I)</f>
        <v>0</v>
      </c>
      <c r="G69" s="8" t="n">
        <f aca="false">SUMIF(Itens!$C:$C,A69,Itens!$J:$J)</f>
        <v>0</v>
      </c>
      <c r="H69" s="8" t="n">
        <f aca="false">SUMIF(Itens!$C:$C,A69,Itens!$K:$K)</f>
        <v>20</v>
      </c>
      <c r="I69" s="8" t="s">
        <v>46</v>
      </c>
      <c r="J69" s="10" t="n">
        <v>0</v>
      </c>
    </row>
    <row r="70" customFormat="false" ht="15" hidden="false" customHeight="false" outlineLevel="0" collapsed="false">
      <c r="A70" s="8" t="s">
        <v>130</v>
      </c>
      <c r="B70" s="8" t="s">
        <v>43</v>
      </c>
      <c r="C70" s="9" t="s">
        <v>10</v>
      </c>
      <c r="D70" s="8" t="n">
        <f aca="false">COUNTIF(Itens!$C:$C,A70)</f>
        <v>3</v>
      </c>
      <c r="E70" s="8" t="n">
        <f aca="false">SUMIF(Itens!$C:$C,A70,Itens!$D:$D)</f>
        <v>20</v>
      </c>
      <c r="F70" s="8" t="n">
        <f aca="false">SUMIF(Itens!$C:$C,A70,Itens!$I:$I)</f>
        <v>0</v>
      </c>
      <c r="G70" s="8" t="n">
        <f aca="false">SUMIF(Itens!$C:$C,A70,Itens!$J:$J)</f>
        <v>0</v>
      </c>
      <c r="H70" s="8" t="n">
        <f aca="false">SUMIF(Itens!$C:$C,A70,Itens!$K:$K)</f>
        <v>20</v>
      </c>
      <c r="I70" s="8" t="s">
        <v>46</v>
      </c>
      <c r="J70" s="10" t="n">
        <v>0</v>
      </c>
    </row>
    <row r="71" customFormat="false" ht="15" hidden="false" customHeight="false" outlineLevel="0" collapsed="false">
      <c r="A71" s="8" t="s">
        <v>131</v>
      </c>
      <c r="B71" s="8" t="s">
        <v>43</v>
      </c>
      <c r="C71" s="9" t="s">
        <v>7</v>
      </c>
      <c r="D71" s="8" t="n">
        <f aca="false">COUNTIF(Itens!$C:$C,A71)</f>
        <v>3</v>
      </c>
      <c r="E71" s="8" t="n">
        <f aca="false">SUMIF(Itens!$C:$C,A71,Itens!$D:$D)</f>
        <v>20</v>
      </c>
      <c r="F71" s="8" t="n">
        <f aca="false">SUMIF(Itens!$C:$C,A71,Itens!$I:$I)</f>
        <v>20</v>
      </c>
      <c r="G71" s="8" t="n">
        <f aca="false">SUMIF(Itens!$C:$C,A71,Itens!$J:$J)</f>
        <v>0</v>
      </c>
      <c r="H71" s="8" t="n">
        <f aca="false">SUMIF(Itens!$C:$C,A71,Itens!$K:$K)</f>
        <v>0</v>
      </c>
      <c r="I71" s="8" t="s">
        <v>102</v>
      </c>
      <c r="J71" s="10" t="n">
        <v>7</v>
      </c>
    </row>
    <row r="72" customFormat="false" ht="15" hidden="false" customHeight="false" outlineLevel="0" collapsed="false">
      <c r="A72" s="8" t="s">
        <v>132</v>
      </c>
      <c r="B72" s="8" t="s">
        <v>43</v>
      </c>
      <c r="C72" s="9" t="s">
        <v>10</v>
      </c>
      <c r="D72" s="8" t="n">
        <f aca="false">COUNTIF(Itens!$C:$C,A72)</f>
        <v>3</v>
      </c>
      <c r="E72" s="8" t="n">
        <f aca="false">SUMIF(Itens!$C:$C,A72,Itens!$D:$D)</f>
        <v>20</v>
      </c>
      <c r="F72" s="8" t="n">
        <f aca="false">SUMIF(Itens!$C:$C,A72,Itens!$I:$I)</f>
        <v>0</v>
      </c>
      <c r="G72" s="8" t="n">
        <f aca="false">SUMIF(Itens!$C:$C,A72,Itens!$J:$J)</f>
        <v>0</v>
      </c>
      <c r="H72" s="8" t="n">
        <f aca="false">SUMIF(Itens!$C:$C,A72,Itens!$K:$K)</f>
        <v>20</v>
      </c>
      <c r="I72" s="8" t="s">
        <v>46</v>
      </c>
      <c r="J72" s="10" t="n">
        <v>0</v>
      </c>
    </row>
    <row r="73" customFormat="false" ht="15" hidden="false" customHeight="false" outlineLevel="0" collapsed="false">
      <c r="A73" s="8" t="s">
        <v>133</v>
      </c>
      <c r="B73" s="8" t="s">
        <v>43</v>
      </c>
      <c r="C73" s="9" t="s">
        <v>8</v>
      </c>
      <c r="D73" s="8" t="n">
        <f aca="false">COUNTIF(Itens!$C:$C,A73)</f>
        <v>3</v>
      </c>
      <c r="E73" s="8" t="n">
        <f aca="false">SUMIF(Itens!$C:$C,A73,Itens!$D:$D)</f>
        <v>20</v>
      </c>
      <c r="F73" s="8" t="n">
        <f aca="false">SUMIF(Itens!$C:$C,A73,Itens!$I:$I)</f>
        <v>0</v>
      </c>
      <c r="G73" s="8" t="n">
        <f aca="false">SUMIF(Itens!$C:$C,A73,Itens!$J:$J)</f>
        <v>20</v>
      </c>
      <c r="H73" s="8" t="n">
        <f aca="false">SUMIF(Itens!$C:$C,A73,Itens!$K:$K)</f>
        <v>0</v>
      </c>
      <c r="I73" s="8" t="s">
        <v>51</v>
      </c>
      <c r="J73" s="10" t="n">
        <v>0</v>
      </c>
    </row>
    <row r="74" customFormat="false" ht="15" hidden="false" customHeight="false" outlineLevel="0" collapsed="false">
      <c r="A74" s="8" t="s">
        <v>134</v>
      </c>
      <c r="B74" s="8" t="s">
        <v>43</v>
      </c>
      <c r="C74" s="9" t="s">
        <v>8</v>
      </c>
      <c r="D74" s="8" t="n">
        <f aca="false">COUNTIF(Itens!$C:$C,A74)</f>
        <v>3</v>
      </c>
      <c r="E74" s="8" t="n">
        <f aca="false">SUMIF(Itens!$C:$C,A74,Itens!$D:$D)</f>
        <v>39</v>
      </c>
      <c r="F74" s="8" t="n">
        <f aca="false">SUMIF(Itens!$C:$C,A74,Itens!$I:$I)</f>
        <v>0</v>
      </c>
      <c r="G74" s="8" t="n">
        <f aca="false">SUMIF(Itens!$C:$C,A74,Itens!$J:$J)</f>
        <v>39</v>
      </c>
      <c r="H74" s="8" t="n">
        <f aca="false">SUMIF(Itens!$C:$C,A74,Itens!$K:$K)</f>
        <v>0</v>
      </c>
      <c r="I74" s="8" t="s">
        <v>51</v>
      </c>
      <c r="J74" s="10" t="n">
        <v>0</v>
      </c>
    </row>
    <row r="75" customFormat="false" ht="15" hidden="false" customHeight="false" outlineLevel="0" collapsed="false">
      <c r="A75" s="8" t="s">
        <v>135</v>
      </c>
      <c r="B75" s="8" t="s">
        <v>43</v>
      </c>
      <c r="C75" s="9" t="s">
        <v>8</v>
      </c>
      <c r="D75" s="8" t="n">
        <f aca="false">COUNTIF(Itens!$C:$C,A75)</f>
        <v>3</v>
      </c>
      <c r="E75" s="8" t="n">
        <f aca="false">SUMIF(Itens!$C:$C,A75,Itens!$D:$D)</f>
        <v>39</v>
      </c>
      <c r="F75" s="8" t="n">
        <f aca="false">SUMIF(Itens!$C:$C,A75,Itens!$I:$I)</f>
        <v>0</v>
      </c>
      <c r="G75" s="8" t="n">
        <f aca="false">SUMIF(Itens!$C:$C,A75,Itens!$J:$J)</f>
        <v>39</v>
      </c>
      <c r="H75" s="8" t="n">
        <f aca="false">SUMIF(Itens!$C:$C,A75,Itens!$K:$K)</f>
        <v>0</v>
      </c>
      <c r="I75" s="8" t="s">
        <v>51</v>
      </c>
      <c r="J75" s="10" t="n">
        <v>0</v>
      </c>
    </row>
    <row r="76" customFormat="false" ht="15" hidden="false" customHeight="false" outlineLevel="0" collapsed="false">
      <c r="A76" s="8" t="s">
        <v>136</v>
      </c>
      <c r="B76" s="8" t="s">
        <v>43</v>
      </c>
      <c r="C76" s="9" t="s">
        <v>8</v>
      </c>
      <c r="D76" s="8" t="n">
        <f aca="false">COUNTIF(Itens!$C:$C,A76)</f>
        <v>3</v>
      </c>
      <c r="E76" s="8" t="n">
        <f aca="false">SUMIF(Itens!$C:$C,A76,Itens!$D:$D)</f>
        <v>39</v>
      </c>
      <c r="F76" s="8" t="n">
        <f aca="false">SUMIF(Itens!$C:$C,A76,Itens!$I:$I)</f>
        <v>0</v>
      </c>
      <c r="G76" s="8" t="n">
        <f aca="false">SUMIF(Itens!$C:$C,A76,Itens!$J:$J)</f>
        <v>39</v>
      </c>
      <c r="H76" s="8" t="n">
        <f aca="false">SUMIF(Itens!$C:$C,A76,Itens!$K:$K)</f>
        <v>0</v>
      </c>
      <c r="I76" s="8" t="s">
        <v>51</v>
      </c>
      <c r="J76" s="10" t="n">
        <v>0</v>
      </c>
    </row>
    <row r="77" customFormat="false" ht="15" hidden="false" customHeight="false" outlineLevel="0" collapsed="false">
      <c r="A77" s="8" t="s">
        <v>137</v>
      </c>
      <c r="B77" s="8" t="s">
        <v>43</v>
      </c>
      <c r="C77" s="9" t="s">
        <v>10</v>
      </c>
      <c r="D77" s="8" t="n">
        <f aca="false">COUNTIF(Itens!$C:$C,A77)</f>
        <v>3</v>
      </c>
      <c r="E77" s="8" t="n">
        <f aca="false">SUMIF(Itens!$C:$C,A77,Itens!$D:$D)</f>
        <v>20</v>
      </c>
      <c r="F77" s="8" t="n">
        <f aca="false">SUMIF(Itens!$C:$C,A77,Itens!$I:$I)</f>
        <v>0</v>
      </c>
      <c r="G77" s="8" t="n">
        <f aca="false">SUMIF(Itens!$C:$C,A77,Itens!$J:$J)</f>
        <v>0</v>
      </c>
      <c r="H77" s="8" t="n">
        <f aca="false">SUMIF(Itens!$C:$C,A77,Itens!$K:$K)</f>
        <v>20</v>
      </c>
      <c r="I77" s="8" t="s">
        <v>46</v>
      </c>
      <c r="J77" s="10" t="n">
        <v>0</v>
      </c>
    </row>
    <row r="78" customFormat="false" ht="15" hidden="false" customHeight="false" outlineLevel="0" collapsed="false">
      <c r="A78" s="8" t="s">
        <v>138</v>
      </c>
      <c r="B78" s="8" t="s">
        <v>139</v>
      </c>
      <c r="C78" s="9" t="s">
        <v>7</v>
      </c>
      <c r="D78" s="8" t="n">
        <f aca="false">COUNTIF(Itens!$C:$C,A78)</f>
        <v>2</v>
      </c>
      <c r="E78" s="8" t="n">
        <f aca="false">SUMIF(Itens!$C:$C,A78,Itens!$D:$D)</f>
        <v>13</v>
      </c>
      <c r="F78" s="8" t="n">
        <f aca="false">SUMIF(Itens!$C:$C,A78,Itens!$I:$I)</f>
        <v>13</v>
      </c>
      <c r="G78" s="8" t="n">
        <f aca="false">SUMIF(Itens!$C:$C,A78,Itens!$J:$J)</f>
        <v>0</v>
      </c>
      <c r="H78" s="8" t="n">
        <f aca="false">SUMIF(Itens!$C:$C,A78,Itens!$K:$K)</f>
        <v>0</v>
      </c>
      <c r="I78" s="8" t="s">
        <v>59</v>
      </c>
      <c r="J78" s="10" t="n">
        <v>0</v>
      </c>
    </row>
    <row r="79" customFormat="false" ht="15" hidden="false" customHeight="false" outlineLevel="0" collapsed="false">
      <c r="A79" s="8" t="s">
        <v>140</v>
      </c>
      <c r="B79" s="8" t="s">
        <v>139</v>
      </c>
      <c r="C79" s="9" t="s">
        <v>7</v>
      </c>
      <c r="D79" s="8" t="n">
        <f aca="false">COUNTIF(Itens!$C:$C,A79)</f>
        <v>2</v>
      </c>
      <c r="E79" s="8" t="n">
        <f aca="false">SUMIF(Itens!$C:$C,A79,Itens!$D:$D)</f>
        <v>13</v>
      </c>
      <c r="F79" s="8" t="n">
        <f aca="false">SUMIF(Itens!$C:$C,A79,Itens!$I:$I)</f>
        <v>13</v>
      </c>
      <c r="G79" s="8" t="n">
        <f aca="false">SUMIF(Itens!$C:$C,A79,Itens!$J:$J)</f>
        <v>0</v>
      </c>
      <c r="H79" s="8" t="n">
        <f aca="false">SUMIF(Itens!$C:$C,A79,Itens!$K:$K)</f>
        <v>0</v>
      </c>
      <c r="I79" s="8" t="s">
        <v>59</v>
      </c>
      <c r="J79" s="10" t="n">
        <v>0</v>
      </c>
    </row>
    <row r="80" customFormat="false" ht="15" hidden="false" customHeight="false" outlineLevel="0" collapsed="false">
      <c r="A80" s="8" t="s">
        <v>141</v>
      </c>
      <c r="B80" s="8" t="s">
        <v>139</v>
      </c>
      <c r="C80" s="9" t="s">
        <v>7</v>
      </c>
      <c r="D80" s="8" t="n">
        <f aca="false">COUNTIF(Itens!$C:$C,A80)</f>
        <v>2</v>
      </c>
      <c r="E80" s="8" t="n">
        <f aca="false">SUMIF(Itens!$C:$C,A80,Itens!$D:$D)</f>
        <v>13</v>
      </c>
      <c r="F80" s="8" t="n">
        <f aca="false">SUMIF(Itens!$C:$C,A80,Itens!$I:$I)</f>
        <v>13</v>
      </c>
      <c r="G80" s="8" t="n">
        <f aca="false">SUMIF(Itens!$C:$C,A80,Itens!$J:$J)</f>
        <v>0</v>
      </c>
      <c r="H80" s="8" t="n">
        <f aca="false">SUMIF(Itens!$C:$C,A80,Itens!$K:$K)</f>
        <v>0</v>
      </c>
      <c r="I80" s="8" t="s">
        <v>59</v>
      </c>
      <c r="J80" s="10" t="n">
        <v>0</v>
      </c>
    </row>
    <row r="81" customFormat="false" ht="15" hidden="false" customHeight="false" outlineLevel="0" collapsed="false">
      <c r="A81" s="8" t="s">
        <v>142</v>
      </c>
      <c r="B81" s="8" t="s">
        <v>139</v>
      </c>
      <c r="C81" s="9" t="s">
        <v>7</v>
      </c>
      <c r="D81" s="8" t="n">
        <f aca="false">COUNTIF(Itens!$C:$C,A81)</f>
        <v>2</v>
      </c>
      <c r="E81" s="8" t="n">
        <f aca="false">SUMIF(Itens!$C:$C,A81,Itens!$D:$D)</f>
        <v>13</v>
      </c>
      <c r="F81" s="8" t="n">
        <f aca="false">SUMIF(Itens!$C:$C,A81,Itens!$I:$I)</f>
        <v>13</v>
      </c>
      <c r="G81" s="8" t="n">
        <f aca="false">SUMIF(Itens!$C:$C,A81,Itens!$J:$J)</f>
        <v>0</v>
      </c>
      <c r="H81" s="8" t="n">
        <f aca="false">SUMIF(Itens!$C:$C,A81,Itens!$K:$K)</f>
        <v>0</v>
      </c>
      <c r="I81" s="8" t="s">
        <v>59</v>
      </c>
      <c r="J81" s="10" t="n">
        <v>0</v>
      </c>
    </row>
    <row r="82" customFormat="false" ht="15" hidden="false" customHeight="false" outlineLevel="0" collapsed="false">
      <c r="A82" s="8" t="s">
        <v>143</v>
      </c>
      <c r="B82" s="8" t="s">
        <v>139</v>
      </c>
      <c r="C82" s="9" t="s">
        <v>7</v>
      </c>
      <c r="D82" s="8" t="n">
        <f aca="false">COUNTIF(Itens!$C:$C,A82)</f>
        <v>2</v>
      </c>
      <c r="E82" s="8" t="n">
        <f aca="false">SUMIF(Itens!$C:$C,A82,Itens!$D:$D)</f>
        <v>13</v>
      </c>
      <c r="F82" s="8" t="n">
        <f aca="false">SUMIF(Itens!$C:$C,A82,Itens!$I:$I)</f>
        <v>13</v>
      </c>
      <c r="G82" s="8" t="n">
        <f aca="false">SUMIF(Itens!$C:$C,A82,Itens!$J:$J)</f>
        <v>0</v>
      </c>
      <c r="H82" s="8" t="n">
        <f aca="false">SUMIF(Itens!$C:$C,A82,Itens!$K:$K)</f>
        <v>0</v>
      </c>
      <c r="I82" s="8" t="s">
        <v>59</v>
      </c>
      <c r="J82" s="10" t="n">
        <v>0</v>
      </c>
    </row>
    <row r="83" customFormat="false" ht="15" hidden="false" customHeight="false" outlineLevel="0" collapsed="false">
      <c r="A83" s="8" t="s">
        <v>144</v>
      </c>
      <c r="B83" s="8" t="s">
        <v>139</v>
      </c>
      <c r="C83" s="9" t="s">
        <v>7</v>
      </c>
      <c r="D83" s="8" t="n">
        <f aca="false">COUNTIF(Itens!$C:$C,A83)</f>
        <v>2</v>
      </c>
      <c r="E83" s="8" t="n">
        <f aca="false">SUMIF(Itens!$C:$C,A83,Itens!$D:$D)</f>
        <v>13</v>
      </c>
      <c r="F83" s="8" t="n">
        <f aca="false">SUMIF(Itens!$C:$C,A83,Itens!$I:$I)</f>
        <v>13</v>
      </c>
      <c r="G83" s="8" t="n">
        <f aca="false">SUMIF(Itens!$C:$C,A83,Itens!$J:$J)</f>
        <v>0</v>
      </c>
      <c r="H83" s="8" t="n">
        <f aca="false">SUMIF(Itens!$C:$C,A83,Itens!$K:$K)</f>
        <v>0</v>
      </c>
      <c r="I83" s="8" t="s">
        <v>59</v>
      </c>
      <c r="J83" s="10" t="n">
        <v>0</v>
      </c>
    </row>
    <row r="84" customFormat="false" ht="15" hidden="false" customHeight="false" outlineLevel="0" collapsed="false">
      <c r="A84" s="8" t="s">
        <v>145</v>
      </c>
      <c r="B84" s="8" t="s">
        <v>139</v>
      </c>
      <c r="C84" s="9" t="s">
        <v>7</v>
      </c>
      <c r="D84" s="8" t="n">
        <f aca="false">COUNTIF(Itens!$C:$C,A84)</f>
        <v>2</v>
      </c>
      <c r="E84" s="8" t="n">
        <f aca="false">SUMIF(Itens!$C:$C,A84,Itens!$D:$D)</f>
        <v>13</v>
      </c>
      <c r="F84" s="8" t="n">
        <f aca="false">SUMIF(Itens!$C:$C,A84,Itens!$I:$I)</f>
        <v>13</v>
      </c>
      <c r="G84" s="8" t="n">
        <f aca="false">SUMIF(Itens!$C:$C,A84,Itens!$J:$J)</f>
        <v>0</v>
      </c>
      <c r="H84" s="8" t="n">
        <f aca="false">SUMIF(Itens!$C:$C,A84,Itens!$K:$K)</f>
        <v>0</v>
      </c>
      <c r="I84" s="8" t="s">
        <v>59</v>
      </c>
      <c r="J84" s="10" t="n">
        <v>0</v>
      </c>
    </row>
    <row r="85" customFormat="false" ht="15" hidden="false" customHeight="false" outlineLevel="0" collapsed="false">
      <c r="A85" s="8" t="s">
        <v>146</v>
      </c>
      <c r="B85" s="8" t="s">
        <v>139</v>
      </c>
      <c r="C85" s="9" t="s">
        <v>7</v>
      </c>
      <c r="D85" s="8" t="n">
        <f aca="false">COUNTIF(Itens!$C:$C,A85)</f>
        <v>2</v>
      </c>
      <c r="E85" s="8" t="n">
        <f aca="false">SUMIF(Itens!$C:$C,A85,Itens!$D:$D)</f>
        <v>13</v>
      </c>
      <c r="F85" s="8" t="n">
        <f aca="false">SUMIF(Itens!$C:$C,A85,Itens!$I:$I)</f>
        <v>13</v>
      </c>
      <c r="G85" s="8" t="n">
        <f aca="false">SUMIF(Itens!$C:$C,A85,Itens!$J:$J)</f>
        <v>0</v>
      </c>
      <c r="H85" s="8" t="n">
        <f aca="false">SUMIF(Itens!$C:$C,A85,Itens!$K:$K)</f>
        <v>0</v>
      </c>
      <c r="I85" s="8" t="s">
        <v>59</v>
      </c>
      <c r="J85" s="10" t="n">
        <v>0</v>
      </c>
    </row>
    <row r="86" customFormat="false" ht="15" hidden="false" customHeight="false" outlineLevel="0" collapsed="false">
      <c r="A86" s="8" t="s">
        <v>147</v>
      </c>
      <c r="B86" s="8" t="s">
        <v>43</v>
      </c>
      <c r="C86" s="9" t="s">
        <v>7</v>
      </c>
      <c r="D86" s="8" t="n">
        <f aca="false">COUNTIF(Itens!$C:$C,A86)</f>
        <v>3</v>
      </c>
      <c r="E86" s="8" t="n">
        <f aca="false">SUMIF(Itens!$C:$C,A86,Itens!$D:$D)</f>
        <v>37</v>
      </c>
      <c r="F86" s="8" t="n">
        <f aca="false">SUMIF(Itens!$C:$C,A86,Itens!$I:$I)</f>
        <v>37</v>
      </c>
      <c r="G86" s="8" t="n">
        <f aca="false">SUMIF(Itens!$C:$C,A86,Itens!$J:$J)</f>
        <v>0</v>
      </c>
      <c r="H86" s="8" t="n">
        <f aca="false">SUMIF(Itens!$C:$C,A86,Itens!$K:$K)</f>
        <v>0</v>
      </c>
      <c r="I86" s="8" t="s">
        <v>59</v>
      </c>
      <c r="J86" s="10" t="n">
        <v>0</v>
      </c>
    </row>
    <row r="87" customFormat="false" ht="15" hidden="false" customHeight="false" outlineLevel="0" collapsed="false">
      <c r="A87" s="8" t="s">
        <v>148</v>
      </c>
      <c r="B87" s="8" t="s">
        <v>43</v>
      </c>
      <c r="C87" s="9" t="s">
        <v>9</v>
      </c>
      <c r="D87" s="8" t="n">
        <f aca="false">COUNTIF(Itens!$C:$C,A87)</f>
        <v>3</v>
      </c>
      <c r="E87" s="8" t="n">
        <f aca="false">SUMIF(Itens!$C:$C,A87,Itens!$D:$D)</f>
        <v>37</v>
      </c>
      <c r="F87" s="8" t="n">
        <f aca="false">SUMIF(Itens!$C:$C,A87,Itens!$I:$I)</f>
        <v>11</v>
      </c>
      <c r="G87" s="8" t="n">
        <f aca="false">SUMIF(Itens!$C:$C,A87,Itens!$J:$J)</f>
        <v>16</v>
      </c>
      <c r="H87" s="8" t="n">
        <f aca="false">SUMIF(Itens!$C:$C,A87,Itens!$K:$K)</f>
        <v>10</v>
      </c>
      <c r="I87" s="8" t="s">
        <v>91</v>
      </c>
      <c r="J87" s="10" t="n">
        <v>0</v>
      </c>
    </row>
    <row r="88" customFormat="false" ht="15" hidden="false" customHeight="false" outlineLevel="0" collapsed="false">
      <c r="A88" s="8" t="s">
        <v>149</v>
      </c>
      <c r="B88" s="8" t="s">
        <v>43</v>
      </c>
      <c r="C88" s="9" t="s">
        <v>10</v>
      </c>
      <c r="D88" s="8" t="n">
        <f aca="false">COUNTIF(Itens!$C:$C,A88)</f>
        <v>3</v>
      </c>
      <c r="E88" s="8" t="n">
        <f aca="false">SUMIF(Itens!$C:$C,A88,Itens!$D:$D)</f>
        <v>37</v>
      </c>
      <c r="F88" s="8" t="n">
        <f aca="false">SUMIF(Itens!$C:$C,A88,Itens!$I:$I)</f>
        <v>0</v>
      </c>
      <c r="G88" s="8" t="n">
        <f aca="false">SUMIF(Itens!$C:$C,A88,Itens!$J:$J)</f>
        <v>0</v>
      </c>
      <c r="H88" s="8" t="n">
        <f aca="false">SUMIF(Itens!$C:$C,A88,Itens!$K:$K)</f>
        <v>37</v>
      </c>
      <c r="I88" s="8" t="s">
        <v>46</v>
      </c>
      <c r="J88" s="10" t="n">
        <v>0</v>
      </c>
    </row>
    <row r="89" customFormat="false" ht="15" hidden="false" customHeight="false" outlineLevel="0" collapsed="false">
      <c r="A89" s="8" t="s">
        <v>150</v>
      </c>
      <c r="B89" s="8" t="s">
        <v>43</v>
      </c>
      <c r="C89" s="9" t="s">
        <v>10</v>
      </c>
      <c r="D89" s="8" t="n">
        <f aca="false">COUNTIF(Itens!$C:$C,A89)</f>
        <v>3</v>
      </c>
      <c r="E89" s="8" t="n">
        <f aca="false">SUMIF(Itens!$C:$C,A89,Itens!$D:$D)</f>
        <v>37</v>
      </c>
      <c r="F89" s="8" t="n">
        <f aca="false">SUMIF(Itens!$C:$C,A89,Itens!$I:$I)</f>
        <v>0</v>
      </c>
      <c r="G89" s="8" t="n">
        <f aca="false">SUMIF(Itens!$C:$C,A89,Itens!$J:$J)</f>
        <v>0</v>
      </c>
      <c r="H89" s="8" t="n">
        <f aca="false">SUMIF(Itens!$C:$C,A89,Itens!$K:$K)</f>
        <v>37</v>
      </c>
      <c r="I89" s="8" t="s">
        <v>46</v>
      </c>
      <c r="J89" s="10" t="n">
        <v>0</v>
      </c>
    </row>
    <row r="90" customFormat="false" ht="15" hidden="false" customHeight="false" outlineLevel="0" collapsed="false">
      <c r="A90" s="8" t="s">
        <v>151</v>
      </c>
      <c r="B90" s="8" t="s">
        <v>43</v>
      </c>
      <c r="C90" s="9" t="s">
        <v>7</v>
      </c>
      <c r="D90" s="8" t="n">
        <f aca="false">COUNTIF(Itens!$C:$C,A90)</f>
        <v>3</v>
      </c>
      <c r="E90" s="8" t="n">
        <f aca="false">SUMIF(Itens!$C:$C,A90,Itens!$D:$D)</f>
        <v>37</v>
      </c>
      <c r="F90" s="8" t="n">
        <f aca="false">SUMIF(Itens!$C:$C,A90,Itens!$I:$I)</f>
        <v>37</v>
      </c>
      <c r="G90" s="8" t="n">
        <f aca="false">SUMIF(Itens!$C:$C,A90,Itens!$J:$J)</f>
        <v>0</v>
      </c>
      <c r="H90" s="8" t="n">
        <f aca="false">SUMIF(Itens!$C:$C,A90,Itens!$K:$K)</f>
        <v>0</v>
      </c>
      <c r="I90" s="8" t="s">
        <v>59</v>
      </c>
      <c r="J90" s="10" t="n">
        <v>0</v>
      </c>
    </row>
    <row r="91" customFormat="false" ht="15" hidden="false" customHeight="false" outlineLevel="0" collapsed="false">
      <c r="A91" s="8" t="s">
        <v>152</v>
      </c>
      <c r="B91" s="8" t="s">
        <v>43</v>
      </c>
      <c r="C91" s="9" t="s">
        <v>7</v>
      </c>
      <c r="D91" s="8" t="n">
        <f aca="false">COUNTIF(Itens!$C:$C,A91)</f>
        <v>3</v>
      </c>
      <c r="E91" s="8" t="n">
        <f aca="false">SUMIF(Itens!$C:$C,A91,Itens!$D:$D)</f>
        <v>33</v>
      </c>
      <c r="F91" s="8" t="n">
        <f aca="false">SUMIF(Itens!$C:$C,A91,Itens!$I:$I)</f>
        <v>33</v>
      </c>
      <c r="G91" s="8" t="n">
        <f aca="false">SUMIF(Itens!$C:$C,A91,Itens!$J:$J)</f>
        <v>0</v>
      </c>
      <c r="H91" s="8" t="n">
        <f aca="false">SUMIF(Itens!$C:$C,A91,Itens!$K:$K)</f>
        <v>0</v>
      </c>
      <c r="I91" s="8" t="s">
        <v>59</v>
      </c>
      <c r="J91" s="10" t="n">
        <v>0</v>
      </c>
    </row>
    <row r="92" customFormat="false" ht="15" hidden="false" customHeight="false" outlineLevel="0" collapsed="false">
      <c r="A92" s="8" t="s">
        <v>153</v>
      </c>
      <c r="B92" s="8" t="s">
        <v>43</v>
      </c>
      <c r="C92" s="9" t="s">
        <v>10</v>
      </c>
      <c r="D92" s="8" t="n">
        <f aca="false">COUNTIF(Itens!$C:$C,A92)</f>
        <v>3</v>
      </c>
      <c r="E92" s="8" t="n">
        <f aca="false">SUMIF(Itens!$C:$C,A92,Itens!$D:$D)</f>
        <v>33</v>
      </c>
      <c r="F92" s="8" t="n">
        <f aca="false">SUMIF(Itens!$C:$C,A92,Itens!$I:$I)</f>
        <v>0</v>
      </c>
      <c r="G92" s="8" t="n">
        <f aca="false">SUMIF(Itens!$C:$C,A92,Itens!$J:$J)</f>
        <v>0</v>
      </c>
      <c r="H92" s="8" t="n">
        <f aca="false">SUMIF(Itens!$C:$C,A92,Itens!$K:$K)</f>
        <v>33</v>
      </c>
      <c r="I92" s="8" t="s">
        <v>46</v>
      </c>
      <c r="J92" s="10" t="n">
        <v>0</v>
      </c>
    </row>
    <row r="93" customFormat="false" ht="15" hidden="false" customHeight="false" outlineLevel="0" collapsed="false">
      <c r="A93" s="8" t="s">
        <v>154</v>
      </c>
      <c r="B93" s="8" t="s">
        <v>43</v>
      </c>
      <c r="C93" s="9" t="s">
        <v>7</v>
      </c>
      <c r="D93" s="8" t="n">
        <f aca="false">COUNTIF(Itens!$C:$C,A93)</f>
        <v>3</v>
      </c>
      <c r="E93" s="8" t="n">
        <f aca="false">SUMIF(Itens!$C:$C,A93,Itens!$D:$D)</f>
        <v>33</v>
      </c>
      <c r="F93" s="8" t="n">
        <f aca="false">SUMIF(Itens!$C:$C,A93,Itens!$I:$I)</f>
        <v>33</v>
      </c>
      <c r="G93" s="8" t="n">
        <f aca="false">SUMIF(Itens!$C:$C,A93,Itens!$J:$J)</f>
        <v>0</v>
      </c>
      <c r="H93" s="8" t="n">
        <f aca="false">SUMIF(Itens!$C:$C,A93,Itens!$K:$K)</f>
        <v>0</v>
      </c>
      <c r="I93" s="8" t="s">
        <v>59</v>
      </c>
      <c r="J93" s="10" t="n">
        <v>0</v>
      </c>
    </row>
    <row r="94" customFormat="false" ht="15" hidden="false" customHeight="false" outlineLevel="0" collapsed="false">
      <c r="A94" s="8" t="s">
        <v>155</v>
      </c>
      <c r="B94" s="8" t="s">
        <v>43</v>
      </c>
      <c r="C94" s="9" t="s">
        <v>7</v>
      </c>
      <c r="D94" s="8" t="n">
        <f aca="false">COUNTIF(Itens!$C:$C,A94)</f>
        <v>3</v>
      </c>
      <c r="E94" s="8" t="n">
        <f aca="false">SUMIF(Itens!$C:$C,A94,Itens!$D:$D)</f>
        <v>33</v>
      </c>
      <c r="F94" s="8" t="n">
        <f aca="false">SUMIF(Itens!$C:$C,A94,Itens!$I:$I)</f>
        <v>33</v>
      </c>
      <c r="G94" s="8" t="n">
        <f aca="false">SUMIF(Itens!$C:$C,A94,Itens!$J:$J)</f>
        <v>0</v>
      </c>
      <c r="H94" s="8" t="n">
        <f aca="false">SUMIF(Itens!$C:$C,A94,Itens!$K:$K)</f>
        <v>0</v>
      </c>
      <c r="I94" s="8" t="s">
        <v>59</v>
      </c>
      <c r="J94" s="10" t="n">
        <v>0</v>
      </c>
    </row>
    <row r="95" customFormat="false" ht="15" hidden="false" customHeight="false" outlineLevel="0" collapsed="false">
      <c r="A95" s="8" t="s">
        <v>156</v>
      </c>
      <c r="B95" s="8" t="s">
        <v>43</v>
      </c>
      <c r="C95" s="9" t="s">
        <v>9</v>
      </c>
      <c r="D95" s="8" t="n">
        <f aca="false">COUNTIF(Itens!$C:$C,A95)</f>
        <v>3</v>
      </c>
      <c r="E95" s="8" t="n">
        <f aca="false">SUMIF(Itens!$C:$C,A95,Itens!$D:$D)</f>
        <v>63</v>
      </c>
      <c r="F95" s="8" t="n">
        <f aca="false">SUMIF(Itens!$C:$C,A95,Itens!$I:$I)</f>
        <v>10</v>
      </c>
      <c r="G95" s="8" t="n">
        <f aca="false">SUMIF(Itens!$C:$C,A95,Itens!$J:$J)</f>
        <v>22</v>
      </c>
      <c r="H95" s="8" t="n">
        <f aca="false">SUMIF(Itens!$C:$C,A95,Itens!$K:$K)</f>
        <v>31</v>
      </c>
      <c r="I95" s="8" t="s">
        <v>44</v>
      </c>
      <c r="J95" s="10" t="n">
        <v>0</v>
      </c>
    </row>
    <row r="96" customFormat="false" ht="15" hidden="false" customHeight="false" outlineLevel="0" collapsed="false">
      <c r="A96" s="8" t="s">
        <v>157</v>
      </c>
      <c r="B96" s="8" t="s">
        <v>43</v>
      </c>
      <c r="C96" s="9" t="s">
        <v>10</v>
      </c>
      <c r="D96" s="8" t="n">
        <f aca="false">COUNTIF(Itens!$C:$C,A96)</f>
        <v>3</v>
      </c>
      <c r="E96" s="8" t="n">
        <f aca="false">SUMIF(Itens!$C:$C,A96,Itens!$D:$D)</f>
        <v>63</v>
      </c>
      <c r="F96" s="8" t="n">
        <f aca="false">SUMIF(Itens!$C:$C,A96,Itens!$I:$I)</f>
        <v>0</v>
      </c>
      <c r="G96" s="8" t="n">
        <f aca="false">SUMIF(Itens!$C:$C,A96,Itens!$J:$J)</f>
        <v>0</v>
      </c>
      <c r="H96" s="8" t="n">
        <f aca="false">SUMIF(Itens!$C:$C,A96,Itens!$K:$K)</f>
        <v>63</v>
      </c>
      <c r="I96" s="8" t="s">
        <v>46</v>
      </c>
      <c r="J96" s="10" t="n">
        <v>0</v>
      </c>
    </row>
    <row r="97" customFormat="false" ht="15" hidden="false" customHeight="false" outlineLevel="0" collapsed="false">
      <c r="A97" s="8" t="s">
        <v>158</v>
      </c>
      <c r="B97" s="8" t="s">
        <v>67</v>
      </c>
      <c r="C97" s="9" t="s">
        <v>8</v>
      </c>
      <c r="D97" s="8" t="n">
        <f aca="false">COUNTIF(Itens!$C:$C,A97)</f>
        <v>2</v>
      </c>
      <c r="E97" s="8" t="n">
        <f aca="false">SUMIF(Itens!$C:$C,A97,Itens!$D:$D)</f>
        <v>25</v>
      </c>
      <c r="F97" s="8" t="n">
        <f aca="false">SUMIF(Itens!$C:$C,A97,Itens!$I:$I)</f>
        <v>0</v>
      </c>
      <c r="G97" s="8" t="n">
        <f aca="false">SUMIF(Itens!$C:$C,A97,Itens!$J:$J)</f>
        <v>25</v>
      </c>
      <c r="H97" s="8" t="n">
        <f aca="false">SUMIF(Itens!$C:$C,A97,Itens!$K:$K)</f>
        <v>0</v>
      </c>
      <c r="I97" s="8" t="s">
        <v>51</v>
      </c>
      <c r="J97" s="10" t="n">
        <v>0</v>
      </c>
    </row>
    <row r="98" customFormat="false" ht="15" hidden="false" customHeight="false" outlineLevel="0" collapsed="false">
      <c r="A98" s="8" t="s">
        <v>159</v>
      </c>
      <c r="B98" s="8" t="s">
        <v>43</v>
      </c>
      <c r="C98" s="9" t="s">
        <v>9</v>
      </c>
      <c r="D98" s="8" t="n">
        <f aca="false">COUNTIF(Itens!$C:$C,A98)</f>
        <v>3</v>
      </c>
      <c r="E98" s="8" t="n">
        <f aca="false">SUMIF(Itens!$C:$C,A98,Itens!$D:$D)</f>
        <v>77</v>
      </c>
      <c r="F98" s="8" t="n">
        <f aca="false">SUMIF(Itens!$C:$C,A98,Itens!$I:$I)</f>
        <v>48</v>
      </c>
      <c r="G98" s="8" t="n">
        <f aca="false">SUMIF(Itens!$C:$C,A98,Itens!$J:$J)</f>
        <v>5</v>
      </c>
      <c r="H98" s="8" t="n">
        <f aca="false">SUMIF(Itens!$C:$C,A98,Itens!$K:$K)</f>
        <v>24</v>
      </c>
      <c r="I98" s="8" t="s">
        <v>91</v>
      </c>
      <c r="J98" s="10" t="n">
        <v>0</v>
      </c>
    </row>
    <row r="99" customFormat="false" ht="15" hidden="false" customHeight="false" outlineLevel="0" collapsed="false">
      <c r="A99" s="8" t="s">
        <v>160</v>
      </c>
      <c r="B99" s="8" t="s">
        <v>139</v>
      </c>
      <c r="C99" s="9" t="s">
        <v>7</v>
      </c>
      <c r="D99" s="8" t="n">
        <f aca="false">COUNTIF(Itens!$C:$C,A99)</f>
        <v>2</v>
      </c>
      <c r="E99" s="8" t="n">
        <f aca="false">SUMIF(Itens!$C:$C,A99,Itens!$D:$D)</f>
        <v>46</v>
      </c>
      <c r="F99" s="8" t="n">
        <f aca="false">SUMIF(Itens!$C:$C,A99,Itens!$I:$I)</f>
        <v>46</v>
      </c>
      <c r="G99" s="8" t="n">
        <f aca="false">SUMIF(Itens!$C:$C,A99,Itens!$J:$J)</f>
        <v>0</v>
      </c>
      <c r="H99" s="8" t="n">
        <f aca="false">SUMIF(Itens!$C:$C,A99,Itens!$K:$K)</f>
        <v>0</v>
      </c>
      <c r="I99" s="8" t="s">
        <v>59</v>
      </c>
      <c r="J99" s="10" t="n">
        <v>0</v>
      </c>
    </row>
    <row r="100" customFormat="false" ht="15" hidden="false" customHeight="false" outlineLevel="0" collapsed="false">
      <c r="A100" s="8" t="s">
        <v>161</v>
      </c>
      <c r="B100" s="8" t="s">
        <v>139</v>
      </c>
      <c r="C100" s="9" t="s">
        <v>7</v>
      </c>
      <c r="D100" s="8" t="n">
        <f aca="false">COUNTIF(Itens!$C:$C,A100)</f>
        <v>2</v>
      </c>
      <c r="E100" s="8" t="n">
        <f aca="false">SUMIF(Itens!$C:$C,A100,Itens!$D:$D)</f>
        <v>46</v>
      </c>
      <c r="F100" s="8" t="n">
        <f aca="false">SUMIF(Itens!$C:$C,A100,Itens!$I:$I)</f>
        <v>46</v>
      </c>
      <c r="G100" s="8" t="n">
        <f aca="false">SUMIF(Itens!$C:$C,A100,Itens!$J:$J)</f>
        <v>0</v>
      </c>
      <c r="H100" s="8" t="n">
        <f aca="false">SUMIF(Itens!$C:$C,A100,Itens!$K:$K)</f>
        <v>0</v>
      </c>
      <c r="I100" s="8" t="s">
        <v>59</v>
      </c>
      <c r="J100" s="10" t="n">
        <v>0</v>
      </c>
    </row>
    <row r="101" customFormat="false" ht="15" hidden="false" customHeight="false" outlineLevel="0" collapsed="false">
      <c r="A101" s="8" t="s">
        <v>162</v>
      </c>
      <c r="B101" s="8" t="s">
        <v>139</v>
      </c>
      <c r="C101" s="9" t="s">
        <v>7</v>
      </c>
      <c r="D101" s="8" t="n">
        <f aca="false">COUNTIF(Itens!$C:$C,A101)</f>
        <v>2</v>
      </c>
      <c r="E101" s="8" t="n">
        <f aca="false">SUMIF(Itens!$C:$C,A101,Itens!$D:$D)</f>
        <v>58</v>
      </c>
      <c r="F101" s="8" t="n">
        <f aca="false">SUMIF(Itens!$C:$C,A101,Itens!$I:$I)</f>
        <v>58</v>
      </c>
      <c r="G101" s="8" t="n">
        <f aca="false">SUMIF(Itens!$C:$C,A101,Itens!$J:$J)</f>
        <v>0</v>
      </c>
      <c r="H101" s="8" t="n">
        <f aca="false">SUMIF(Itens!$C:$C,A101,Itens!$K:$K)</f>
        <v>0</v>
      </c>
      <c r="I101" s="8" t="s">
        <v>100</v>
      </c>
      <c r="J101" s="10" t="n">
        <v>1</v>
      </c>
    </row>
    <row r="102" customFormat="false" ht="15" hidden="false" customHeight="false" outlineLevel="0" collapsed="false">
      <c r="A102" s="8" t="s">
        <v>163</v>
      </c>
      <c r="B102" s="8" t="s">
        <v>43</v>
      </c>
      <c r="C102" s="9" t="s">
        <v>9</v>
      </c>
      <c r="D102" s="8" t="n">
        <f aca="false">COUNTIF(Itens!$C:$C,A102)</f>
        <v>3</v>
      </c>
      <c r="E102" s="8" t="n">
        <f aca="false">SUMIF(Itens!$C:$C,A102,Itens!$D:$D)</f>
        <v>100</v>
      </c>
      <c r="F102" s="8" t="n">
        <f aca="false">SUMIF(Itens!$C:$C,A102,Itens!$I:$I)</f>
        <v>64</v>
      </c>
      <c r="G102" s="8" t="n">
        <f aca="false">SUMIF(Itens!$C:$C,A102,Itens!$J:$J)</f>
        <v>36</v>
      </c>
      <c r="H102" s="8" t="n">
        <f aca="false">SUMIF(Itens!$C:$C,A102,Itens!$K:$K)</f>
        <v>0</v>
      </c>
      <c r="I102" s="8" t="s">
        <v>91</v>
      </c>
      <c r="J102" s="10" t="n">
        <v>0</v>
      </c>
    </row>
    <row r="103" customFormat="false" ht="15" hidden="false" customHeight="false" outlineLevel="0" collapsed="false">
      <c r="A103" s="8" t="s">
        <v>164</v>
      </c>
      <c r="B103" s="8" t="s">
        <v>139</v>
      </c>
      <c r="C103" s="9" t="s">
        <v>9</v>
      </c>
      <c r="D103" s="8" t="n">
        <f aca="false">COUNTIF(Itens!$C:$C,A103)</f>
        <v>2</v>
      </c>
      <c r="E103" s="8" t="n">
        <f aca="false">SUMIF(Itens!$C:$C,A103,Itens!$D:$D)</f>
        <v>62</v>
      </c>
      <c r="F103" s="8" t="n">
        <f aca="false">SUMIF(Itens!$C:$C,A103,Itens!$I:$I)</f>
        <v>10</v>
      </c>
      <c r="G103" s="8" t="n">
        <f aca="false">SUMIF(Itens!$C:$C,A103,Itens!$J:$J)</f>
        <v>1</v>
      </c>
      <c r="H103" s="8" t="n">
        <f aca="false">SUMIF(Itens!$C:$C,A103,Itens!$K:$K)</f>
        <v>51</v>
      </c>
      <c r="I103" s="8" t="s">
        <v>91</v>
      </c>
      <c r="J103" s="10" t="n">
        <v>0</v>
      </c>
    </row>
    <row r="104" customFormat="false" ht="15" hidden="false" customHeight="false" outlineLevel="0" collapsed="false">
      <c r="A104" s="8" t="s">
        <v>165</v>
      </c>
      <c r="B104" s="8" t="s">
        <v>139</v>
      </c>
      <c r="C104" s="9" t="s">
        <v>10</v>
      </c>
      <c r="D104" s="8" t="n">
        <f aca="false">COUNTIF(Itens!$C:$C,A104)</f>
        <v>2</v>
      </c>
      <c r="E104" s="8" t="n">
        <f aca="false">SUMIF(Itens!$C:$C,A104,Itens!$D:$D)</f>
        <v>41</v>
      </c>
      <c r="F104" s="8" t="n">
        <f aca="false">SUMIF(Itens!$C:$C,A104,Itens!$I:$I)</f>
        <v>0</v>
      </c>
      <c r="G104" s="8" t="n">
        <f aca="false">SUMIF(Itens!$C:$C,A104,Itens!$J:$J)</f>
        <v>0</v>
      </c>
      <c r="H104" s="8" t="n">
        <f aca="false">SUMIF(Itens!$C:$C,A104,Itens!$K:$K)</f>
        <v>41</v>
      </c>
      <c r="I104" s="8" t="s">
        <v>46</v>
      </c>
      <c r="J104" s="10" t="n">
        <v>0</v>
      </c>
    </row>
    <row r="105" customFormat="false" ht="15" hidden="false" customHeight="false" outlineLevel="0" collapsed="false">
      <c r="A105" s="8" t="s">
        <v>166</v>
      </c>
      <c r="B105" s="8" t="s">
        <v>43</v>
      </c>
      <c r="C105" s="9" t="s">
        <v>7</v>
      </c>
      <c r="D105" s="8" t="n">
        <f aca="false">COUNTIF(Itens!$C:$C,A105)</f>
        <v>3</v>
      </c>
      <c r="E105" s="8" t="n">
        <f aca="false">SUMIF(Itens!$C:$C,A105,Itens!$D:$D)</f>
        <v>67</v>
      </c>
      <c r="F105" s="8" t="n">
        <f aca="false">SUMIF(Itens!$C:$C,A105,Itens!$I:$I)</f>
        <v>67</v>
      </c>
      <c r="G105" s="8" t="n">
        <f aca="false">SUMIF(Itens!$C:$C,A105,Itens!$J:$J)</f>
        <v>0</v>
      </c>
      <c r="H105" s="8" t="n">
        <f aca="false">SUMIF(Itens!$C:$C,A105,Itens!$K:$K)</f>
        <v>0</v>
      </c>
      <c r="I105" s="8" t="s">
        <v>167</v>
      </c>
      <c r="J105" s="10" t="n">
        <v>26</v>
      </c>
    </row>
    <row r="106" customFormat="false" ht="15" hidden="false" customHeight="false" outlineLevel="0" collapsed="false">
      <c r="A106" s="8" t="s">
        <v>168</v>
      </c>
      <c r="B106" s="8" t="s">
        <v>43</v>
      </c>
      <c r="C106" s="9" t="s">
        <v>10</v>
      </c>
      <c r="D106" s="8" t="n">
        <f aca="false">COUNTIF(Itens!$C:$C,A106)</f>
        <v>3</v>
      </c>
      <c r="E106" s="8" t="n">
        <f aca="false">SUMIF(Itens!$C:$C,A106,Itens!$D:$D)</f>
        <v>51</v>
      </c>
      <c r="F106" s="8" t="n">
        <f aca="false">SUMIF(Itens!$C:$C,A106,Itens!$I:$I)</f>
        <v>0</v>
      </c>
      <c r="G106" s="8" t="n">
        <f aca="false">SUMIF(Itens!$C:$C,A106,Itens!$J:$J)</f>
        <v>0</v>
      </c>
      <c r="H106" s="8" t="n">
        <f aca="false">SUMIF(Itens!$C:$C,A106,Itens!$K:$K)</f>
        <v>51</v>
      </c>
      <c r="I106" s="8" t="s">
        <v>46</v>
      </c>
      <c r="J106" s="10" t="n">
        <v>0</v>
      </c>
    </row>
    <row r="107" customFormat="false" ht="15" hidden="false" customHeight="false" outlineLevel="0" collapsed="false">
      <c r="A107" s="8" t="s">
        <v>169</v>
      </c>
      <c r="B107" s="8" t="s">
        <v>43</v>
      </c>
      <c r="C107" s="9" t="s">
        <v>10</v>
      </c>
      <c r="D107" s="8" t="n">
        <f aca="false">COUNTIF(Itens!$C:$C,A107)</f>
        <v>3</v>
      </c>
      <c r="E107" s="8" t="n">
        <f aca="false">SUMIF(Itens!$C:$C,A107,Itens!$D:$D)</f>
        <v>51</v>
      </c>
      <c r="F107" s="8" t="n">
        <f aca="false">SUMIF(Itens!$C:$C,A107,Itens!$I:$I)</f>
        <v>0</v>
      </c>
      <c r="G107" s="8" t="n">
        <f aca="false">SUMIF(Itens!$C:$C,A107,Itens!$J:$J)</f>
        <v>0</v>
      </c>
      <c r="H107" s="8" t="n">
        <f aca="false">SUMIF(Itens!$C:$C,A107,Itens!$K:$K)</f>
        <v>51</v>
      </c>
      <c r="I107" s="8" t="s">
        <v>46</v>
      </c>
      <c r="J107" s="10" t="n">
        <v>0</v>
      </c>
    </row>
    <row r="108" customFormat="false" ht="15" hidden="false" customHeight="false" outlineLevel="0" collapsed="false">
      <c r="A108" s="8" t="s">
        <v>170</v>
      </c>
      <c r="B108" s="8" t="s">
        <v>43</v>
      </c>
      <c r="C108" s="9" t="s">
        <v>7</v>
      </c>
      <c r="D108" s="8" t="n">
        <f aca="false">COUNTIF(Itens!$C:$C,A108)</f>
        <v>3</v>
      </c>
      <c r="E108" s="8" t="n">
        <f aca="false">SUMIF(Itens!$C:$C,A108,Itens!$D:$D)</f>
        <v>51</v>
      </c>
      <c r="F108" s="8" t="n">
        <f aca="false">SUMIF(Itens!$C:$C,A108,Itens!$I:$I)</f>
        <v>51</v>
      </c>
      <c r="G108" s="8" t="n">
        <f aca="false">SUMIF(Itens!$C:$C,A108,Itens!$J:$J)</f>
        <v>0</v>
      </c>
      <c r="H108" s="8" t="n">
        <f aca="false">SUMIF(Itens!$C:$C,A108,Itens!$K:$K)</f>
        <v>0</v>
      </c>
      <c r="I108" s="8" t="s">
        <v>59</v>
      </c>
      <c r="J108" s="10" t="n">
        <v>0</v>
      </c>
    </row>
    <row r="109" customFormat="false" ht="15" hidden="false" customHeight="false" outlineLevel="0" collapsed="false">
      <c r="A109" s="8" t="s">
        <v>171</v>
      </c>
      <c r="B109" s="8" t="s">
        <v>43</v>
      </c>
      <c r="C109" s="9" t="s">
        <v>9</v>
      </c>
      <c r="D109" s="8" t="n">
        <f aca="false">COUNTIF(Itens!$C:$C,A109)</f>
        <v>3</v>
      </c>
      <c r="E109" s="8" t="n">
        <f aca="false">SUMIF(Itens!$C:$C,A109,Itens!$D:$D)</f>
        <v>67</v>
      </c>
      <c r="F109" s="8" t="n">
        <f aca="false">SUMIF(Itens!$C:$C,A109,Itens!$I:$I)</f>
        <v>0</v>
      </c>
      <c r="G109" s="8" t="n">
        <f aca="false">SUMIF(Itens!$C:$C,A109,Itens!$J:$J)</f>
        <v>28</v>
      </c>
      <c r="H109" s="8" t="n">
        <f aca="false">SUMIF(Itens!$C:$C,A109,Itens!$K:$K)</f>
        <v>39</v>
      </c>
      <c r="I109" s="8" t="s">
        <v>91</v>
      </c>
      <c r="J109" s="10" t="n">
        <v>0</v>
      </c>
    </row>
    <row r="110" customFormat="false" ht="15" hidden="false" customHeight="false" outlineLevel="0" collapsed="false">
      <c r="A110" s="8" t="s">
        <v>172</v>
      </c>
      <c r="B110" s="8" t="s">
        <v>43</v>
      </c>
      <c r="C110" s="9" t="s">
        <v>10</v>
      </c>
      <c r="D110" s="8" t="n">
        <f aca="false">COUNTIF(Itens!$C:$C,A110)</f>
        <v>3</v>
      </c>
      <c r="E110" s="8" t="n">
        <f aca="false">SUMIF(Itens!$C:$C,A110,Itens!$D:$D)</f>
        <v>67</v>
      </c>
      <c r="F110" s="8" t="n">
        <f aca="false">SUMIF(Itens!$C:$C,A110,Itens!$I:$I)</f>
        <v>0</v>
      </c>
      <c r="G110" s="8" t="n">
        <f aca="false">SUMIF(Itens!$C:$C,A110,Itens!$J:$J)</f>
        <v>0</v>
      </c>
      <c r="H110" s="8" t="n">
        <f aca="false">SUMIF(Itens!$C:$C,A110,Itens!$K:$K)</f>
        <v>67</v>
      </c>
      <c r="I110" s="8" t="s">
        <v>46</v>
      </c>
      <c r="J110" s="10" t="n">
        <v>0</v>
      </c>
    </row>
    <row r="111" customFormat="false" ht="15" hidden="false" customHeight="false" outlineLevel="0" collapsed="false">
      <c r="A111" s="8" t="s">
        <v>173</v>
      </c>
      <c r="B111" s="8" t="s">
        <v>43</v>
      </c>
      <c r="C111" s="9" t="s">
        <v>9</v>
      </c>
      <c r="D111" s="8" t="n">
        <f aca="false">COUNTIF(Itens!$C:$C,A111)</f>
        <v>3</v>
      </c>
      <c r="E111" s="8" t="n">
        <f aca="false">SUMIF(Itens!$C:$C,A111,Itens!$D:$D)</f>
        <v>67</v>
      </c>
      <c r="F111" s="8" t="n">
        <f aca="false">SUMIF(Itens!$C:$C,A111,Itens!$I:$I)</f>
        <v>6</v>
      </c>
      <c r="G111" s="8" t="n">
        <f aca="false">SUMIF(Itens!$C:$C,A111,Itens!$J:$J)</f>
        <v>40</v>
      </c>
      <c r="H111" s="8" t="n">
        <f aca="false">SUMIF(Itens!$C:$C,A111,Itens!$K:$K)</f>
        <v>21</v>
      </c>
      <c r="I111" s="8" t="s">
        <v>91</v>
      </c>
      <c r="J111" s="10" t="n">
        <v>0</v>
      </c>
    </row>
    <row r="112" customFormat="false" ht="15" hidden="false" customHeight="false" outlineLevel="0" collapsed="false">
      <c r="A112" s="8" t="s">
        <v>174</v>
      </c>
      <c r="B112" s="8" t="s">
        <v>43</v>
      </c>
      <c r="C112" s="9" t="s">
        <v>9</v>
      </c>
      <c r="D112" s="8" t="n">
        <f aca="false">COUNTIF(Itens!$C:$C,A112)</f>
        <v>3</v>
      </c>
      <c r="E112" s="8" t="n">
        <f aca="false">SUMIF(Itens!$C:$C,A112,Itens!$D:$D)</f>
        <v>67</v>
      </c>
      <c r="F112" s="8" t="n">
        <f aca="false">SUMIF(Itens!$C:$C,A112,Itens!$I:$I)</f>
        <v>0</v>
      </c>
      <c r="G112" s="8" t="n">
        <f aca="false">SUMIF(Itens!$C:$C,A112,Itens!$J:$J)</f>
        <v>58</v>
      </c>
      <c r="H112" s="8" t="n">
        <f aca="false">SUMIF(Itens!$C:$C,A112,Itens!$K:$K)</f>
        <v>9</v>
      </c>
      <c r="I112" s="8" t="s">
        <v>91</v>
      </c>
      <c r="J112" s="10" t="n">
        <v>0</v>
      </c>
    </row>
    <row r="113" customFormat="false" ht="15" hidden="false" customHeight="false" outlineLevel="0" collapsed="false">
      <c r="A113" s="8" t="s">
        <v>175</v>
      </c>
      <c r="B113" s="8" t="s">
        <v>50</v>
      </c>
      <c r="C113" s="9" t="s">
        <v>10</v>
      </c>
      <c r="D113" s="8" t="n">
        <f aca="false">COUNTIF(Itens!$C:$C,A113)</f>
        <v>2</v>
      </c>
      <c r="E113" s="8" t="n">
        <f aca="false">SUMIF(Itens!$C:$C,A113,Itens!$D:$D)</f>
        <v>45</v>
      </c>
      <c r="F113" s="8" t="n">
        <f aca="false">SUMIF(Itens!$C:$C,A113,Itens!$I:$I)</f>
        <v>0</v>
      </c>
      <c r="G113" s="8" t="n">
        <f aca="false">SUMIF(Itens!$C:$C,A113,Itens!$J:$J)</f>
        <v>0</v>
      </c>
      <c r="H113" s="8" t="n">
        <f aca="false">SUMIF(Itens!$C:$C,A113,Itens!$K:$K)</f>
        <v>45</v>
      </c>
      <c r="I113" s="8" t="s">
        <v>46</v>
      </c>
      <c r="J113" s="10" t="n">
        <v>0</v>
      </c>
    </row>
    <row r="114" customFormat="false" ht="15" hidden="false" customHeight="false" outlineLevel="0" collapsed="false">
      <c r="A114" s="8" t="s">
        <v>176</v>
      </c>
      <c r="B114" s="8" t="s">
        <v>50</v>
      </c>
      <c r="C114" s="9" t="s">
        <v>10</v>
      </c>
      <c r="D114" s="8" t="n">
        <f aca="false">COUNTIF(Itens!$C:$C,A114)</f>
        <v>2</v>
      </c>
      <c r="E114" s="8" t="n">
        <f aca="false">SUMIF(Itens!$C:$C,A114,Itens!$D:$D)</f>
        <v>45</v>
      </c>
      <c r="F114" s="8" t="n">
        <f aca="false">SUMIF(Itens!$C:$C,A114,Itens!$I:$I)</f>
        <v>0</v>
      </c>
      <c r="G114" s="8" t="n">
        <f aca="false">SUMIF(Itens!$C:$C,A114,Itens!$J:$J)</f>
        <v>0</v>
      </c>
      <c r="H114" s="8" t="n">
        <f aca="false">SUMIF(Itens!$C:$C,A114,Itens!$K:$K)</f>
        <v>45</v>
      </c>
      <c r="I114" s="8" t="s">
        <v>46</v>
      </c>
      <c r="J114" s="10" t="n">
        <v>0</v>
      </c>
    </row>
    <row r="115" customFormat="false" ht="15" hidden="false" customHeight="false" outlineLevel="0" collapsed="false">
      <c r="A115" s="8" t="s">
        <v>177</v>
      </c>
      <c r="B115" s="8" t="s">
        <v>43</v>
      </c>
      <c r="C115" s="9" t="s">
        <v>8</v>
      </c>
      <c r="D115" s="8" t="n">
        <f aca="false">COUNTIF(Itens!$C:$C,A115)</f>
        <v>3</v>
      </c>
      <c r="E115" s="8" t="n">
        <f aca="false">SUMIF(Itens!$C:$C,A115,Itens!$D:$D)</f>
        <v>49</v>
      </c>
      <c r="F115" s="8" t="n">
        <f aca="false">SUMIF(Itens!$C:$C,A115,Itens!$I:$I)</f>
        <v>0</v>
      </c>
      <c r="G115" s="8" t="n">
        <f aca="false">SUMIF(Itens!$C:$C,A115,Itens!$J:$J)</f>
        <v>49</v>
      </c>
      <c r="H115" s="8" t="n">
        <f aca="false">SUMIF(Itens!$C:$C,A115,Itens!$K:$K)</f>
        <v>0</v>
      </c>
      <c r="I115" s="8" t="s">
        <v>51</v>
      </c>
      <c r="J115" s="10" t="n">
        <v>0</v>
      </c>
    </row>
    <row r="116" customFormat="false" ht="15" hidden="false" customHeight="false" outlineLevel="0" collapsed="false">
      <c r="A116" s="8" t="s">
        <v>178</v>
      </c>
      <c r="B116" s="8" t="s">
        <v>43</v>
      </c>
      <c r="C116" s="9" t="s">
        <v>10</v>
      </c>
      <c r="D116" s="8" t="n">
        <f aca="false">COUNTIF(Itens!$C:$C,A116)</f>
        <v>3</v>
      </c>
      <c r="E116" s="8" t="n">
        <f aca="false">SUMIF(Itens!$C:$C,A116,Itens!$D:$D)</f>
        <v>49</v>
      </c>
      <c r="F116" s="8" t="n">
        <f aca="false">SUMIF(Itens!$C:$C,A116,Itens!$I:$I)</f>
        <v>0</v>
      </c>
      <c r="G116" s="8" t="n">
        <f aca="false">SUMIF(Itens!$C:$C,A116,Itens!$J:$J)</f>
        <v>0</v>
      </c>
      <c r="H116" s="8" t="n">
        <f aca="false">SUMIF(Itens!$C:$C,A116,Itens!$K:$K)</f>
        <v>49</v>
      </c>
      <c r="I116" s="8" t="s">
        <v>46</v>
      </c>
      <c r="J116" s="10" t="n">
        <v>0</v>
      </c>
    </row>
    <row r="117" customFormat="false" ht="15" hidden="false" customHeight="false" outlineLevel="0" collapsed="false">
      <c r="A117" s="8" t="s">
        <v>179</v>
      </c>
      <c r="B117" s="8" t="s">
        <v>43</v>
      </c>
      <c r="C117" s="9" t="s">
        <v>9</v>
      </c>
      <c r="D117" s="8" t="n">
        <f aca="false">COUNTIF(Itens!$C:$C,A117)</f>
        <v>3</v>
      </c>
      <c r="E117" s="8" t="n">
        <f aca="false">SUMIF(Itens!$C:$C,A117,Itens!$D:$D)</f>
        <v>73</v>
      </c>
      <c r="F117" s="8" t="n">
        <f aca="false">SUMIF(Itens!$C:$C,A117,Itens!$I:$I)</f>
        <v>0</v>
      </c>
      <c r="G117" s="8" t="n">
        <f aca="false">SUMIF(Itens!$C:$C,A117,Itens!$J:$J)</f>
        <v>44</v>
      </c>
      <c r="H117" s="8" t="n">
        <f aca="false">SUMIF(Itens!$C:$C,A117,Itens!$K:$K)</f>
        <v>29</v>
      </c>
      <c r="I117" s="8" t="s">
        <v>70</v>
      </c>
      <c r="J117" s="10" t="n">
        <v>0</v>
      </c>
    </row>
    <row r="118" customFormat="false" ht="15" hidden="false" customHeight="false" outlineLevel="0" collapsed="false">
      <c r="A118" s="8" t="s">
        <v>180</v>
      </c>
      <c r="B118" s="8" t="s">
        <v>43</v>
      </c>
      <c r="C118" s="9" t="s">
        <v>9</v>
      </c>
      <c r="D118" s="8" t="n">
        <f aca="false">COUNTIF(Itens!$C:$C,A118)</f>
        <v>3</v>
      </c>
      <c r="E118" s="8" t="n">
        <f aca="false">SUMIF(Itens!$C:$C,A118,Itens!$D:$D)</f>
        <v>66</v>
      </c>
      <c r="F118" s="8" t="n">
        <f aca="false">SUMIF(Itens!$C:$C,A118,Itens!$I:$I)</f>
        <v>45</v>
      </c>
      <c r="G118" s="8" t="n">
        <f aca="false">SUMIF(Itens!$C:$C,A118,Itens!$J:$J)</f>
        <v>15</v>
      </c>
      <c r="H118" s="8" t="n">
        <f aca="false">SUMIF(Itens!$C:$C,A118,Itens!$K:$K)</f>
        <v>6</v>
      </c>
      <c r="I118" s="8" t="s">
        <v>70</v>
      </c>
      <c r="J118" s="10" t="n">
        <v>0</v>
      </c>
    </row>
    <row r="119" customFormat="false" ht="15" hidden="false" customHeight="false" outlineLevel="0" collapsed="false">
      <c r="A119" s="8" t="s">
        <v>181</v>
      </c>
      <c r="B119" s="8" t="s">
        <v>50</v>
      </c>
      <c r="C119" s="9" t="s">
        <v>10</v>
      </c>
      <c r="D119" s="8" t="n">
        <f aca="false">COUNTIF(Itens!$C:$C,A119)</f>
        <v>2</v>
      </c>
      <c r="E119" s="8" t="n">
        <f aca="false">SUMIF(Itens!$C:$C,A119,Itens!$D:$D)</f>
        <v>23</v>
      </c>
      <c r="F119" s="8" t="n">
        <f aca="false">SUMIF(Itens!$C:$C,A119,Itens!$I:$I)</f>
        <v>0</v>
      </c>
      <c r="G119" s="8" t="n">
        <f aca="false">SUMIF(Itens!$C:$C,A119,Itens!$J:$J)</f>
        <v>0</v>
      </c>
      <c r="H119" s="8" t="n">
        <f aca="false">SUMIF(Itens!$C:$C,A119,Itens!$K:$K)</f>
        <v>23</v>
      </c>
      <c r="I119" s="8" t="s">
        <v>46</v>
      </c>
      <c r="J119" s="10" t="n">
        <v>0</v>
      </c>
    </row>
    <row r="120" customFormat="false" ht="15" hidden="false" customHeight="false" outlineLevel="0" collapsed="false">
      <c r="A120" s="8" t="s">
        <v>182</v>
      </c>
      <c r="B120" s="8" t="s">
        <v>50</v>
      </c>
      <c r="C120" s="9" t="s">
        <v>10</v>
      </c>
      <c r="D120" s="8" t="n">
        <f aca="false">COUNTIF(Itens!$C:$C,A120)</f>
        <v>2</v>
      </c>
      <c r="E120" s="8" t="n">
        <f aca="false">SUMIF(Itens!$C:$C,A120,Itens!$D:$D)</f>
        <v>23</v>
      </c>
      <c r="F120" s="8" t="n">
        <f aca="false">SUMIF(Itens!$C:$C,A120,Itens!$I:$I)</f>
        <v>0</v>
      </c>
      <c r="G120" s="8" t="n">
        <f aca="false">SUMIF(Itens!$C:$C,A120,Itens!$J:$J)</f>
        <v>0</v>
      </c>
      <c r="H120" s="8" t="n">
        <f aca="false">SUMIF(Itens!$C:$C,A120,Itens!$K:$K)</f>
        <v>23</v>
      </c>
      <c r="I120" s="8" t="s">
        <v>46</v>
      </c>
      <c r="J120" s="10" t="n">
        <v>0</v>
      </c>
    </row>
    <row r="121" customFormat="false" ht="15" hidden="false" customHeight="false" outlineLevel="0" collapsed="false">
      <c r="A121" s="8" t="s">
        <v>183</v>
      </c>
      <c r="B121" s="8" t="s">
        <v>43</v>
      </c>
      <c r="C121" s="9" t="s">
        <v>10</v>
      </c>
      <c r="D121" s="8" t="n">
        <f aca="false">COUNTIF(Itens!$C:$C,A121)</f>
        <v>3</v>
      </c>
      <c r="E121" s="8" t="n">
        <f aca="false">SUMIF(Itens!$C:$C,A121,Itens!$D:$D)</f>
        <v>45</v>
      </c>
      <c r="F121" s="8" t="n">
        <f aca="false">SUMIF(Itens!$C:$C,A121,Itens!$I:$I)</f>
        <v>0</v>
      </c>
      <c r="G121" s="8" t="n">
        <f aca="false">SUMIF(Itens!$C:$C,A121,Itens!$J:$J)</f>
        <v>0</v>
      </c>
      <c r="H121" s="8" t="n">
        <f aca="false">SUMIF(Itens!$C:$C,A121,Itens!$K:$K)</f>
        <v>45</v>
      </c>
      <c r="I121" s="8" t="s">
        <v>46</v>
      </c>
      <c r="J121" s="10" t="n">
        <v>0</v>
      </c>
    </row>
    <row r="122" customFormat="false" ht="15" hidden="false" customHeight="false" outlineLevel="0" collapsed="false">
      <c r="A122" s="8" t="s">
        <v>184</v>
      </c>
      <c r="B122" s="8" t="s">
        <v>43</v>
      </c>
      <c r="C122" s="9" t="s">
        <v>10</v>
      </c>
      <c r="D122" s="8" t="n">
        <f aca="false">COUNTIF(Itens!$C:$C,A122)</f>
        <v>3</v>
      </c>
      <c r="E122" s="8" t="n">
        <f aca="false">SUMIF(Itens!$C:$C,A122,Itens!$D:$D)</f>
        <v>45</v>
      </c>
      <c r="F122" s="8" t="n">
        <f aca="false">SUMIF(Itens!$C:$C,A122,Itens!$I:$I)</f>
        <v>0</v>
      </c>
      <c r="G122" s="8" t="n">
        <f aca="false">SUMIF(Itens!$C:$C,A122,Itens!$J:$J)</f>
        <v>0</v>
      </c>
      <c r="H122" s="8" t="n">
        <f aca="false">SUMIF(Itens!$C:$C,A122,Itens!$K:$K)</f>
        <v>45</v>
      </c>
      <c r="I122" s="8" t="s">
        <v>46</v>
      </c>
      <c r="J122" s="10" t="n">
        <v>0</v>
      </c>
    </row>
    <row r="123" customFormat="false" ht="15" hidden="false" customHeight="false" outlineLevel="0" collapsed="false">
      <c r="A123" s="8" t="s">
        <v>185</v>
      </c>
      <c r="B123" s="8" t="s">
        <v>43</v>
      </c>
      <c r="C123" s="9" t="s">
        <v>10</v>
      </c>
      <c r="D123" s="8" t="n">
        <f aca="false">COUNTIF(Itens!$C:$C,A123)</f>
        <v>3</v>
      </c>
      <c r="E123" s="8" t="n">
        <f aca="false">SUMIF(Itens!$C:$C,A123,Itens!$D:$D)</f>
        <v>47</v>
      </c>
      <c r="F123" s="8" t="n">
        <f aca="false">SUMIF(Itens!$C:$C,A123,Itens!$I:$I)</f>
        <v>0</v>
      </c>
      <c r="G123" s="8" t="n">
        <f aca="false">SUMIF(Itens!$C:$C,A123,Itens!$J:$J)</f>
        <v>0</v>
      </c>
      <c r="H123" s="8" t="n">
        <f aca="false">SUMIF(Itens!$C:$C,A123,Itens!$K:$K)</f>
        <v>47</v>
      </c>
      <c r="I123" s="8" t="s">
        <v>46</v>
      </c>
      <c r="J123" s="10" t="n">
        <v>0</v>
      </c>
    </row>
    <row r="124" customFormat="false" ht="15" hidden="false" customHeight="false" outlineLevel="0" collapsed="false">
      <c r="A124" s="8" t="s">
        <v>186</v>
      </c>
      <c r="B124" s="8" t="s">
        <v>43</v>
      </c>
      <c r="C124" s="9" t="s">
        <v>9</v>
      </c>
      <c r="D124" s="8" t="n">
        <f aca="false">COUNTIF(Itens!$C:$C,A124)</f>
        <v>3</v>
      </c>
      <c r="E124" s="8" t="n">
        <f aca="false">SUMIF(Itens!$C:$C,A124,Itens!$D:$D)</f>
        <v>69</v>
      </c>
      <c r="F124" s="8" t="n">
        <f aca="false">SUMIF(Itens!$C:$C,A124,Itens!$I:$I)</f>
        <v>18</v>
      </c>
      <c r="G124" s="8" t="n">
        <f aca="false">SUMIF(Itens!$C:$C,A124,Itens!$J:$J)</f>
        <v>41</v>
      </c>
      <c r="H124" s="8" t="n">
        <f aca="false">SUMIF(Itens!$C:$C,A124,Itens!$K:$K)</f>
        <v>10</v>
      </c>
      <c r="I124" s="8" t="s">
        <v>70</v>
      </c>
      <c r="J124" s="10" t="n">
        <v>0</v>
      </c>
    </row>
    <row r="125" customFormat="false" ht="15" hidden="false" customHeight="false" outlineLevel="0" collapsed="false">
      <c r="A125" s="8" t="s">
        <v>187</v>
      </c>
      <c r="B125" s="8" t="s">
        <v>43</v>
      </c>
      <c r="C125" s="9" t="s">
        <v>10</v>
      </c>
      <c r="D125" s="8" t="n">
        <f aca="false">COUNTIF(Itens!$C:$C,A125)</f>
        <v>3</v>
      </c>
      <c r="E125" s="8" t="n">
        <f aca="false">SUMIF(Itens!$C:$C,A125,Itens!$D:$D)</f>
        <v>63</v>
      </c>
      <c r="F125" s="8" t="n">
        <f aca="false">SUMIF(Itens!$C:$C,A125,Itens!$I:$I)</f>
        <v>0</v>
      </c>
      <c r="G125" s="8" t="n">
        <f aca="false">SUMIF(Itens!$C:$C,A125,Itens!$J:$J)</f>
        <v>0</v>
      </c>
      <c r="H125" s="8" t="n">
        <f aca="false">SUMIF(Itens!$C:$C,A125,Itens!$K:$K)</f>
        <v>63</v>
      </c>
      <c r="I125" s="8" t="s">
        <v>46</v>
      </c>
      <c r="J125" s="10" t="n">
        <v>0</v>
      </c>
    </row>
    <row r="126" customFormat="false" ht="15" hidden="false" customHeight="false" outlineLevel="0" collapsed="false">
      <c r="A126" s="8" t="s">
        <v>188</v>
      </c>
      <c r="B126" s="8" t="s">
        <v>43</v>
      </c>
      <c r="C126" s="9" t="s">
        <v>10</v>
      </c>
      <c r="D126" s="8" t="n">
        <f aca="false">COUNTIF(Itens!$C:$C,A126)</f>
        <v>3</v>
      </c>
      <c r="E126" s="8" t="n">
        <f aca="false">SUMIF(Itens!$C:$C,A126,Itens!$D:$D)</f>
        <v>63</v>
      </c>
      <c r="F126" s="8" t="n">
        <f aca="false">SUMIF(Itens!$C:$C,A126,Itens!$I:$I)</f>
        <v>0</v>
      </c>
      <c r="G126" s="8" t="n">
        <f aca="false">SUMIF(Itens!$C:$C,A126,Itens!$J:$J)</f>
        <v>0</v>
      </c>
      <c r="H126" s="8" t="n">
        <f aca="false">SUMIF(Itens!$C:$C,A126,Itens!$K:$K)</f>
        <v>63</v>
      </c>
      <c r="I126" s="8" t="s">
        <v>46</v>
      </c>
      <c r="J126" s="10" t="n">
        <v>0</v>
      </c>
    </row>
    <row r="127" customFormat="false" ht="15" hidden="false" customHeight="false" outlineLevel="0" collapsed="false">
      <c r="A127" s="8" t="s">
        <v>189</v>
      </c>
      <c r="B127" s="8" t="s">
        <v>43</v>
      </c>
      <c r="C127" s="9" t="s">
        <v>10</v>
      </c>
      <c r="D127" s="8" t="n">
        <f aca="false">COUNTIF(Itens!$C:$C,A127)</f>
        <v>3</v>
      </c>
      <c r="E127" s="8" t="n">
        <f aca="false">SUMIF(Itens!$C:$C,A127,Itens!$D:$D)</f>
        <v>63</v>
      </c>
      <c r="F127" s="8" t="n">
        <f aca="false">SUMIF(Itens!$C:$C,A127,Itens!$I:$I)</f>
        <v>0</v>
      </c>
      <c r="G127" s="8" t="n">
        <f aca="false">SUMIF(Itens!$C:$C,A127,Itens!$J:$J)</f>
        <v>0</v>
      </c>
      <c r="H127" s="8" t="n">
        <f aca="false">SUMIF(Itens!$C:$C,A127,Itens!$K:$K)</f>
        <v>63</v>
      </c>
      <c r="I127" s="8" t="s">
        <v>46</v>
      </c>
      <c r="J127" s="10" t="n">
        <v>0</v>
      </c>
    </row>
    <row r="128" customFormat="false" ht="15" hidden="false" customHeight="false" outlineLevel="0" collapsed="false">
      <c r="A128" s="8" t="s">
        <v>190</v>
      </c>
      <c r="B128" s="8" t="s">
        <v>43</v>
      </c>
      <c r="C128" s="9" t="s">
        <v>9</v>
      </c>
      <c r="D128" s="8" t="n">
        <f aca="false">COUNTIF(Itens!$C:$C,A128)</f>
        <v>3</v>
      </c>
      <c r="E128" s="8" t="n">
        <f aca="false">SUMIF(Itens!$C:$C,A128,Itens!$D:$D)</f>
        <v>65</v>
      </c>
      <c r="F128" s="8" t="n">
        <f aca="false">SUMIF(Itens!$C:$C,A128,Itens!$I:$I)</f>
        <v>1</v>
      </c>
      <c r="G128" s="8" t="n">
        <f aca="false">SUMIF(Itens!$C:$C,A128,Itens!$J:$J)</f>
        <v>19</v>
      </c>
      <c r="H128" s="8" t="n">
        <f aca="false">SUMIF(Itens!$C:$C,A128,Itens!$K:$K)</f>
        <v>45</v>
      </c>
      <c r="I128" s="8" t="s">
        <v>44</v>
      </c>
      <c r="J128" s="10" t="n">
        <v>0</v>
      </c>
    </row>
    <row r="129" customFormat="false" ht="15" hidden="false" customHeight="false" outlineLevel="0" collapsed="false">
      <c r="A129" s="8" t="s">
        <v>191</v>
      </c>
      <c r="B129" s="8" t="s">
        <v>43</v>
      </c>
      <c r="C129" s="9" t="s">
        <v>10</v>
      </c>
      <c r="D129" s="8" t="n">
        <f aca="false">COUNTIF(Itens!$C:$C,A129)</f>
        <v>3</v>
      </c>
      <c r="E129" s="8" t="n">
        <f aca="false">SUMIF(Itens!$C:$C,A129,Itens!$D:$D)</f>
        <v>105</v>
      </c>
      <c r="F129" s="8" t="n">
        <f aca="false">SUMIF(Itens!$C:$C,A129,Itens!$I:$I)</f>
        <v>0</v>
      </c>
      <c r="G129" s="8" t="n">
        <f aca="false">SUMIF(Itens!$C:$C,A129,Itens!$J:$J)</f>
        <v>0</v>
      </c>
      <c r="H129" s="8" t="n">
        <f aca="false">SUMIF(Itens!$C:$C,A129,Itens!$K:$K)</f>
        <v>105</v>
      </c>
      <c r="I129" s="8" t="s">
        <v>46</v>
      </c>
      <c r="J129" s="10" t="n">
        <v>0</v>
      </c>
    </row>
    <row r="130" customFormat="false" ht="15" hidden="false" customHeight="false" outlineLevel="0" collapsed="false">
      <c r="A130" s="8" t="s">
        <v>192</v>
      </c>
      <c r="B130" s="8" t="s">
        <v>43</v>
      </c>
      <c r="C130" s="9" t="s">
        <v>9</v>
      </c>
      <c r="D130" s="8" t="n">
        <f aca="false">COUNTIF(Itens!$C:$C,A130)</f>
        <v>3</v>
      </c>
      <c r="E130" s="8" t="n">
        <f aca="false">SUMIF(Itens!$C:$C,A130,Itens!$D:$D)</f>
        <v>117</v>
      </c>
      <c r="F130" s="8" t="n">
        <f aca="false">SUMIF(Itens!$C:$C,A130,Itens!$I:$I)</f>
        <v>76</v>
      </c>
      <c r="G130" s="8" t="n">
        <f aca="false">SUMIF(Itens!$C:$C,A130,Itens!$J:$J)</f>
        <v>20</v>
      </c>
      <c r="H130" s="8" t="n">
        <f aca="false">SUMIF(Itens!$C:$C,A130,Itens!$K:$K)</f>
        <v>21</v>
      </c>
      <c r="I130" s="8" t="s">
        <v>70</v>
      </c>
      <c r="J130" s="10" t="n">
        <v>0</v>
      </c>
    </row>
    <row r="131" customFormat="false" ht="15" hidden="false" customHeight="false" outlineLevel="0" collapsed="false">
      <c r="A131" s="8" t="s">
        <v>193</v>
      </c>
      <c r="B131" s="8" t="s">
        <v>43</v>
      </c>
      <c r="C131" s="9" t="s">
        <v>10</v>
      </c>
      <c r="D131" s="8" t="n">
        <f aca="false">COUNTIF(Itens!$C:$C,A131)</f>
        <v>3</v>
      </c>
      <c r="E131" s="8" t="n">
        <f aca="false">SUMIF(Itens!$C:$C,A131,Itens!$D:$D)</f>
        <v>65</v>
      </c>
      <c r="F131" s="8" t="n">
        <f aca="false">SUMIF(Itens!$C:$C,A131,Itens!$I:$I)</f>
        <v>0</v>
      </c>
      <c r="G131" s="8" t="n">
        <f aca="false">SUMIF(Itens!$C:$C,A131,Itens!$J:$J)</f>
        <v>0</v>
      </c>
      <c r="H131" s="8" t="n">
        <f aca="false">SUMIF(Itens!$C:$C,A131,Itens!$K:$K)</f>
        <v>65</v>
      </c>
      <c r="I131" s="8" t="s">
        <v>46</v>
      </c>
      <c r="J131" s="10" t="n">
        <v>0</v>
      </c>
    </row>
    <row r="132" customFormat="false" ht="15" hidden="false" customHeight="false" outlineLevel="0" collapsed="false">
      <c r="A132" s="8" t="s">
        <v>194</v>
      </c>
      <c r="B132" s="8" t="s">
        <v>43</v>
      </c>
      <c r="C132" s="9" t="s">
        <v>10</v>
      </c>
      <c r="D132" s="8" t="n">
        <f aca="false">COUNTIF(Itens!$C:$C,A132)</f>
        <v>3</v>
      </c>
      <c r="E132" s="8" t="n">
        <f aca="false">SUMIF(Itens!$C:$C,A132,Itens!$D:$D)</f>
        <v>114</v>
      </c>
      <c r="F132" s="8" t="n">
        <f aca="false">SUMIF(Itens!$C:$C,A132,Itens!$I:$I)</f>
        <v>0</v>
      </c>
      <c r="G132" s="8" t="n">
        <f aca="false">SUMIF(Itens!$C:$C,A132,Itens!$J:$J)</f>
        <v>0</v>
      </c>
      <c r="H132" s="8" t="n">
        <f aca="false">SUMIF(Itens!$C:$C,A132,Itens!$K:$K)</f>
        <v>114</v>
      </c>
      <c r="I132" s="8" t="s">
        <v>46</v>
      </c>
      <c r="J132" s="10" t="n">
        <v>0</v>
      </c>
    </row>
    <row r="133" customFormat="false" ht="15" hidden="false" customHeight="false" outlineLevel="0" collapsed="false">
      <c r="A133" s="8" t="s">
        <v>195</v>
      </c>
      <c r="B133" s="8" t="s">
        <v>43</v>
      </c>
      <c r="C133" s="9" t="s">
        <v>9</v>
      </c>
      <c r="D133" s="8" t="n">
        <f aca="false">COUNTIF(Itens!$C:$C,A133)</f>
        <v>3</v>
      </c>
      <c r="E133" s="8" t="n">
        <f aca="false">SUMIF(Itens!$C:$C,A133,Itens!$D:$D)</f>
        <v>104</v>
      </c>
      <c r="F133" s="8" t="n">
        <f aca="false">SUMIF(Itens!$C:$C,A133,Itens!$I:$I)</f>
        <v>28</v>
      </c>
      <c r="G133" s="8" t="n">
        <f aca="false">SUMIF(Itens!$C:$C,A133,Itens!$J:$J)</f>
        <v>24</v>
      </c>
      <c r="H133" s="8" t="n">
        <f aca="false">SUMIF(Itens!$C:$C,A133,Itens!$K:$K)</f>
        <v>52</v>
      </c>
      <c r="I133" s="8" t="s">
        <v>91</v>
      </c>
      <c r="J133" s="10" t="n">
        <v>0</v>
      </c>
    </row>
    <row r="134" customFormat="false" ht="15" hidden="false" customHeight="false" outlineLevel="0" collapsed="false">
      <c r="A134" s="8" t="s">
        <v>196</v>
      </c>
      <c r="B134" s="8" t="s">
        <v>43</v>
      </c>
      <c r="C134" s="9" t="s">
        <v>7</v>
      </c>
      <c r="D134" s="8" t="n">
        <f aca="false">COUNTIF(Itens!$C:$C,A134)</f>
        <v>3</v>
      </c>
      <c r="E134" s="8" t="n">
        <f aca="false">SUMIF(Itens!$C:$C,A134,Itens!$D:$D)</f>
        <v>72</v>
      </c>
      <c r="F134" s="8" t="n">
        <f aca="false">SUMIF(Itens!$C:$C,A134,Itens!$I:$I)</f>
        <v>72</v>
      </c>
      <c r="G134" s="8" t="n">
        <f aca="false">SUMIF(Itens!$C:$C,A134,Itens!$J:$J)</f>
        <v>0</v>
      </c>
      <c r="H134" s="8" t="n">
        <f aca="false">SUMIF(Itens!$C:$C,A134,Itens!$K:$K)</f>
        <v>0</v>
      </c>
      <c r="I134" s="8" t="s">
        <v>197</v>
      </c>
      <c r="J134" s="10" t="n">
        <v>3</v>
      </c>
    </row>
    <row r="135" customFormat="false" ht="15" hidden="false" customHeight="false" outlineLevel="0" collapsed="false">
      <c r="A135" s="8" t="s">
        <v>198</v>
      </c>
      <c r="B135" s="8" t="s">
        <v>43</v>
      </c>
      <c r="C135" s="9" t="s">
        <v>9</v>
      </c>
      <c r="D135" s="8" t="n">
        <f aca="false">COUNTIF(Itens!$C:$C,A135)</f>
        <v>3</v>
      </c>
      <c r="E135" s="8" t="n">
        <f aca="false">SUMIF(Itens!$C:$C,A135,Itens!$D:$D)</f>
        <v>50</v>
      </c>
      <c r="F135" s="8" t="n">
        <f aca="false">SUMIF(Itens!$C:$C,A135,Itens!$I:$I)</f>
        <v>7</v>
      </c>
      <c r="G135" s="8" t="n">
        <f aca="false">SUMIF(Itens!$C:$C,A135,Itens!$J:$J)</f>
        <v>28</v>
      </c>
      <c r="H135" s="8" t="n">
        <f aca="false">SUMIF(Itens!$C:$C,A135,Itens!$K:$K)</f>
        <v>15</v>
      </c>
      <c r="I135" s="8" t="s">
        <v>91</v>
      </c>
      <c r="J135" s="10" t="n">
        <v>0</v>
      </c>
    </row>
    <row r="136" customFormat="false" ht="15" hidden="false" customHeight="false" outlineLevel="0" collapsed="false">
      <c r="A136" s="8" t="s">
        <v>199</v>
      </c>
      <c r="B136" s="8" t="s">
        <v>43</v>
      </c>
      <c r="C136" s="9" t="s">
        <v>8</v>
      </c>
      <c r="D136" s="8" t="n">
        <f aca="false">COUNTIF(Itens!$C:$C,A136)</f>
        <v>4</v>
      </c>
      <c r="E136" s="8" t="n">
        <f aca="false">SUMIF(Itens!$C:$C,A136,Itens!$D:$D)</f>
        <v>55</v>
      </c>
      <c r="F136" s="8" t="n">
        <f aca="false">SUMIF(Itens!$C:$C,A136,Itens!$I:$I)</f>
        <v>0</v>
      </c>
      <c r="G136" s="8" t="n">
        <f aca="false">SUMIF(Itens!$C:$C,A136,Itens!$J:$J)</f>
        <v>55</v>
      </c>
      <c r="H136" s="8" t="n">
        <f aca="false">SUMIF(Itens!$C:$C,A136,Itens!$K:$K)</f>
        <v>0</v>
      </c>
      <c r="I136" s="8" t="s">
        <v>51</v>
      </c>
      <c r="J136" s="10" t="n">
        <v>0</v>
      </c>
    </row>
    <row r="137" customFormat="false" ht="15" hidden="false" customHeight="false" outlineLevel="0" collapsed="false">
      <c r="A137" s="8" t="s">
        <v>200</v>
      </c>
      <c r="B137" s="8" t="s">
        <v>43</v>
      </c>
      <c r="C137" s="9" t="s">
        <v>7</v>
      </c>
      <c r="D137" s="8" t="n">
        <f aca="false">COUNTIF(Itens!$C:$C,A137)</f>
        <v>4</v>
      </c>
      <c r="E137" s="8" t="n">
        <f aca="false">SUMIF(Itens!$C:$C,A137,Itens!$D:$D)</f>
        <v>31</v>
      </c>
      <c r="F137" s="8" t="n">
        <f aca="false">SUMIF(Itens!$C:$C,A137,Itens!$I:$I)</f>
        <v>31</v>
      </c>
      <c r="G137" s="8" t="n">
        <f aca="false">SUMIF(Itens!$C:$C,A137,Itens!$J:$J)</f>
        <v>0</v>
      </c>
      <c r="H137" s="8" t="n">
        <f aca="false">SUMIF(Itens!$C:$C,A137,Itens!$K:$K)</f>
        <v>0</v>
      </c>
      <c r="I137" s="8" t="s">
        <v>55</v>
      </c>
      <c r="J137" s="10" t="n">
        <v>4</v>
      </c>
    </row>
    <row r="138" customFormat="false" ht="15" hidden="false" customHeight="false" outlineLevel="0" collapsed="false">
      <c r="A138" s="8" t="s">
        <v>201</v>
      </c>
      <c r="B138" s="8" t="s">
        <v>43</v>
      </c>
      <c r="C138" s="9" t="s">
        <v>8</v>
      </c>
      <c r="D138" s="8" t="n">
        <f aca="false">COUNTIF(Itens!$C:$C,A138)</f>
        <v>6</v>
      </c>
      <c r="E138" s="8" t="n">
        <f aca="false">SUMIF(Itens!$C:$C,A138,Itens!$D:$D)</f>
        <v>43</v>
      </c>
      <c r="F138" s="8" t="n">
        <f aca="false">SUMIF(Itens!$C:$C,A138,Itens!$I:$I)</f>
        <v>0</v>
      </c>
      <c r="G138" s="8" t="n">
        <f aca="false">SUMIF(Itens!$C:$C,A138,Itens!$J:$J)</f>
        <v>43</v>
      </c>
      <c r="H138" s="8" t="n">
        <f aca="false">SUMIF(Itens!$C:$C,A138,Itens!$K:$K)</f>
        <v>0</v>
      </c>
      <c r="I138" s="8" t="s">
        <v>51</v>
      </c>
      <c r="J138" s="10" t="n">
        <v>0</v>
      </c>
    </row>
    <row r="139" customFormat="false" ht="15" hidden="false" customHeight="false" outlineLevel="0" collapsed="false">
      <c r="A139" s="8" t="s">
        <v>202</v>
      </c>
      <c r="B139" s="8" t="s">
        <v>43</v>
      </c>
      <c r="C139" s="9" t="s">
        <v>7</v>
      </c>
      <c r="D139" s="8" t="n">
        <f aca="false">COUNTIF(Itens!$C:$C,A139)</f>
        <v>4</v>
      </c>
      <c r="E139" s="8" t="n">
        <f aca="false">SUMIF(Itens!$C:$C,A139,Itens!$D:$D)</f>
        <v>44</v>
      </c>
      <c r="F139" s="8" t="n">
        <f aca="false">SUMIF(Itens!$C:$C,A139,Itens!$I:$I)</f>
        <v>44</v>
      </c>
      <c r="G139" s="8" t="n">
        <f aca="false">SUMIF(Itens!$C:$C,A139,Itens!$J:$J)</f>
        <v>0</v>
      </c>
      <c r="H139" s="8" t="n">
        <f aca="false">SUMIF(Itens!$C:$C,A139,Itens!$K:$K)</f>
        <v>0</v>
      </c>
      <c r="I139" s="8" t="s">
        <v>102</v>
      </c>
      <c r="J139" s="10" t="n">
        <v>7</v>
      </c>
    </row>
    <row r="140" customFormat="false" ht="15" hidden="false" customHeight="false" outlineLevel="0" collapsed="false">
      <c r="A140" s="8" t="s">
        <v>203</v>
      </c>
      <c r="B140" s="8" t="s">
        <v>43</v>
      </c>
      <c r="C140" s="9" t="s">
        <v>9</v>
      </c>
      <c r="D140" s="8" t="n">
        <f aca="false">COUNTIF(Itens!$C:$C,A140)</f>
        <v>3</v>
      </c>
      <c r="E140" s="8" t="n">
        <f aca="false">SUMIF(Itens!$C:$C,A140,Itens!$D:$D)</f>
        <v>42</v>
      </c>
      <c r="F140" s="8" t="n">
        <f aca="false">SUMIF(Itens!$C:$C,A140,Itens!$I:$I)</f>
        <v>6</v>
      </c>
      <c r="G140" s="8" t="n">
        <f aca="false">SUMIF(Itens!$C:$C,A140,Itens!$J:$J)</f>
        <v>14</v>
      </c>
      <c r="H140" s="8" t="n">
        <f aca="false">SUMIF(Itens!$C:$C,A140,Itens!$K:$K)</f>
        <v>22</v>
      </c>
      <c r="I140" s="8" t="s">
        <v>91</v>
      </c>
      <c r="J140" s="10" t="n">
        <v>0</v>
      </c>
    </row>
    <row r="141" customFormat="false" ht="15" hidden="false" customHeight="false" outlineLevel="0" collapsed="false">
      <c r="A141" s="8" t="s">
        <v>204</v>
      </c>
      <c r="B141" s="8" t="s">
        <v>43</v>
      </c>
      <c r="C141" s="9" t="s">
        <v>7</v>
      </c>
      <c r="D141" s="8" t="n">
        <f aca="false">COUNTIF(Itens!$C:$C,A141)</f>
        <v>3</v>
      </c>
      <c r="E141" s="8" t="n">
        <f aca="false">SUMIF(Itens!$C:$C,A141,Itens!$D:$D)</f>
        <v>40</v>
      </c>
      <c r="F141" s="8" t="n">
        <f aca="false">SUMIF(Itens!$C:$C,A141,Itens!$I:$I)</f>
        <v>40</v>
      </c>
      <c r="G141" s="8" t="n">
        <f aca="false">SUMIF(Itens!$C:$C,A141,Itens!$J:$J)</f>
        <v>0</v>
      </c>
      <c r="H141" s="8" t="n">
        <f aca="false">SUMIF(Itens!$C:$C,A141,Itens!$K:$K)</f>
        <v>0</v>
      </c>
      <c r="I141" s="8" t="s">
        <v>77</v>
      </c>
      <c r="J141" s="10" t="n">
        <v>14</v>
      </c>
    </row>
    <row r="142" customFormat="false" ht="15" hidden="false" customHeight="false" outlineLevel="0" collapsed="false">
      <c r="A142" s="8" t="s">
        <v>205</v>
      </c>
      <c r="B142" s="8" t="s">
        <v>43</v>
      </c>
      <c r="C142" s="9" t="s">
        <v>7</v>
      </c>
      <c r="D142" s="8" t="n">
        <f aca="false">COUNTIF(Itens!$C:$C,A142)</f>
        <v>3</v>
      </c>
      <c r="E142" s="8" t="n">
        <f aca="false">SUMIF(Itens!$C:$C,A142,Itens!$D:$D)</f>
        <v>43</v>
      </c>
      <c r="F142" s="8" t="n">
        <f aca="false">SUMIF(Itens!$C:$C,A142,Itens!$I:$I)</f>
        <v>43</v>
      </c>
      <c r="G142" s="8" t="n">
        <f aca="false">SUMIF(Itens!$C:$C,A142,Itens!$J:$J)</f>
        <v>0</v>
      </c>
      <c r="H142" s="8" t="n">
        <f aca="false">SUMIF(Itens!$C:$C,A142,Itens!$K:$K)</f>
        <v>0</v>
      </c>
      <c r="I142" s="8" t="s">
        <v>206</v>
      </c>
      <c r="J142" s="10" t="n">
        <v>24</v>
      </c>
    </row>
    <row r="143" customFormat="false" ht="15" hidden="false" customHeight="false" outlineLevel="0" collapsed="false">
      <c r="A143" s="8" t="s">
        <v>207</v>
      </c>
      <c r="B143" s="8" t="s">
        <v>43</v>
      </c>
      <c r="C143" s="9" t="s">
        <v>7</v>
      </c>
      <c r="D143" s="8" t="n">
        <f aca="false">COUNTIF(Itens!$C:$C,A143)</f>
        <v>3</v>
      </c>
      <c r="E143" s="8" t="n">
        <f aca="false">SUMIF(Itens!$C:$C,A143,Itens!$D:$D)</f>
        <v>49</v>
      </c>
      <c r="F143" s="8" t="n">
        <f aca="false">SUMIF(Itens!$C:$C,A143,Itens!$I:$I)</f>
        <v>49</v>
      </c>
      <c r="G143" s="8" t="n">
        <f aca="false">SUMIF(Itens!$C:$C,A143,Itens!$J:$J)</f>
        <v>0</v>
      </c>
      <c r="H143" s="8" t="n">
        <f aca="false">SUMIF(Itens!$C:$C,A143,Itens!$K:$K)</f>
        <v>0</v>
      </c>
      <c r="I143" s="8" t="s">
        <v>59</v>
      </c>
      <c r="J143" s="10" t="n">
        <v>0</v>
      </c>
    </row>
    <row r="144" customFormat="false" ht="15" hidden="false" customHeight="false" outlineLevel="0" collapsed="false">
      <c r="A144" s="8" t="s">
        <v>208</v>
      </c>
      <c r="B144" s="8" t="s">
        <v>43</v>
      </c>
      <c r="C144" s="9" t="s">
        <v>7</v>
      </c>
      <c r="D144" s="8" t="n">
        <f aca="false">COUNTIF(Itens!$C:$C,A144)</f>
        <v>3</v>
      </c>
      <c r="E144" s="8" t="n">
        <f aca="false">SUMIF(Itens!$C:$C,A144,Itens!$D:$D)</f>
        <v>49</v>
      </c>
      <c r="F144" s="8" t="n">
        <f aca="false">SUMIF(Itens!$C:$C,A144,Itens!$I:$I)</f>
        <v>49</v>
      </c>
      <c r="G144" s="8" t="n">
        <f aca="false">SUMIF(Itens!$C:$C,A144,Itens!$J:$J)</f>
        <v>0</v>
      </c>
      <c r="H144" s="8" t="n">
        <f aca="false">SUMIF(Itens!$C:$C,A144,Itens!$K:$K)</f>
        <v>0</v>
      </c>
      <c r="I144" s="8" t="s">
        <v>209</v>
      </c>
      <c r="J144" s="10" t="n">
        <v>29</v>
      </c>
    </row>
    <row r="145" customFormat="false" ht="15" hidden="false" customHeight="false" outlineLevel="0" collapsed="false">
      <c r="A145" s="8" t="s">
        <v>210</v>
      </c>
      <c r="B145" s="8" t="s">
        <v>43</v>
      </c>
      <c r="C145" s="9" t="s">
        <v>7</v>
      </c>
      <c r="D145" s="8" t="n">
        <f aca="false">COUNTIF(Itens!$C:$C,A145)</f>
        <v>3</v>
      </c>
      <c r="E145" s="8" t="n">
        <f aca="false">SUMIF(Itens!$C:$C,A145,Itens!$D:$D)</f>
        <v>49</v>
      </c>
      <c r="F145" s="8" t="n">
        <f aca="false">SUMIF(Itens!$C:$C,A145,Itens!$I:$I)</f>
        <v>49</v>
      </c>
      <c r="G145" s="8" t="n">
        <f aca="false">SUMIF(Itens!$C:$C,A145,Itens!$J:$J)</f>
        <v>0</v>
      </c>
      <c r="H145" s="8" t="n">
        <f aca="false">SUMIF(Itens!$C:$C,A145,Itens!$K:$K)</f>
        <v>0</v>
      </c>
      <c r="I145" s="8" t="s">
        <v>211</v>
      </c>
      <c r="J145" s="10" t="n">
        <v>43</v>
      </c>
    </row>
    <row r="146" customFormat="false" ht="15" hidden="false" customHeight="false" outlineLevel="0" collapsed="false">
      <c r="A146" s="8" t="s">
        <v>212</v>
      </c>
      <c r="B146" s="8" t="s">
        <v>50</v>
      </c>
      <c r="C146" s="9" t="s">
        <v>7</v>
      </c>
      <c r="D146" s="8" t="n">
        <f aca="false">COUNTIF(Itens!$C:$C,A146)</f>
        <v>2</v>
      </c>
      <c r="E146" s="8" t="n">
        <f aca="false">SUMIF(Itens!$C:$C,A146,Itens!$D:$D)</f>
        <v>13</v>
      </c>
      <c r="F146" s="8" t="n">
        <f aca="false">SUMIF(Itens!$C:$C,A146,Itens!$I:$I)</f>
        <v>13</v>
      </c>
      <c r="G146" s="8" t="n">
        <f aca="false">SUMIF(Itens!$C:$C,A146,Itens!$J:$J)</f>
        <v>0</v>
      </c>
      <c r="H146" s="8" t="n">
        <f aca="false">SUMIF(Itens!$C:$C,A146,Itens!$K:$K)</f>
        <v>0</v>
      </c>
      <c r="I146" s="8" t="s">
        <v>102</v>
      </c>
      <c r="J146" s="10" t="n">
        <v>7</v>
      </c>
    </row>
    <row r="147" customFormat="false" ht="15" hidden="false" customHeight="false" outlineLevel="0" collapsed="false">
      <c r="A147" s="8" t="s">
        <v>213</v>
      </c>
      <c r="B147" s="8" t="s">
        <v>50</v>
      </c>
      <c r="C147" s="9" t="s">
        <v>7</v>
      </c>
      <c r="D147" s="8" t="n">
        <f aca="false">COUNTIF(Itens!$C:$C,A147)</f>
        <v>2</v>
      </c>
      <c r="E147" s="8" t="n">
        <f aca="false">SUMIF(Itens!$C:$C,A147,Itens!$D:$D)</f>
        <v>24</v>
      </c>
      <c r="F147" s="8" t="n">
        <f aca="false">SUMIF(Itens!$C:$C,A147,Itens!$I:$I)</f>
        <v>24</v>
      </c>
      <c r="G147" s="8" t="n">
        <f aca="false">SUMIF(Itens!$C:$C,A147,Itens!$J:$J)</f>
        <v>0</v>
      </c>
      <c r="H147" s="8" t="n">
        <f aca="false">SUMIF(Itens!$C:$C,A147,Itens!$K:$K)</f>
        <v>0</v>
      </c>
      <c r="I147" s="8" t="s">
        <v>59</v>
      </c>
      <c r="J147" s="10" t="n">
        <v>0</v>
      </c>
    </row>
    <row r="148" customFormat="false" ht="15" hidden="false" customHeight="false" outlineLevel="0" collapsed="false">
      <c r="A148" s="8" t="s">
        <v>214</v>
      </c>
      <c r="B148" s="8" t="s">
        <v>43</v>
      </c>
      <c r="C148" s="9" t="s">
        <v>9</v>
      </c>
      <c r="D148" s="8" t="n">
        <f aca="false">COUNTIF(Itens!$C:$C,A148)</f>
        <v>3</v>
      </c>
      <c r="E148" s="8" t="n">
        <f aca="false">SUMIF(Itens!$C:$C,A148,Itens!$D:$D)</f>
        <v>88</v>
      </c>
      <c r="F148" s="8" t="n">
        <f aca="false">SUMIF(Itens!$C:$C,A148,Itens!$I:$I)</f>
        <v>6</v>
      </c>
      <c r="G148" s="8" t="n">
        <f aca="false">SUMIF(Itens!$C:$C,A148,Itens!$J:$J)</f>
        <v>64</v>
      </c>
      <c r="H148" s="8" t="n">
        <f aca="false">SUMIF(Itens!$C:$C,A148,Itens!$K:$K)</f>
        <v>18</v>
      </c>
      <c r="I148" s="8" t="s">
        <v>70</v>
      </c>
      <c r="J148" s="10" t="n">
        <v>0</v>
      </c>
    </row>
    <row r="149" customFormat="false" ht="15" hidden="false" customHeight="false" outlineLevel="0" collapsed="false">
      <c r="A149" s="8" t="s">
        <v>215</v>
      </c>
      <c r="B149" s="8" t="s">
        <v>43</v>
      </c>
      <c r="C149" s="9" t="s">
        <v>9</v>
      </c>
      <c r="D149" s="8" t="n">
        <f aca="false">COUNTIF(Itens!$C:$C,A149)</f>
        <v>3</v>
      </c>
      <c r="E149" s="8" t="n">
        <f aca="false">SUMIF(Itens!$C:$C,A149,Itens!$D:$D)</f>
        <v>46</v>
      </c>
      <c r="F149" s="8" t="n">
        <f aca="false">SUMIF(Itens!$C:$C,A149,Itens!$I:$I)</f>
        <v>6</v>
      </c>
      <c r="G149" s="8" t="n">
        <f aca="false">SUMIF(Itens!$C:$C,A149,Itens!$J:$J)</f>
        <v>0</v>
      </c>
      <c r="H149" s="8" t="n">
        <f aca="false">SUMIF(Itens!$C:$C,A149,Itens!$K:$K)</f>
        <v>40</v>
      </c>
      <c r="I149" s="8" t="s">
        <v>44</v>
      </c>
      <c r="J149" s="10" t="n">
        <v>0</v>
      </c>
    </row>
    <row r="150" customFormat="false" ht="15" hidden="false" customHeight="false" outlineLevel="0" collapsed="false">
      <c r="A150" s="8" t="s">
        <v>216</v>
      </c>
      <c r="B150" s="8" t="s">
        <v>43</v>
      </c>
      <c r="C150" s="9" t="s">
        <v>8</v>
      </c>
      <c r="D150" s="8" t="n">
        <f aca="false">COUNTIF(Itens!$C:$C,A150)</f>
        <v>3</v>
      </c>
      <c r="E150" s="8" t="n">
        <f aca="false">SUMIF(Itens!$C:$C,A150,Itens!$D:$D)</f>
        <v>88</v>
      </c>
      <c r="F150" s="8" t="n">
        <f aca="false">SUMIF(Itens!$C:$C,A150,Itens!$I:$I)</f>
        <v>0</v>
      </c>
      <c r="G150" s="8" t="n">
        <f aca="false">SUMIF(Itens!$C:$C,A150,Itens!$J:$J)</f>
        <v>88</v>
      </c>
      <c r="H150" s="8" t="n">
        <f aca="false">SUMIF(Itens!$C:$C,A150,Itens!$K:$K)</f>
        <v>0</v>
      </c>
      <c r="I150" s="8" t="s">
        <v>51</v>
      </c>
      <c r="J150" s="10" t="n">
        <v>0</v>
      </c>
    </row>
    <row r="151" customFormat="false" ht="15" hidden="false" customHeight="false" outlineLevel="0" collapsed="false">
      <c r="A151" s="8" t="s">
        <v>217</v>
      </c>
      <c r="B151" s="8" t="s">
        <v>43</v>
      </c>
      <c r="C151" s="9" t="s">
        <v>9</v>
      </c>
      <c r="D151" s="8" t="n">
        <f aca="false">COUNTIF(Itens!$C:$C,A151)</f>
        <v>3</v>
      </c>
      <c r="E151" s="8" t="n">
        <f aca="false">SUMIF(Itens!$C:$C,A151,Itens!$D:$D)</f>
        <v>88</v>
      </c>
      <c r="F151" s="8" t="n">
        <f aca="false">SUMIF(Itens!$C:$C,A151,Itens!$I:$I)</f>
        <v>4</v>
      </c>
      <c r="G151" s="8" t="n">
        <f aca="false">SUMIF(Itens!$C:$C,A151,Itens!$J:$J)</f>
        <v>84</v>
      </c>
      <c r="H151" s="8" t="n">
        <f aca="false">SUMIF(Itens!$C:$C,A151,Itens!$K:$K)</f>
        <v>0</v>
      </c>
      <c r="I151" s="8" t="s">
        <v>70</v>
      </c>
      <c r="J151" s="10" t="n">
        <v>0</v>
      </c>
    </row>
    <row r="152" customFormat="false" ht="15" hidden="false" customHeight="false" outlineLevel="0" collapsed="false">
      <c r="A152" s="8" t="s">
        <v>218</v>
      </c>
      <c r="B152" s="8" t="s">
        <v>43</v>
      </c>
      <c r="C152" s="9" t="s">
        <v>7</v>
      </c>
      <c r="D152" s="8" t="n">
        <f aca="false">COUNTIF(Itens!$C:$C,A152)</f>
        <v>6</v>
      </c>
      <c r="E152" s="8" t="n">
        <f aca="false">SUMIF(Itens!$C:$C,A152,Itens!$D:$D)</f>
        <v>96</v>
      </c>
      <c r="F152" s="8" t="n">
        <f aca="false">SUMIF(Itens!$C:$C,A152,Itens!$I:$I)</f>
        <v>96</v>
      </c>
      <c r="G152" s="8" t="n">
        <f aca="false">SUMIF(Itens!$C:$C,A152,Itens!$J:$J)</f>
        <v>0</v>
      </c>
      <c r="H152" s="8" t="n">
        <f aca="false">SUMIF(Itens!$C:$C,A152,Itens!$K:$K)</f>
        <v>0</v>
      </c>
      <c r="I152" s="8" t="s">
        <v>219</v>
      </c>
      <c r="J152" s="10" t="n">
        <v>61</v>
      </c>
    </row>
    <row r="153" customFormat="false" ht="15" hidden="false" customHeight="false" outlineLevel="0" collapsed="false">
      <c r="A153" s="8" t="s">
        <v>220</v>
      </c>
      <c r="B153" s="8" t="s">
        <v>43</v>
      </c>
      <c r="C153" s="9" t="s">
        <v>9</v>
      </c>
      <c r="D153" s="8" t="n">
        <f aca="false">COUNTIF(Itens!$C:$C,A153)</f>
        <v>5</v>
      </c>
      <c r="E153" s="8" t="n">
        <f aca="false">SUMIF(Itens!$C:$C,A153,Itens!$D:$D)</f>
        <v>145</v>
      </c>
      <c r="F153" s="8" t="n">
        <f aca="false">SUMIF(Itens!$C:$C,A153,Itens!$I:$I)</f>
        <v>56</v>
      </c>
      <c r="G153" s="8" t="n">
        <f aca="false">SUMIF(Itens!$C:$C,A153,Itens!$J:$J)</f>
        <v>84</v>
      </c>
      <c r="H153" s="8" t="n">
        <f aca="false">SUMIF(Itens!$C:$C,A153,Itens!$K:$K)</f>
        <v>5</v>
      </c>
      <c r="I153" s="8" t="s">
        <v>91</v>
      </c>
      <c r="J153" s="10" t="n">
        <v>0</v>
      </c>
    </row>
    <row r="154" customFormat="false" ht="15" hidden="false" customHeight="false" outlineLevel="0" collapsed="false">
      <c r="A154" s="8" t="s">
        <v>221</v>
      </c>
      <c r="B154" s="8" t="s">
        <v>43</v>
      </c>
      <c r="C154" s="9" t="s">
        <v>9</v>
      </c>
      <c r="D154" s="8" t="n">
        <f aca="false">COUNTIF(Itens!$C:$C,A154)</f>
        <v>5</v>
      </c>
      <c r="E154" s="8" t="n">
        <f aca="false">SUMIF(Itens!$C:$C,A154,Itens!$D:$D)</f>
        <v>119</v>
      </c>
      <c r="F154" s="8" t="n">
        <f aca="false">SUMIF(Itens!$C:$C,A154,Itens!$I:$I)</f>
        <v>9</v>
      </c>
      <c r="G154" s="8" t="n">
        <f aca="false">SUMIF(Itens!$C:$C,A154,Itens!$J:$J)</f>
        <v>53</v>
      </c>
      <c r="H154" s="8" t="n">
        <f aca="false">SUMIF(Itens!$C:$C,A154,Itens!$K:$K)</f>
        <v>57</v>
      </c>
      <c r="I154" s="8" t="s">
        <v>91</v>
      </c>
      <c r="J154" s="10" t="n">
        <v>0</v>
      </c>
    </row>
    <row r="155" customFormat="false" ht="15" hidden="false" customHeight="false" outlineLevel="0" collapsed="false">
      <c r="A155" s="8" t="s">
        <v>222</v>
      </c>
      <c r="B155" s="8" t="s">
        <v>43</v>
      </c>
      <c r="C155" s="9" t="s">
        <v>10</v>
      </c>
      <c r="D155" s="8" t="n">
        <f aca="false">COUNTIF(Itens!$C:$C,A155)</f>
        <v>3</v>
      </c>
      <c r="E155" s="8" t="n">
        <f aca="false">SUMIF(Itens!$C:$C,A155,Itens!$D:$D)</f>
        <v>100</v>
      </c>
      <c r="F155" s="8" t="n">
        <f aca="false">SUMIF(Itens!$C:$C,A155,Itens!$I:$I)</f>
        <v>0</v>
      </c>
      <c r="G155" s="8" t="n">
        <f aca="false">SUMIF(Itens!$C:$C,A155,Itens!$J:$J)</f>
        <v>0</v>
      </c>
      <c r="H155" s="8" t="n">
        <f aca="false">SUMIF(Itens!$C:$C,A155,Itens!$K:$K)</f>
        <v>100</v>
      </c>
      <c r="I155" s="8" t="s">
        <v>46</v>
      </c>
      <c r="J155" s="10" t="n">
        <v>0</v>
      </c>
    </row>
    <row r="156" customFormat="false" ht="15" hidden="false" customHeight="false" outlineLevel="0" collapsed="false">
      <c r="A156" s="8" t="s">
        <v>223</v>
      </c>
      <c r="B156" s="8" t="s">
        <v>43</v>
      </c>
      <c r="C156" s="9" t="s">
        <v>7</v>
      </c>
      <c r="D156" s="8" t="n">
        <f aca="false">COUNTIF(Itens!$C:$C,A156)</f>
        <v>3</v>
      </c>
      <c r="E156" s="8" t="n">
        <f aca="false">SUMIF(Itens!$C:$C,A156,Itens!$D:$D)</f>
        <v>84</v>
      </c>
      <c r="F156" s="8" t="n">
        <f aca="false">SUMIF(Itens!$C:$C,A156,Itens!$I:$I)</f>
        <v>84</v>
      </c>
      <c r="G156" s="8" t="n">
        <f aca="false">SUMIF(Itens!$C:$C,A156,Itens!$J:$J)</f>
        <v>0</v>
      </c>
      <c r="H156" s="8" t="n">
        <f aca="false">SUMIF(Itens!$C:$C,A156,Itens!$K:$K)</f>
        <v>0</v>
      </c>
      <c r="I156" s="8" t="s">
        <v>224</v>
      </c>
      <c r="J156" s="10" t="n">
        <v>10</v>
      </c>
    </row>
    <row r="157" customFormat="false" ht="15" hidden="false" customHeight="false" outlineLevel="0" collapsed="false">
      <c r="A157" s="8" t="s">
        <v>225</v>
      </c>
      <c r="B157" s="8" t="s">
        <v>43</v>
      </c>
      <c r="C157" s="9" t="s">
        <v>9</v>
      </c>
      <c r="D157" s="8" t="n">
        <f aca="false">COUNTIF(Itens!$C:$C,A157)</f>
        <v>3</v>
      </c>
      <c r="E157" s="8" t="n">
        <f aca="false">SUMIF(Itens!$C:$C,A157,Itens!$D:$D)</f>
        <v>84</v>
      </c>
      <c r="F157" s="8" t="n">
        <f aca="false">SUMIF(Itens!$C:$C,A157,Itens!$I:$I)</f>
        <v>21</v>
      </c>
      <c r="G157" s="8" t="n">
        <f aca="false">SUMIF(Itens!$C:$C,A157,Itens!$J:$J)</f>
        <v>31</v>
      </c>
      <c r="H157" s="8" t="n">
        <f aca="false">SUMIF(Itens!$C:$C,A157,Itens!$K:$K)</f>
        <v>32</v>
      </c>
      <c r="I157" s="8" t="s">
        <v>91</v>
      </c>
      <c r="J157" s="10" t="n">
        <v>0</v>
      </c>
    </row>
    <row r="158" customFormat="false" ht="15" hidden="false" customHeight="false" outlineLevel="0" collapsed="false">
      <c r="A158" s="8" t="s">
        <v>226</v>
      </c>
      <c r="B158" s="8" t="s">
        <v>43</v>
      </c>
      <c r="C158" s="9" t="s">
        <v>9</v>
      </c>
      <c r="D158" s="8" t="n">
        <f aca="false">COUNTIF(Itens!$C:$C,A158)</f>
        <v>3</v>
      </c>
      <c r="E158" s="8" t="n">
        <f aca="false">SUMIF(Itens!$C:$C,A158,Itens!$D:$D)</f>
        <v>84</v>
      </c>
      <c r="F158" s="8" t="n">
        <f aca="false">SUMIF(Itens!$C:$C,A158,Itens!$I:$I)</f>
        <v>0</v>
      </c>
      <c r="G158" s="8" t="n">
        <f aca="false">SUMIF(Itens!$C:$C,A158,Itens!$J:$J)</f>
        <v>54</v>
      </c>
      <c r="H158" s="8" t="n">
        <f aca="false">SUMIF(Itens!$C:$C,A158,Itens!$K:$K)</f>
        <v>30</v>
      </c>
      <c r="I158" s="8" t="s">
        <v>91</v>
      </c>
      <c r="J158" s="10" t="n">
        <v>0</v>
      </c>
    </row>
    <row r="159" customFormat="false" ht="15" hidden="false" customHeight="false" outlineLevel="0" collapsed="false">
      <c r="A159" s="8" t="s">
        <v>227</v>
      </c>
      <c r="B159" s="8" t="s">
        <v>43</v>
      </c>
      <c r="C159" s="9" t="s">
        <v>7</v>
      </c>
      <c r="D159" s="8" t="n">
        <f aca="false">COUNTIF(Itens!$C:$C,A159)</f>
        <v>3</v>
      </c>
      <c r="E159" s="8" t="n">
        <f aca="false">SUMIF(Itens!$C:$C,A159,Itens!$D:$D)</f>
        <v>120</v>
      </c>
      <c r="F159" s="8" t="n">
        <f aca="false">SUMIF(Itens!$C:$C,A159,Itens!$I:$I)</f>
        <v>120</v>
      </c>
      <c r="G159" s="8" t="n">
        <f aca="false">SUMIF(Itens!$C:$C,A159,Itens!$J:$J)</f>
        <v>0</v>
      </c>
      <c r="H159" s="8" t="n">
        <f aca="false">SUMIF(Itens!$C:$C,A159,Itens!$K:$K)</f>
        <v>0</v>
      </c>
      <c r="I159" s="8" t="s">
        <v>59</v>
      </c>
      <c r="J159" s="10" t="n">
        <v>0</v>
      </c>
    </row>
    <row r="160" customFormat="false" ht="15" hidden="false" customHeight="false" outlineLevel="0" collapsed="false">
      <c r="A160" s="8" t="s">
        <v>228</v>
      </c>
      <c r="B160" s="8" t="s">
        <v>43</v>
      </c>
      <c r="C160" s="9" t="s">
        <v>10</v>
      </c>
      <c r="D160" s="8" t="n">
        <f aca="false">COUNTIF(Itens!$C:$C,A160)</f>
        <v>3</v>
      </c>
      <c r="E160" s="8" t="n">
        <f aca="false">SUMIF(Itens!$C:$C,A160,Itens!$D:$D)</f>
        <v>64</v>
      </c>
      <c r="F160" s="8" t="n">
        <f aca="false">SUMIF(Itens!$C:$C,A160,Itens!$I:$I)</f>
        <v>0</v>
      </c>
      <c r="G160" s="8" t="n">
        <f aca="false">SUMIF(Itens!$C:$C,A160,Itens!$J:$J)</f>
        <v>0</v>
      </c>
      <c r="H160" s="8" t="n">
        <f aca="false">SUMIF(Itens!$C:$C,A160,Itens!$K:$K)</f>
        <v>64</v>
      </c>
      <c r="I160" s="8" t="s">
        <v>46</v>
      </c>
      <c r="J160" s="10" t="n">
        <v>0</v>
      </c>
    </row>
    <row r="161" customFormat="false" ht="15" hidden="false" customHeight="false" outlineLevel="0" collapsed="false">
      <c r="A161" s="8" t="s">
        <v>229</v>
      </c>
      <c r="B161" s="8" t="s">
        <v>43</v>
      </c>
      <c r="C161" s="9" t="s">
        <v>10</v>
      </c>
      <c r="D161" s="8" t="n">
        <f aca="false">COUNTIF(Itens!$C:$C,A161)</f>
        <v>3</v>
      </c>
      <c r="E161" s="8" t="n">
        <f aca="false">SUMIF(Itens!$C:$C,A161,Itens!$D:$D)</f>
        <v>64</v>
      </c>
      <c r="F161" s="8" t="n">
        <f aca="false">SUMIF(Itens!$C:$C,A161,Itens!$I:$I)</f>
        <v>0</v>
      </c>
      <c r="G161" s="8" t="n">
        <f aca="false">SUMIF(Itens!$C:$C,A161,Itens!$J:$J)</f>
        <v>0</v>
      </c>
      <c r="H161" s="8" t="n">
        <f aca="false">SUMIF(Itens!$C:$C,A161,Itens!$K:$K)</f>
        <v>64</v>
      </c>
      <c r="I161" s="8" t="s">
        <v>46</v>
      </c>
      <c r="J161" s="10" t="n">
        <v>0</v>
      </c>
    </row>
    <row r="162" customFormat="false" ht="15" hidden="false" customHeight="false" outlineLevel="0" collapsed="false">
      <c r="A162" s="8" t="s">
        <v>230</v>
      </c>
      <c r="B162" s="8" t="s">
        <v>43</v>
      </c>
      <c r="C162" s="9" t="s">
        <v>9</v>
      </c>
      <c r="D162" s="8" t="n">
        <f aca="false">COUNTIF(Itens!$C:$C,A162)</f>
        <v>3</v>
      </c>
      <c r="E162" s="8" t="n">
        <f aca="false">SUMIF(Itens!$C:$C,A162,Itens!$D:$D)</f>
        <v>64</v>
      </c>
      <c r="F162" s="8" t="n">
        <f aca="false">SUMIF(Itens!$C:$C,A162,Itens!$I:$I)</f>
        <v>10</v>
      </c>
      <c r="G162" s="8" t="n">
        <f aca="false">SUMIF(Itens!$C:$C,A162,Itens!$J:$J)</f>
        <v>47</v>
      </c>
      <c r="H162" s="8" t="n">
        <f aca="false">SUMIF(Itens!$C:$C,A162,Itens!$K:$K)</f>
        <v>7</v>
      </c>
      <c r="I162" s="8" t="s">
        <v>70</v>
      </c>
      <c r="J162" s="10" t="n">
        <v>0</v>
      </c>
    </row>
    <row r="163" customFormat="false" ht="15" hidden="false" customHeight="false" outlineLevel="0" collapsed="false">
      <c r="A163" s="8" t="s">
        <v>231</v>
      </c>
      <c r="B163" s="8" t="s">
        <v>43</v>
      </c>
      <c r="C163" s="9" t="s">
        <v>8</v>
      </c>
      <c r="D163" s="8" t="n">
        <f aca="false">COUNTIF(Itens!$C:$C,A163)</f>
        <v>3</v>
      </c>
      <c r="E163" s="8" t="n">
        <f aca="false">SUMIF(Itens!$C:$C,A163,Itens!$D:$D)</f>
        <v>78</v>
      </c>
      <c r="F163" s="8" t="n">
        <f aca="false">SUMIF(Itens!$C:$C,A163,Itens!$I:$I)</f>
        <v>0</v>
      </c>
      <c r="G163" s="8" t="n">
        <f aca="false">SUMIF(Itens!$C:$C,A163,Itens!$J:$J)</f>
        <v>78</v>
      </c>
      <c r="H163" s="8" t="n">
        <f aca="false">SUMIF(Itens!$C:$C,A163,Itens!$K:$K)</f>
        <v>0</v>
      </c>
      <c r="I163" s="8" t="s">
        <v>51</v>
      </c>
      <c r="J163" s="10" t="n">
        <v>0</v>
      </c>
    </row>
    <row r="164" customFormat="false" ht="15" hidden="false" customHeight="false" outlineLevel="0" collapsed="false">
      <c r="A164" s="8" t="s">
        <v>232</v>
      </c>
      <c r="B164" s="8" t="s">
        <v>139</v>
      </c>
      <c r="C164" s="9" t="s">
        <v>10</v>
      </c>
      <c r="D164" s="8" t="n">
        <f aca="false">COUNTIF(Itens!$C:$C,A164)</f>
        <v>2</v>
      </c>
      <c r="E164" s="8" t="n">
        <f aca="false">SUMIF(Itens!$C:$C,A164,Itens!$D:$D)</f>
        <v>50</v>
      </c>
      <c r="F164" s="8" t="n">
        <f aca="false">SUMIF(Itens!$C:$C,A164,Itens!$I:$I)</f>
        <v>0</v>
      </c>
      <c r="G164" s="8" t="n">
        <f aca="false">SUMIF(Itens!$C:$C,A164,Itens!$J:$J)</f>
        <v>0</v>
      </c>
      <c r="H164" s="8" t="n">
        <f aca="false">SUMIF(Itens!$C:$C,A164,Itens!$K:$K)</f>
        <v>50</v>
      </c>
      <c r="I164" s="8" t="s">
        <v>46</v>
      </c>
      <c r="J164" s="10" t="n">
        <v>0</v>
      </c>
    </row>
    <row r="165" customFormat="false" ht="15" hidden="false" customHeight="false" outlineLevel="0" collapsed="false">
      <c r="A165" s="8" t="s">
        <v>233</v>
      </c>
      <c r="B165" s="8" t="s">
        <v>43</v>
      </c>
      <c r="C165" s="9" t="s">
        <v>10</v>
      </c>
      <c r="D165" s="8" t="n">
        <f aca="false">COUNTIF(Itens!$C:$C,A165)</f>
        <v>3</v>
      </c>
      <c r="E165" s="8" t="n">
        <f aca="false">SUMIF(Itens!$C:$C,A165,Itens!$D:$D)</f>
        <v>70</v>
      </c>
      <c r="F165" s="8" t="n">
        <f aca="false">SUMIF(Itens!$C:$C,A165,Itens!$I:$I)</f>
        <v>0</v>
      </c>
      <c r="G165" s="8" t="n">
        <f aca="false">SUMIF(Itens!$C:$C,A165,Itens!$J:$J)</f>
        <v>0</v>
      </c>
      <c r="H165" s="8" t="n">
        <f aca="false">SUMIF(Itens!$C:$C,A165,Itens!$K:$K)</f>
        <v>70</v>
      </c>
      <c r="I165" s="8" t="s">
        <v>46</v>
      </c>
      <c r="J165" s="10" t="n">
        <v>0</v>
      </c>
    </row>
    <row r="166" customFormat="false" ht="15" hidden="false" customHeight="false" outlineLevel="0" collapsed="false">
      <c r="A166" s="8" t="s">
        <v>234</v>
      </c>
      <c r="B166" s="8" t="s">
        <v>139</v>
      </c>
      <c r="C166" s="9" t="s">
        <v>10</v>
      </c>
      <c r="D166" s="8" t="n">
        <f aca="false">COUNTIF(Itens!$C:$C,A166)</f>
        <v>2</v>
      </c>
      <c r="E166" s="8" t="n">
        <f aca="false">SUMIF(Itens!$C:$C,A166,Itens!$D:$D)</f>
        <v>44</v>
      </c>
      <c r="F166" s="8" t="n">
        <f aca="false">SUMIF(Itens!$C:$C,A166,Itens!$I:$I)</f>
        <v>0</v>
      </c>
      <c r="G166" s="8" t="n">
        <f aca="false">SUMIF(Itens!$C:$C,A166,Itens!$J:$J)</f>
        <v>0</v>
      </c>
      <c r="H166" s="8" t="n">
        <f aca="false">SUMIF(Itens!$C:$C,A166,Itens!$K:$K)</f>
        <v>44</v>
      </c>
      <c r="I166" s="8" t="s">
        <v>46</v>
      </c>
      <c r="J166" s="10" t="n">
        <v>0</v>
      </c>
    </row>
    <row r="167" customFormat="false" ht="15" hidden="false" customHeight="false" outlineLevel="0" collapsed="false">
      <c r="A167" s="8" t="s">
        <v>235</v>
      </c>
      <c r="B167" s="8" t="s">
        <v>43</v>
      </c>
      <c r="C167" s="9" t="s">
        <v>10</v>
      </c>
      <c r="D167" s="8" t="n">
        <f aca="false">COUNTIF(Itens!$C:$C,A167)</f>
        <v>3</v>
      </c>
      <c r="E167" s="8" t="n">
        <f aca="false">SUMIF(Itens!$C:$C,A167,Itens!$D:$D)</f>
        <v>74</v>
      </c>
      <c r="F167" s="8" t="n">
        <f aca="false">SUMIF(Itens!$C:$C,A167,Itens!$I:$I)</f>
        <v>0</v>
      </c>
      <c r="G167" s="8" t="n">
        <f aca="false">SUMIF(Itens!$C:$C,A167,Itens!$J:$J)</f>
        <v>0</v>
      </c>
      <c r="H167" s="8" t="n">
        <f aca="false">SUMIF(Itens!$C:$C,A167,Itens!$K:$K)</f>
        <v>74</v>
      </c>
      <c r="I167" s="8" t="s">
        <v>46</v>
      </c>
      <c r="J167" s="10" t="n">
        <v>0</v>
      </c>
    </row>
    <row r="168" customFormat="false" ht="15" hidden="false" customHeight="false" outlineLevel="0" collapsed="false">
      <c r="A168" s="8" t="s">
        <v>236</v>
      </c>
      <c r="B168" s="8" t="s">
        <v>139</v>
      </c>
      <c r="C168" s="9" t="s">
        <v>7</v>
      </c>
      <c r="D168" s="8" t="n">
        <f aca="false">COUNTIF(Itens!$C:$C,A168)</f>
        <v>3</v>
      </c>
      <c r="E168" s="8" t="n">
        <f aca="false">SUMIF(Itens!$C:$C,A168,Itens!$D:$D)</f>
        <v>68</v>
      </c>
      <c r="F168" s="8" t="n">
        <f aca="false">SUMIF(Itens!$C:$C,A168,Itens!$I:$I)</f>
        <v>68</v>
      </c>
      <c r="G168" s="8" t="n">
        <f aca="false">SUMIF(Itens!$C:$C,A168,Itens!$J:$J)</f>
        <v>0</v>
      </c>
      <c r="H168" s="8" t="n">
        <f aca="false">SUMIF(Itens!$C:$C,A168,Itens!$K:$K)</f>
        <v>0</v>
      </c>
      <c r="I168" s="8" t="s">
        <v>59</v>
      </c>
      <c r="J168" s="10" t="n">
        <v>0</v>
      </c>
    </row>
    <row r="169" customFormat="false" ht="15" hidden="false" customHeight="false" outlineLevel="0" collapsed="false">
      <c r="A169" s="8" t="s">
        <v>237</v>
      </c>
      <c r="B169" s="8" t="s">
        <v>43</v>
      </c>
      <c r="C169" s="9" t="s">
        <v>7</v>
      </c>
      <c r="D169" s="8" t="n">
        <f aca="false">COUNTIF(Itens!$C:$C,A169)</f>
        <v>6</v>
      </c>
      <c r="E169" s="8" t="n">
        <f aca="false">SUMIF(Itens!$C:$C,A169,Itens!$D:$D)</f>
        <v>114</v>
      </c>
      <c r="F169" s="8" t="n">
        <f aca="false">SUMIF(Itens!$C:$C,A169,Itens!$I:$I)</f>
        <v>114</v>
      </c>
      <c r="G169" s="8" t="n">
        <f aca="false">SUMIF(Itens!$C:$C,A169,Itens!$J:$J)</f>
        <v>0</v>
      </c>
      <c r="H169" s="8" t="n">
        <f aca="false">SUMIF(Itens!$C:$C,A169,Itens!$K:$K)</f>
        <v>0</v>
      </c>
      <c r="I169" s="8" t="s">
        <v>59</v>
      </c>
      <c r="J169" s="10" t="n">
        <v>0</v>
      </c>
    </row>
    <row r="170" customFormat="false" ht="15" hidden="false" customHeight="false" outlineLevel="0" collapsed="false">
      <c r="A170" s="8" t="s">
        <v>238</v>
      </c>
      <c r="B170" s="8" t="s">
        <v>139</v>
      </c>
      <c r="C170" s="9" t="s">
        <v>10</v>
      </c>
      <c r="D170" s="8" t="n">
        <f aca="false">COUNTIF(Itens!$C:$C,A170)</f>
        <v>3</v>
      </c>
      <c r="E170" s="8" t="n">
        <f aca="false">SUMIF(Itens!$C:$C,A170,Itens!$D:$D)</f>
        <v>76</v>
      </c>
      <c r="F170" s="8" t="n">
        <f aca="false">SUMIF(Itens!$C:$C,A170,Itens!$I:$I)</f>
        <v>0</v>
      </c>
      <c r="G170" s="8" t="n">
        <f aca="false">SUMIF(Itens!$C:$C,A170,Itens!$J:$J)</f>
        <v>0</v>
      </c>
      <c r="H170" s="8" t="n">
        <f aca="false">SUMIF(Itens!$C:$C,A170,Itens!$K:$K)</f>
        <v>76</v>
      </c>
      <c r="I170" s="8" t="s">
        <v>46</v>
      </c>
      <c r="J170" s="10" t="n">
        <v>0</v>
      </c>
    </row>
    <row r="171" customFormat="false" ht="15" hidden="false" customHeight="false" outlineLevel="0" collapsed="false">
      <c r="A171" s="8" t="s">
        <v>239</v>
      </c>
      <c r="B171" s="8" t="s">
        <v>139</v>
      </c>
      <c r="C171" s="9" t="s">
        <v>7</v>
      </c>
      <c r="D171" s="8" t="n">
        <f aca="false">COUNTIF(Itens!$C:$C,A171)</f>
        <v>3</v>
      </c>
      <c r="E171" s="8" t="n">
        <f aca="false">SUMIF(Itens!$C:$C,A171,Itens!$D:$D)</f>
        <v>72</v>
      </c>
      <c r="F171" s="8" t="n">
        <f aca="false">SUMIF(Itens!$C:$C,A171,Itens!$I:$I)</f>
        <v>72</v>
      </c>
      <c r="G171" s="8" t="n">
        <f aca="false">SUMIF(Itens!$C:$C,A171,Itens!$J:$J)</f>
        <v>0</v>
      </c>
      <c r="H171" s="8" t="n">
        <f aca="false">SUMIF(Itens!$C:$C,A171,Itens!$K:$K)</f>
        <v>0</v>
      </c>
      <c r="I171" s="8" t="s">
        <v>240</v>
      </c>
      <c r="J171" s="10" t="n">
        <v>28</v>
      </c>
    </row>
    <row r="172" customFormat="false" ht="15" hidden="false" customHeight="false" outlineLevel="0" collapsed="false">
      <c r="A172" s="8" t="s">
        <v>241</v>
      </c>
      <c r="B172" s="8" t="s">
        <v>139</v>
      </c>
      <c r="C172" s="9" t="s">
        <v>9</v>
      </c>
      <c r="D172" s="8" t="n">
        <f aca="false">COUNTIF(Itens!$C:$C,A172)</f>
        <v>2</v>
      </c>
      <c r="E172" s="8" t="n">
        <f aca="false">SUMIF(Itens!$C:$C,A172,Itens!$D:$D)</f>
        <v>72</v>
      </c>
      <c r="F172" s="8" t="n">
        <f aca="false">SUMIF(Itens!$C:$C,A172,Itens!$I:$I)</f>
        <v>28</v>
      </c>
      <c r="G172" s="8" t="n">
        <f aca="false">SUMIF(Itens!$C:$C,A172,Itens!$J:$J)</f>
        <v>0</v>
      </c>
      <c r="H172" s="8" t="n">
        <f aca="false">SUMIF(Itens!$C:$C,A172,Itens!$K:$K)</f>
        <v>44</v>
      </c>
      <c r="I172" s="8" t="s">
        <v>44</v>
      </c>
      <c r="J172" s="10" t="n">
        <v>0</v>
      </c>
    </row>
    <row r="173" customFormat="false" ht="15" hidden="false" customHeight="false" outlineLevel="0" collapsed="false">
      <c r="A173" s="8" t="s">
        <v>242</v>
      </c>
      <c r="B173" s="8" t="s">
        <v>67</v>
      </c>
      <c r="C173" s="9" t="s">
        <v>8</v>
      </c>
      <c r="D173" s="8" t="n">
        <f aca="false">COUNTIF(Itens!$C:$C,A173)</f>
        <v>2</v>
      </c>
      <c r="E173" s="8" t="n">
        <f aca="false">SUMIF(Itens!$C:$C,A173,Itens!$D:$D)</f>
        <v>48</v>
      </c>
      <c r="F173" s="8" t="n">
        <f aca="false">SUMIF(Itens!$C:$C,A173,Itens!$I:$I)</f>
        <v>0</v>
      </c>
      <c r="G173" s="8" t="n">
        <f aca="false">SUMIF(Itens!$C:$C,A173,Itens!$J:$J)</f>
        <v>48</v>
      </c>
      <c r="H173" s="8" t="n">
        <f aca="false">SUMIF(Itens!$C:$C,A173,Itens!$K:$K)</f>
        <v>0</v>
      </c>
      <c r="I173" s="8" t="s">
        <v>51</v>
      </c>
      <c r="J173" s="10" t="n">
        <v>0</v>
      </c>
    </row>
    <row r="174" customFormat="false" ht="15" hidden="false" customHeight="false" outlineLevel="0" collapsed="false">
      <c r="A174" s="8" t="s">
        <v>243</v>
      </c>
      <c r="B174" s="8" t="s">
        <v>67</v>
      </c>
      <c r="C174" s="9" t="s">
        <v>9</v>
      </c>
      <c r="D174" s="8" t="n">
        <f aca="false">COUNTIF(Itens!$C:$C,A174)</f>
        <v>2</v>
      </c>
      <c r="E174" s="8" t="n">
        <f aca="false">SUMIF(Itens!$C:$C,A174,Itens!$D:$D)</f>
        <v>40</v>
      </c>
      <c r="F174" s="8" t="n">
        <f aca="false">SUMIF(Itens!$C:$C,A174,Itens!$I:$I)</f>
        <v>18</v>
      </c>
      <c r="G174" s="8" t="n">
        <f aca="false">SUMIF(Itens!$C:$C,A174,Itens!$J:$J)</f>
        <v>0</v>
      </c>
      <c r="H174" s="8" t="n">
        <f aca="false">SUMIF(Itens!$C:$C,A174,Itens!$K:$K)</f>
        <v>22</v>
      </c>
      <c r="I174" s="8" t="s">
        <v>44</v>
      </c>
      <c r="J174" s="10" t="n">
        <v>0</v>
      </c>
    </row>
    <row r="175" customFormat="false" ht="15" hidden="false" customHeight="false" outlineLevel="0" collapsed="false">
      <c r="A175" s="8" t="s">
        <v>244</v>
      </c>
      <c r="B175" s="8" t="s">
        <v>43</v>
      </c>
      <c r="C175" s="9" t="s">
        <v>9</v>
      </c>
      <c r="D175" s="8" t="n">
        <f aca="false">COUNTIF(Itens!$C:$C,A175)</f>
        <v>3</v>
      </c>
      <c r="E175" s="8" t="n">
        <f aca="false">SUMIF(Itens!$C:$C,A175,Itens!$D:$D)</f>
        <v>58</v>
      </c>
      <c r="F175" s="8" t="n">
        <f aca="false">SUMIF(Itens!$C:$C,A175,Itens!$I:$I)</f>
        <v>36</v>
      </c>
      <c r="G175" s="8" t="n">
        <f aca="false">SUMIF(Itens!$C:$C,A175,Itens!$J:$J)</f>
        <v>0</v>
      </c>
      <c r="H175" s="8" t="n">
        <f aca="false">SUMIF(Itens!$C:$C,A175,Itens!$K:$K)</f>
        <v>22</v>
      </c>
      <c r="I175" s="8" t="s">
        <v>44</v>
      </c>
      <c r="J175" s="10" t="n">
        <v>0</v>
      </c>
    </row>
    <row r="176" customFormat="false" ht="15" hidden="false" customHeight="false" outlineLevel="0" collapsed="false">
      <c r="A176" s="8" t="s">
        <v>245</v>
      </c>
      <c r="B176" s="8" t="s">
        <v>43</v>
      </c>
      <c r="C176" s="9" t="s">
        <v>9</v>
      </c>
      <c r="D176" s="8" t="n">
        <f aca="false">COUNTIF(Itens!$C:$C,A176)</f>
        <v>3</v>
      </c>
      <c r="E176" s="8" t="n">
        <f aca="false">SUMIF(Itens!$C:$C,A176,Itens!$D:$D)</f>
        <v>58</v>
      </c>
      <c r="F176" s="8" t="n">
        <f aca="false">SUMIF(Itens!$C:$C,A176,Itens!$I:$I)</f>
        <v>0</v>
      </c>
      <c r="G176" s="8" t="n">
        <f aca="false">SUMIF(Itens!$C:$C,A176,Itens!$J:$J)</f>
        <v>36</v>
      </c>
      <c r="H176" s="8" t="n">
        <f aca="false">SUMIF(Itens!$C:$C,A176,Itens!$K:$K)</f>
        <v>22</v>
      </c>
      <c r="I176" s="8" t="s">
        <v>44</v>
      </c>
      <c r="J176" s="10" t="n">
        <v>0</v>
      </c>
    </row>
    <row r="177" customFormat="false" ht="15" hidden="false" customHeight="false" outlineLevel="0" collapsed="false">
      <c r="A177" s="8" t="s">
        <v>246</v>
      </c>
      <c r="B177" s="8" t="s">
        <v>43</v>
      </c>
      <c r="C177" s="9" t="s">
        <v>9</v>
      </c>
      <c r="D177" s="8" t="n">
        <f aca="false">COUNTIF(Itens!$C:$C,A177)</f>
        <v>3</v>
      </c>
      <c r="E177" s="8" t="n">
        <f aca="false">SUMIF(Itens!$C:$C,A177,Itens!$D:$D)</f>
        <v>64</v>
      </c>
      <c r="F177" s="8" t="n">
        <f aca="false">SUMIF(Itens!$C:$C,A177,Itens!$I:$I)</f>
        <v>24</v>
      </c>
      <c r="G177" s="8" t="n">
        <f aca="false">SUMIF(Itens!$C:$C,A177,Itens!$J:$J)</f>
        <v>18</v>
      </c>
      <c r="H177" s="8" t="n">
        <f aca="false">SUMIF(Itens!$C:$C,A177,Itens!$K:$K)</f>
        <v>22</v>
      </c>
      <c r="I177" s="8" t="s">
        <v>44</v>
      </c>
      <c r="J177" s="10" t="n">
        <v>0</v>
      </c>
    </row>
    <row r="178" customFormat="false" ht="15" hidden="false" customHeight="false" outlineLevel="0" collapsed="false">
      <c r="A178" s="8" t="s">
        <v>247</v>
      </c>
      <c r="B178" s="8" t="s">
        <v>43</v>
      </c>
      <c r="C178" s="9" t="s">
        <v>9</v>
      </c>
      <c r="D178" s="8" t="n">
        <f aca="false">COUNTIF(Itens!$C:$C,A178)</f>
        <v>5</v>
      </c>
      <c r="E178" s="8" t="n">
        <f aca="false">SUMIF(Itens!$C:$C,A178,Itens!$D:$D)</f>
        <v>72</v>
      </c>
      <c r="F178" s="8" t="n">
        <f aca="false">SUMIF(Itens!$C:$C,A178,Itens!$I:$I)</f>
        <v>24</v>
      </c>
      <c r="G178" s="8" t="n">
        <f aca="false">SUMIF(Itens!$C:$C,A178,Itens!$J:$J)</f>
        <v>34</v>
      </c>
      <c r="H178" s="8" t="n">
        <f aca="false">SUMIF(Itens!$C:$C,A178,Itens!$K:$K)</f>
        <v>14</v>
      </c>
      <c r="I178" s="8" t="s">
        <v>44</v>
      </c>
      <c r="J178" s="10" t="n">
        <v>0</v>
      </c>
    </row>
    <row r="179" customFormat="false" ht="15" hidden="false" customHeight="false" outlineLevel="0" collapsed="false">
      <c r="A179" s="8" t="s">
        <v>248</v>
      </c>
      <c r="B179" s="8" t="s">
        <v>43</v>
      </c>
      <c r="C179" s="9" t="s">
        <v>9</v>
      </c>
      <c r="D179" s="8" t="n">
        <f aca="false">COUNTIF(Itens!$C:$C,A179)</f>
        <v>4</v>
      </c>
      <c r="E179" s="8" t="n">
        <f aca="false">SUMIF(Itens!$C:$C,A179,Itens!$D:$D)</f>
        <v>90</v>
      </c>
      <c r="F179" s="8" t="n">
        <f aca="false">SUMIF(Itens!$C:$C,A179,Itens!$I:$I)</f>
        <v>18</v>
      </c>
      <c r="G179" s="8" t="n">
        <f aca="false">SUMIF(Itens!$C:$C,A179,Itens!$J:$J)</f>
        <v>51</v>
      </c>
      <c r="H179" s="8" t="n">
        <f aca="false">SUMIF(Itens!$C:$C,A179,Itens!$K:$K)</f>
        <v>21</v>
      </c>
      <c r="I179" s="8" t="s">
        <v>44</v>
      </c>
      <c r="J179" s="10" t="n">
        <v>0</v>
      </c>
    </row>
    <row r="180" customFormat="false" ht="15" hidden="false" customHeight="false" outlineLevel="0" collapsed="false">
      <c r="A180" s="8" t="s">
        <v>249</v>
      </c>
      <c r="B180" s="8" t="s">
        <v>43</v>
      </c>
      <c r="C180" s="9" t="s">
        <v>7</v>
      </c>
      <c r="D180" s="8" t="n">
        <f aca="false">COUNTIF(Itens!$C:$C,A180)</f>
        <v>4</v>
      </c>
      <c r="E180" s="8" t="n">
        <f aca="false">SUMIF(Itens!$C:$C,A180,Itens!$D:$D)</f>
        <v>142</v>
      </c>
      <c r="F180" s="8" t="n">
        <f aca="false">SUMIF(Itens!$C:$C,A180,Itens!$I:$I)</f>
        <v>142</v>
      </c>
      <c r="G180" s="8" t="n">
        <f aca="false">SUMIF(Itens!$C:$C,A180,Itens!$J:$J)</f>
        <v>0</v>
      </c>
      <c r="H180" s="8" t="n">
        <f aca="false">SUMIF(Itens!$C:$C,A180,Itens!$K:$K)</f>
        <v>0</v>
      </c>
      <c r="I180" s="8" t="s">
        <v>250</v>
      </c>
      <c r="J180" s="10" t="n">
        <v>89</v>
      </c>
    </row>
    <row r="181" customFormat="false" ht="15" hidden="false" customHeight="false" outlineLevel="0" collapsed="false">
      <c r="A181" s="8" t="s">
        <v>251</v>
      </c>
      <c r="B181" s="8" t="s">
        <v>43</v>
      </c>
      <c r="C181" s="9" t="s">
        <v>7</v>
      </c>
      <c r="D181" s="8" t="n">
        <f aca="false">COUNTIF(Itens!$C:$C,A181)</f>
        <v>3</v>
      </c>
      <c r="E181" s="8" t="n">
        <f aca="false">SUMIF(Itens!$C:$C,A181,Itens!$D:$D)</f>
        <v>100</v>
      </c>
      <c r="F181" s="8" t="n">
        <f aca="false">SUMIF(Itens!$C:$C,A181,Itens!$I:$I)</f>
        <v>100</v>
      </c>
      <c r="G181" s="8" t="n">
        <f aca="false">SUMIF(Itens!$C:$C,A181,Itens!$J:$J)</f>
        <v>0</v>
      </c>
      <c r="H181" s="8" t="n">
        <f aca="false">SUMIF(Itens!$C:$C,A181,Itens!$K:$K)</f>
        <v>0</v>
      </c>
      <c r="I181" s="8" t="s">
        <v>59</v>
      </c>
      <c r="J181" s="10" t="n">
        <v>0</v>
      </c>
    </row>
    <row r="182" customFormat="false" ht="15" hidden="false" customHeight="false" outlineLevel="0" collapsed="false">
      <c r="A182" s="8" t="s">
        <v>252</v>
      </c>
      <c r="B182" s="8" t="s">
        <v>43</v>
      </c>
      <c r="C182" s="9" t="s">
        <v>9</v>
      </c>
      <c r="D182" s="8" t="n">
        <f aca="false">COUNTIF(Itens!$C:$C,A182)</f>
        <v>3</v>
      </c>
      <c r="E182" s="8" t="n">
        <f aca="false">SUMIF(Itens!$C:$C,A182,Itens!$D:$D)</f>
        <v>156</v>
      </c>
      <c r="F182" s="8" t="n">
        <f aca="false">SUMIF(Itens!$C:$C,A182,Itens!$I:$I)</f>
        <v>0</v>
      </c>
      <c r="G182" s="8" t="n">
        <f aca="false">SUMIF(Itens!$C:$C,A182,Itens!$J:$J)</f>
        <v>40</v>
      </c>
      <c r="H182" s="8" t="n">
        <f aca="false">SUMIF(Itens!$C:$C,A182,Itens!$K:$K)</f>
        <v>116</v>
      </c>
      <c r="I182" s="8" t="s">
        <v>44</v>
      </c>
      <c r="J182" s="10" t="n">
        <v>0</v>
      </c>
    </row>
    <row r="183" customFormat="false" ht="15" hidden="false" customHeight="false" outlineLevel="0" collapsed="false">
      <c r="A183" s="8" t="s">
        <v>253</v>
      </c>
      <c r="B183" s="8" t="s">
        <v>43</v>
      </c>
      <c r="C183" s="9" t="s">
        <v>9</v>
      </c>
      <c r="D183" s="8" t="n">
        <f aca="false">COUNTIF(Itens!$C:$C,A183)</f>
        <v>3</v>
      </c>
      <c r="E183" s="8" t="n">
        <f aca="false">SUMIF(Itens!$C:$C,A183,Itens!$D:$D)</f>
        <v>83</v>
      </c>
      <c r="F183" s="8" t="n">
        <f aca="false">SUMIF(Itens!$C:$C,A183,Itens!$I:$I)</f>
        <v>6</v>
      </c>
      <c r="G183" s="8" t="n">
        <f aca="false">SUMIF(Itens!$C:$C,A183,Itens!$J:$J)</f>
        <v>68</v>
      </c>
      <c r="H183" s="8" t="n">
        <f aca="false">SUMIF(Itens!$C:$C,A183,Itens!$K:$K)</f>
        <v>9</v>
      </c>
      <c r="I183" s="8" t="s">
        <v>70</v>
      </c>
      <c r="J183" s="10" t="n">
        <v>0</v>
      </c>
    </row>
    <row r="184" customFormat="false" ht="15" hidden="false" customHeight="false" outlineLevel="0" collapsed="false">
      <c r="A184" s="8" t="s">
        <v>254</v>
      </c>
      <c r="B184" s="8" t="s">
        <v>43</v>
      </c>
      <c r="C184" s="9" t="s">
        <v>8</v>
      </c>
      <c r="D184" s="8" t="n">
        <f aca="false">COUNTIF(Itens!$C:$C,A184)</f>
        <v>3</v>
      </c>
      <c r="E184" s="8" t="n">
        <f aca="false">SUMIF(Itens!$C:$C,A184,Itens!$D:$D)</f>
        <v>61</v>
      </c>
      <c r="F184" s="8" t="n">
        <f aca="false">SUMIF(Itens!$C:$C,A184,Itens!$I:$I)</f>
        <v>0</v>
      </c>
      <c r="G184" s="8" t="n">
        <f aca="false">SUMIF(Itens!$C:$C,A184,Itens!$J:$J)</f>
        <v>61</v>
      </c>
      <c r="H184" s="8" t="n">
        <f aca="false">SUMIF(Itens!$C:$C,A184,Itens!$K:$K)</f>
        <v>0</v>
      </c>
      <c r="I184" s="8" t="s">
        <v>51</v>
      </c>
      <c r="J184" s="10" t="n">
        <v>0</v>
      </c>
    </row>
    <row r="185" customFormat="false" ht="15" hidden="false" customHeight="false" outlineLevel="0" collapsed="false">
      <c r="A185" s="8" t="s">
        <v>255</v>
      </c>
      <c r="B185" s="8" t="s">
        <v>67</v>
      </c>
      <c r="C185" s="9" t="s">
        <v>10</v>
      </c>
      <c r="D185" s="8" t="n">
        <f aca="false">COUNTIF(Itens!$C:$C,A185)</f>
        <v>2</v>
      </c>
      <c r="E185" s="8" t="n">
        <f aca="false">SUMIF(Itens!$C:$C,A185,Itens!$D:$D)</f>
        <v>27</v>
      </c>
      <c r="F185" s="8" t="n">
        <f aca="false">SUMIF(Itens!$C:$C,A185,Itens!$I:$I)</f>
        <v>0</v>
      </c>
      <c r="G185" s="8" t="n">
        <f aca="false">SUMIF(Itens!$C:$C,A185,Itens!$J:$J)</f>
        <v>0</v>
      </c>
      <c r="H185" s="8" t="n">
        <f aca="false">SUMIF(Itens!$C:$C,A185,Itens!$K:$K)</f>
        <v>27</v>
      </c>
      <c r="I185" s="8" t="s">
        <v>46</v>
      </c>
      <c r="J185" s="10" t="n">
        <v>0</v>
      </c>
    </row>
    <row r="186" customFormat="false" ht="15" hidden="false" customHeight="false" outlineLevel="0" collapsed="false">
      <c r="A186" s="8" t="s">
        <v>256</v>
      </c>
      <c r="B186" s="8" t="s">
        <v>67</v>
      </c>
      <c r="C186" s="9" t="s">
        <v>10</v>
      </c>
      <c r="D186" s="8" t="n">
        <f aca="false">COUNTIF(Itens!$C:$C,A186)</f>
        <v>2</v>
      </c>
      <c r="E186" s="8" t="n">
        <f aca="false">SUMIF(Itens!$C:$C,A186,Itens!$D:$D)</f>
        <v>43</v>
      </c>
      <c r="F186" s="8" t="n">
        <f aca="false">SUMIF(Itens!$C:$C,A186,Itens!$I:$I)</f>
        <v>0</v>
      </c>
      <c r="G186" s="8" t="n">
        <f aca="false">SUMIF(Itens!$C:$C,A186,Itens!$J:$J)</f>
        <v>0</v>
      </c>
      <c r="H186" s="8" t="n">
        <f aca="false">SUMIF(Itens!$C:$C,A186,Itens!$K:$K)</f>
        <v>43</v>
      </c>
      <c r="I186" s="8" t="s">
        <v>46</v>
      </c>
      <c r="J186" s="10" t="n">
        <v>0</v>
      </c>
    </row>
    <row r="187" customFormat="false" ht="15" hidden="false" customHeight="false" outlineLevel="0" collapsed="false">
      <c r="A187" s="8" t="s">
        <v>257</v>
      </c>
      <c r="B187" s="8" t="s">
        <v>43</v>
      </c>
      <c r="C187" s="9" t="s">
        <v>9</v>
      </c>
      <c r="D187" s="8" t="n">
        <f aca="false">COUNTIF(Itens!$C:$C,A187)</f>
        <v>6</v>
      </c>
      <c r="E187" s="8" t="n">
        <f aca="false">SUMIF(Itens!$C:$C,A187,Itens!$D:$D)</f>
        <v>53</v>
      </c>
      <c r="F187" s="8" t="n">
        <f aca="false">SUMIF(Itens!$C:$C,A187,Itens!$I:$I)</f>
        <v>28</v>
      </c>
      <c r="G187" s="8" t="n">
        <f aca="false">SUMIF(Itens!$C:$C,A187,Itens!$J:$J)</f>
        <v>18</v>
      </c>
      <c r="H187" s="8" t="n">
        <f aca="false">SUMIF(Itens!$C:$C,A187,Itens!$K:$K)</f>
        <v>7</v>
      </c>
      <c r="I187" s="8" t="s">
        <v>44</v>
      </c>
      <c r="J187" s="10" t="n">
        <v>0</v>
      </c>
    </row>
    <row r="188" customFormat="false" ht="15" hidden="false" customHeight="false" outlineLevel="0" collapsed="false">
      <c r="A188" s="8" t="s">
        <v>258</v>
      </c>
      <c r="B188" s="8" t="s">
        <v>43</v>
      </c>
      <c r="C188" s="9" t="s">
        <v>9</v>
      </c>
      <c r="D188" s="8" t="n">
        <f aca="false">COUNTIF(Itens!$C:$C,A188)</f>
        <v>9</v>
      </c>
      <c r="E188" s="8" t="n">
        <f aca="false">SUMIF(Itens!$C:$C,A188,Itens!$D:$D)</f>
        <v>91</v>
      </c>
      <c r="F188" s="8" t="n">
        <f aca="false">SUMIF(Itens!$C:$C,A188,Itens!$I:$I)</f>
        <v>36</v>
      </c>
      <c r="G188" s="8" t="n">
        <f aca="false">SUMIF(Itens!$C:$C,A188,Itens!$J:$J)</f>
        <v>28</v>
      </c>
      <c r="H188" s="8" t="n">
        <f aca="false">SUMIF(Itens!$C:$C,A188,Itens!$K:$K)</f>
        <v>27</v>
      </c>
      <c r="I188" s="8" t="s">
        <v>44</v>
      </c>
      <c r="J188" s="10" t="n">
        <v>0</v>
      </c>
    </row>
    <row r="189" customFormat="false" ht="15" hidden="false" customHeight="false" outlineLevel="0" collapsed="false">
      <c r="A189" s="8" t="s">
        <v>259</v>
      </c>
      <c r="B189" s="8" t="s">
        <v>43</v>
      </c>
      <c r="C189" s="9" t="s">
        <v>7</v>
      </c>
      <c r="D189" s="8" t="n">
        <f aca="false">COUNTIF(Itens!$C:$C,A189)</f>
        <v>4</v>
      </c>
      <c r="E189" s="8" t="n">
        <f aca="false">SUMIF(Itens!$C:$C,A189,Itens!$D:$D)</f>
        <v>84</v>
      </c>
      <c r="F189" s="8" t="n">
        <f aca="false">SUMIF(Itens!$C:$C,A189,Itens!$I:$I)</f>
        <v>84</v>
      </c>
      <c r="G189" s="8" t="n">
        <f aca="false">SUMIF(Itens!$C:$C,A189,Itens!$J:$J)</f>
        <v>0</v>
      </c>
      <c r="H189" s="8" t="n">
        <f aca="false">SUMIF(Itens!$C:$C,A189,Itens!$K:$K)</f>
        <v>0</v>
      </c>
      <c r="I189" s="8" t="s">
        <v>96</v>
      </c>
      <c r="J189" s="10" t="n">
        <v>48</v>
      </c>
    </row>
    <row r="190" customFormat="false" ht="15" hidden="false" customHeight="false" outlineLevel="0" collapsed="false">
      <c r="A190" s="8" t="s">
        <v>260</v>
      </c>
      <c r="B190" s="8" t="s">
        <v>43</v>
      </c>
      <c r="C190" s="9" t="s">
        <v>7</v>
      </c>
      <c r="D190" s="8" t="n">
        <f aca="false">COUNTIF(Itens!$C:$C,A190)</f>
        <v>3</v>
      </c>
      <c r="E190" s="8" t="n">
        <f aca="false">SUMIF(Itens!$C:$C,A190,Itens!$D:$D)</f>
        <v>71</v>
      </c>
      <c r="F190" s="8" t="n">
        <f aca="false">SUMIF(Itens!$C:$C,A190,Itens!$I:$I)</f>
        <v>71</v>
      </c>
      <c r="G190" s="8" t="n">
        <f aca="false">SUMIF(Itens!$C:$C,A190,Itens!$J:$J)</f>
        <v>0</v>
      </c>
      <c r="H190" s="8" t="n">
        <f aca="false">SUMIF(Itens!$C:$C,A190,Itens!$K:$K)</f>
        <v>0</v>
      </c>
      <c r="I190" s="8" t="s">
        <v>59</v>
      </c>
      <c r="J190" s="10" t="n">
        <v>0</v>
      </c>
    </row>
    <row r="191" customFormat="false" ht="15" hidden="false" customHeight="false" outlineLevel="0" collapsed="false">
      <c r="A191" s="8" t="s">
        <v>261</v>
      </c>
      <c r="B191" s="8" t="s">
        <v>43</v>
      </c>
      <c r="C191" s="9" t="s">
        <v>8</v>
      </c>
      <c r="D191" s="8" t="n">
        <f aca="false">COUNTIF(Itens!$C:$C,A191)</f>
        <v>3</v>
      </c>
      <c r="E191" s="8" t="n">
        <f aca="false">SUMIF(Itens!$C:$C,A191,Itens!$D:$D)</f>
        <v>61</v>
      </c>
      <c r="F191" s="8" t="n">
        <f aca="false">SUMIF(Itens!$C:$C,A191,Itens!$I:$I)</f>
        <v>0</v>
      </c>
      <c r="G191" s="8" t="n">
        <f aca="false">SUMIF(Itens!$C:$C,A191,Itens!$J:$J)</f>
        <v>61</v>
      </c>
      <c r="H191" s="8" t="n">
        <f aca="false">SUMIF(Itens!$C:$C,A191,Itens!$K:$K)</f>
        <v>0</v>
      </c>
      <c r="I191" s="8" t="s">
        <v>51</v>
      </c>
      <c r="J191" s="10" t="n">
        <v>0</v>
      </c>
    </row>
    <row r="192" customFormat="false" ht="15" hidden="false" customHeight="false" outlineLevel="0" collapsed="false">
      <c r="A192" s="8" t="s">
        <v>262</v>
      </c>
      <c r="B192" s="8" t="s">
        <v>50</v>
      </c>
      <c r="C192" s="9" t="s">
        <v>9</v>
      </c>
      <c r="D192" s="8" t="n">
        <f aca="false">COUNTIF(Itens!$C:$C,A192)</f>
        <v>2</v>
      </c>
      <c r="E192" s="8" t="n">
        <f aca="false">SUMIF(Itens!$C:$C,A192,Itens!$D:$D)</f>
        <v>36</v>
      </c>
      <c r="F192" s="8" t="n">
        <f aca="false">SUMIF(Itens!$C:$C,A192,Itens!$I:$I)</f>
        <v>16</v>
      </c>
      <c r="G192" s="8" t="n">
        <f aca="false">SUMIF(Itens!$C:$C,A192,Itens!$J:$J)</f>
        <v>20</v>
      </c>
      <c r="H192" s="8" t="n">
        <f aca="false">SUMIF(Itens!$C:$C,A192,Itens!$K:$K)</f>
        <v>0</v>
      </c>
      <c r="I192" s="8" t="s">
        <v>70</v>
      </c>
      <c r="J192" s="10" t="n">
        <v>0</v>
      </c>
    </row>
    <row r="193" customFormat="false" ht="15" hidden="false" customHeight="false" outlineLevel="0" collapsed="false">
      <c r="A193" s="8" t="s">
        <v>263</v>
      </c>
      <c r="B193" s="8" t="s">
        <v>50</v>
      </c>
      <c r="C193" s="9" t="s">
        <v>7</v>
      </c>
      <c r="D193" s="8" t="n">
        <f aca="false">COUNTIF(Itens!$C:$C,A193)</f>
        <v>2</v>
      </c>
      <c r="E193" s="8" t="n">
        <f aca="false">SUMIF(Itens!$C:$C,A193,Itens!$D:$D)</f>
        <v>36</v>
      </c>
      <c r="F193" s="8" t="n">
        <f aca="false">SUMIF(Itens!$C:$C,A193,Itens!$I:$I)</f>
        <v>36</v>
      </c>
      <c r="G193" s="8" t="n">
        <f aca="false">SUMIF(Itens!$C:$C,A193,Itens!$J:$J)</f>
        <v>0</v>
      </c>
      <c r="H193" s="8" t="n">
        <f aca="false">SUMIF(Itens!$C:$C,A193,Itens!$K:$K)</f>
        <v>0</v>
      </c>
      <c r="I193" s="8" t="s">
        <v>59</v>
      </c>
      <c r="J193" s="10" t="n">
        <v>0</v>
      </c>
    </row>
    <row r="194" customFormat="false" ht="15" hidden="false" customHeight="false" outlineLevel="0" collapsed="false">
      <c r="A194" s="8" t="s">
        <v>264</v>
      </c>
      <c r="B194" s="8" t="s">
        <v>50</v>
      </c>
      <c r="C194" s="9" t="s">
        <v>10</v>
      </c>
      <c r="D194" s="8" t="n">
        <f aca="false">COUNTIF(Itens!$C:$C,A194)</f>
        <v>2</v>
      </c>
      <c r="E194" s="8" t="n">
        <f aca="false">SUMIF(Itens!$C:$C,A194,Itens!$D:$D)</f>
        <v>36</v>
      </c>
      <c r="F194" s="8" t="n">
        <f aca="false">SUMIF(Itens!$C:$C,A194,Itens!$I:$I)</f>
        <v>0</v>
      </c>
      <c r="G194" s="8" t="n">
        <f aca="false">SUMIF(Itens!$C:$C,A194,Itens!$J:$J)</f>
        <v>0</v>
      </c>
      <c r="H194" s="8" t="n">
        <f aca="false">SUMIF(Itens!$C:$C,A194,Itens!$K:$K)</f>
        <v>36</v>
      </c>
      <c r="I194" s="8" t="s">
        <v>46</v>
      </c>
      <c r="J194" s="10" t="n">
        <v>0</v>
      </c>
    </row>
    <row r="195" customFormat="false" ht="15" hidden="false" customHeight="false" outlineLevel="0" collapsed="false">
      <c r="A195" s="8" t="s">
        <v>265</v>
      </c>
      <c r="B195" s="8" t="s">
        <v>50</v>
      </c>
      <c r="C195" s="9" t="s">
        <v>10</v>
      </c>
      <c r="D195" s="8" t="n">
        <f aca="false">COUNTIF(Itens!$C:$C,A195)</f>
        <v>2</v>
      </c>
      <c r="E195" s="8" t="n">
        <f aca="false">SUMIF(Itens!$C:$C,A195,Itens!$D:$D)</f>
        <v>64</v>
      </c>
      <c r="F195" s="8" t="n">
        <f aca="false">SUMIF(Itens!$C:$C,A195,Itens!$I:$I)</f>
        <v>0</v>
      </c>
      <c r="G195" s="8" t="n">
        <f aca="false">SUMIF(Itens!$C:$C,A195,Itens!$J:$J)</f>
        <v>0</v>
      </c>
      <c r="H195" s="8" t="n">
        <f aca="false">SUMIF(Itens!$C:$C,A195,Itens!$K:$K)</f>
        <v>64</v>
      </c>
      <c r="I195" s="8" t="s">
        <v>46</v>
      </c>
      <c r="J195" s="10" t="n">
        <v>0</v>
      </c>
    </row>
    <row r="196" customFormat="false" ht="15" hidden="false" customHeight="false" outlineLevel="0" collapsed="false">
      <c r="A196" s="8" t="s">
        <v>266</v>
      </c>
      <c r="B196" s="8" t="s">
        <v>50</v>
      </c>
      <c r="C196" s="9" t="s">
        <v>10</v>
      </c>
      <c r="D196" s="8" t="n">
        <f aca="false">COUNTIF(Itens!$C:$C,A196)</f>
        <v>2</v>
      </c>
      <c r="E196" s="8" t="n">
        <f aca="false">SUMIF(Itens!$C:$C,A196,Itens!$D:$D)</f>
        <v>74</v>
      </c>
      <c r="F196" s="8" t="n">
        <f aca="false">SUMIF(Itens!$C:$C,A196,Itens!$I:$I)</f>
        <v>0</v>
      </c>
      <c r="G196" s="8" t="n">
        <f aca="false">SUMIF(Itens!$C:$C,A196,Itens!$J:$J)</f>
        <v>0</v>
      </c>
      <c r="H196" s="8" t="n">
        <f aca="false">SUMIF(Itens!$C:$C,A196,Itens!$K:$K)</f>
        <v>74</v>
      </c>
      <c r="I196" s="8" t="s">
        <v>46</v>
      </c>
      <c r="J196" s="10" t="n">
        <v>0</v>
      </c>
    </row>
    <row r="197" customFormat="false" ht="15" hidden="false" customHeight="false" outlineLevel="0" collapsed="false">
      <c r="A197" s="8" t="s">
        <v>267</v>
      </c>
      <c r="B197" s="8" t="s">
        <v>50</v>
      </c>
      <c r="C197" s="9" t="s">
        <v>8</v>
      </c>
      <c r="D197" s="8" t="n">
        <f aca="false">COUNTIF(Itens!$C:$C,A197)</f>
        <v>2</v>
      </c>
      <c r="E197" s="8" t="n">
        <f aca="false">SUMIF(Itens!$C:$C,A197,Itens!$D:$D)</f>
        <v>54</v>
      </c>
      <c r="F197" s="8" t="n">
        <f aca="false">SUMIF(Itens!$C:$C,A197,Itens!$I:$I)</f>
        <v>0</v>
      </c>
      <c r="G197" s="8" t="n">
        <f aca="false">SUMIF(Itens!$C:$C,A197,Itens!$J:$J)</f>
        <v>54</v>
      </c>
      <c r="H197" s="8" t="n">
        <f aca="false">SUMIF(Itens!$C:$C,A197,Itens!$K:$K)</f>
        <v>0</v>
      </c>
      <c r="I197" s="8" t="s">
        <v>51</v>
      </c>
      <c r="J197" s="10" t="n">
        <v>0</v>
      </c>
    </row>
    <row r="198" customFormat="false" ht="15" hidden="false" customHeight="false" outlineLevel="0" collapsed="false">
      <c r="A198" s="8" t="s">
        <v>268</v>
      </c>
      <c r="B198" s="8" t="s">
        <v>50</v>
      </c>
      <c r="C198" s="9" t="s">
        <v>10</v>
      </c>
      <c r="D198" s="8" t="n">
        <f aca="false">COUNTIF(Itens!$C:$C,A198)</f>
        <v>2</v>
      </c>
      <c r="E198" s="8" t="n">
        <f aca="false">SUMIF(Itens!$C:$C,A198,Itens!$D:$D)</f>
        <v>54</v>
      </c>
      <c r="F198" s="8" t="n">
        <f aca="false">SUMIF(Itens!$C:$C,A198,Itens!$I:$I)</f>
        <v>0</v>
      </c>
      <c r="G198" s="8" t="n">
        <f aca="false">SUMIF(Itens!$C:$C,A198,Itens!$J:$J)</f>
        <v>0</v>
      </c>
      <c r="H198" s="8" t="n">
        <f aca="false">SUMIF(Itens!$C:$C,A198,Itens!$K:$K)</f>
        <v>54</v>
      </c>
      <c r="I198" s="8" t="s">
        <v>46</v>
      </c>
      <c r="J198" s="10" t="n">
        <v>0</v>
      </c>
    </row>
    <row r="199" customFormat="false" ht="15" hidden="false" customHeight="false" outlineLevel="0" collapsed="false">
      <c r="A199" s="8" t="s">
        <v>269</v>
      </c>
      <c r="B199" s="8" t="s">
        <v>50</v>
      </c>
      <c r="C199" s="9" t="s">
        <v>7</v>
      </c>
      <c r="D199" s="8" t="n">
        <f aca="false">COUNTIF(Itens!$C:$C,A199)</f>
        <v>2</v>
      </c>
      <c r="E199" s="8" t="n">
        <f aca="false">SUMIF(Itens!$C:$C,A199,Itens!$D:$D)</f>
        <v>40</v>
      </c>
      <c r="F199" s="8" t="n">
        <f aca="false">SUMIF(Itens!$C:$C,A199,Itens!$I:$I)</f>
        <v>40</v>
      </c>
      <c r="G199" s="8" t="n">
        <f aca="false">SUMIF(Itens!$C:$C,A199,Itens!$J:$J)</f>
        <v>0</v>
      </c>
      <c r="H199" s="8" t="n">
        <f aca="false">SUMIF(Itens!$C:$C,A199,Itens!$K:$K)</f>
        <v>0</v>
      </c>
      <c r="I199" s="8" t="s">
        <v>59</v>
      </c>
      <c r="J199" s="10" t="n">
        <v>0</v>
      </c>
    </row>
    <row r="200" customFormat="false" ht="15" hidden="false" customHeight="false" outlineLevel="0" collapsed="false">
      <c r="A200" s="8" t="s">
        <v>270</v>
      </c>
      <c r="B200" s="8" t="s">
        <v>43</v>
      </c>
      <c r="C200" s="9" t="s">
        <v>9</v>
      </c>
      <c r="D200" s="8" t="n">
        <f aca="false">COUNTIF(Itens!$C:$C,A200)</f>
        <v>3</v>
      </c>
      <c r="E200" s="8" t="n">
        <f aca="false">SUMIF(Itens!$C:$C,A200,Itens!$D:$D)</f>
        <v>77</v>
      </c>
      <c r="F200" s="8" t="n">
        <f aca="false">SUMIF(Itens!$C:$C,A200,Itens!$I:$I)</f>
        <v>15</v>
      </c>
      <c r="G200" s="8" t="n">
        <f aca="false">SUMIF(Itens!$C:$C,A200,Itens!$J:$J)</f>
        <v>20</v>
      </c>
      <c r="H200" s="8" t="n">
        <f aca="false">SUMIF(Itens!$C:$C,A200,Itens!$K:$K)</f>
        <v>42</v>
      </c>
      <c r="I200" s="8" t="s">
        <v>70</v>
      </c>
      <c r="J200" s="10" t="n">
        <v>0</v>
      </c>
    </row>
    <row r="201" customFormat="false" ht="15" hidden="false" customHeight="false" outlineLevel="0" collapsed="false">
      <c r="A201" s="8" t="s">
        <v>271</v>
      </c>
      <c r="B201" s="8" t="s">
        <v>43</v>
      </c>
      <c r="C201" s="9" t="s">
        <v>7</v>
      </c>
      <c r="D201" s="8" t="n">
        <f aca="false">COUNTIF(Itens!$C:$C,A201)</f>
        <v>3</v>
      </c>
      <c r="E201" s="8" t="n">
        <f aca="false">SUMIF(Itens!$C:$C,A201,Itens!$D:$D)</f>
        <v>69</v>
      </c>
      <c r="F201" s="8" t="n">
        <f aca="false">SUMIF(Itens!$C:$C,A201,Itens!$I:$I)</f>
        <v>69</v>
      </c>
      <c r="G201" s="8" t="n">
        <f aca="false">SUMIF(Itens!$C:$C,A201,Itens!$J:$J)</f>
        <v>0</v>
      </c>
      <c r="H201" s="8" t="n">
        <f aca="false">SUMIF(Itens!$C:$C,A201,Itens!$K:$K)</f>
        <v>0</v>
      </c>
      <c r="I201" s="8" t="s">
        <v>59</v>
      </c>
      <c r="J201" s="10" t="n">
        <v>0</v>
      </c>
    </row>
    <row r="202" customFormat="false" ht="15" hidden="false" customHeight="false" outlineLevel="0" collapsed="false">
      <c r="A202" s="8" t="s">
        <v>272</v>
      </c>
      <c r="B202" s="8" t="s">
        <v>43</v>
      </c>
      <c r="C202" s="9" t="s">
        <v>10</v>
      </c>
      <c r="D202" s="8" t="n">
        <f aca="false">COUNTIF(Itens!$C:$C,A202)</f>
        <v>3</v>
      </c>
      <c r="E202" s="8" t="n">
        <f aca="false">SUMIF(Itens!$C:$C,A202,Itens!$D:$D)</f>
        <v>72</v>
      </c>
      <c r="F202" s="8" t="n">
        <f aca="false">SUMIF(Itens!$C:$C,A202,Itens!$I:$I)</f>
        <v>0</v>
      </c>
      <c r="G202" s="8" t="n">
        <f aca="false">SUMIF(Itens!$C:$C,A202,Itens!$J:$J)</f>
        <v>0</v>
      </c>
      <c r="H202" s="8" t="n">
        <f aca="false">SUMIF(Itens!$C:$C,A202,Itens!$K:$K)</f>
        <v>72</v>
      </c>
      <c r="I202" s="8" t="s">
        <v>46</v>
      </c>
      <c r="J202" s="10" t="n">
        <v>0</v>
      </c>
    </row>
    <row r="203" customFormat="false" ht="15" hidden="false" customHeight="false" outlineLevel="0" collapsed="false">
      <c r="A203" s="8" t="s">
        <v>273</v>
      </c>
      <c r="B203" s="8" t="s">
        <v>43</v>
      </c>
      <c r="C203" s="9" t="s">
        <v>9</v>
      </c>
      <c r="D203" s="8" t="n">
        <f aca="false">COUNTIF(Itens!$C:$C,A203)</f>
        <v>3</v>
      </c>
      <c r="E203" s="8" t="n">
        <f aca="false">SUMIF(Itens!$C:$C,A203,Itens!$D:$D)</f>
        <v>102</v>
      </c>
      <c r="F203" s="8" t="n">
        <f aca="false">SUMIF(Itens!$C:$C,A203,Itens!$I:$I)</f>
        <v>3</v>
      </c>
      <c r="G203" s="8" t="n">
        <f aca="false">SUMIF(Itens!$C:$C,A203,Itens!$J:$J)</f>
        <v>76</v>
      </c>
      <c r="H203" s="8" t="n">
        <f aca="false">SUMIF(Itens!$C:$C,A203,Itens!$K:$K)</f>
        <v>23</v>
      </c>
      <c r="I203" s="8" t="s">
        <v>70</v>
      </c>
      <c r="J203" s="10" t="n">
        <v>0</v>
      </c>
    </row>
    <row r="204" customFormat="false" ht="15" hidden="false" customHeight="false" outlineLevel="0" collapsed="false">
      <c r="A204" s="8" t="s">
        <v>274</v>
      </c>
      <c r="B204" s="8" t="s">
        <v>43</v>
      </c>
      <c r="C204" s="9" t="s">
        <v>7</v>
      </c>
      <c r="D204" s="8" t="n">
        <f aca="false">COUNTIF(Itens!$C:$C,A204)</f>
        <v>3</v>
      </c>
      <c r="E204" s="8" t="n">
        <f aca="false">SUMIF(Itens!$C:$C,A204,Itens!$D:$D)</f>
        <v>43</v>
      </c>
      <c r="F204" s="8" t="n">
        <f aca="false">SUMIF(Itens!$C:$C,A204,Itens!$I:$I)</f>
        <v>43</v>
      </c>
      <c r="G204" s="8" t="n">
        <f aca="false">SUMIF(Itens!$C:$C,A204,Itens!$J:$J)</f>
        <v>0</v>
      </c>
      <c r="H204" s="8" t="n">
        <f aca="false">SUMIF(Itens!$C:$C,A204,Itens!$K:$K)</f>
        <v>0</v>
      </c>
      <c r="I204" s="8" t="s">
        <v>59</v>
      </c>
      <c r="J204" s="10" t="n">
        <v>0</v>
      </c>
    </row>
    <row r="205" customFormat="false" ht="15" hidden="false" customHeight="false" outlineLevel="0" collapsed="false">
      <c r="A205" s="8" t="s">
        <v>275</v>
      </c>
      <c r="B205" s="8" t="s">
        <v>43</v>
      </c>
      <c r="C205" s="9" t="s">
        <v>9</v>
      </c>
      <c r="D205" s="8" t="n">
        <f aca="false">COUNTIF(Itens!$C:$C,A205)</f>
        <v>3</v>
      </c>
      <c r="E205" s="8" t="n">
        <f aca="false">SUMIF(Itens!$C:$C,A205,Itens!$D:$D)</f>
        <v>43</v>
      </c>
      <c r="F205" s="8" t="n">
        <f aca="false">SUMIF(Itens!$C:$C,A205,Itens!$I:$I)</f>
        <v>0</v>
      </c>
      <c r="G205" s="8" t="n">
        <f aca="false">SUMIF(Itens!$C:$C,A205,Itens!$J:$J)</f>
        <v>16</v>
      </c>
      <c r="H205" s="8" t="n">
        <f aca="false">SUMIF(Itens!$C:$C,A205,Itens!$K:$K)</f>
        <v>27</v>
      </c>
      <c r="I205" s="8" t="s">
        <v>70</v>
      </c>
      <c r="J205" s="10" t="n">
        <v>0</v>
      </c>
    </row>
    <row r="206" customFormat="false" ht="15" hidden="false" customHeight="false" outlineLevel="0" collapsed="false">
      <c r="A206" s="8" t="s">
        <v>276</v>
      </c>
      <c r="B206" s="8" t="s">
        <v>43</v>
      </c>
      <c r="C206" s="9" t="s">
        <v>8</v>
      </c>
      <c r="D206" s="8" t="n">
        <f aca="false">COUNTIF(Itens!$C:$C,A206)</f>
        <v>3</v>
      </c>
      <c r="E206" s="8" t="n">
        <f aca="false">SUMIF(Itens!$C:$C,A206,Itens!$D:$D)</f>
        <v>47</v>
      </c>
      <c r="F206" s="8" t="n">
        <f aca="false">SUMIF(Itens!$C:$C,A206,Itens!$I:$I)</f>
        <v>0</v>
      </c>
      <c r="G206" s="8" t="n">
        <f aca="false">SUMIF(Itens!$C:$C,A206,Itens!$J:$J)</f>
        <v>47</v>
      </c>
      <c r="H206" s="8" t="n">
        <f aca="false">SUMIF(Itens!$C:$C,A206,Itens!$K:$K)</f>
        <v>0</v>
      </c>
      <c r="I206" s="8" t="s">
        <v>51</v>
      </c>
      <c r="J206" s="10" t="n">
        <v>0</v>
      </c>
    </row>
    <row r="207" customFormat="false" ht="15" hidden="false" customHeight="false" outlineLevel="0" collapsed="false">
      <c r="A207" s="8" t="s">
        <v>277</v>
      </c>
      <c r="B207" s="8" t="s">
        <v>43</v>
      </c>
      <c r="C207" s="9" t="s">
        <v>10</v>
      </c>
      <c r="D207" s="8" t="n">
        <f aca="false">COUNTIF(Itens!$C:$C,A207)</f>
        <v>3</v>
      </c>
      <c r="E207" s="8" t="n">
        <f aca="false">SUMIF(Itens!$C:$C,A207,Itens!$D:$D)</f>
        <v>47</v>
      </c>
      <c r="F207" s="8" t="n">
        <f aca="false">SUMIF(Itens!$C:$C,A207,Itens!$I:$I)</f>
        <v>0</v>
      </c>
      <c r="G207" s="8" t="n">
        <f aca="false">SUMIF(Itens!$C:$C,A207,Itens!$J:$J)</f>
        <v>0</v>
      </c>
      <c r="H207" s="8" t="n">
        <f aca="false">SUMIF(Itens!$C:$C,A207,Itens!$K:$K)</f>
        <v>47</v>
      </c>
      <c r="I207" s="8" t="s">
        <v>46</v>
      </c>
      <c r="J207" s="10" t="n">
        <v>0</v>
      </c>
    </row>
    <row r="208" customFormat="false" ht="15" hidden="false" customHeight="false" outlineLevel="0" collapsed="false">
      <c r="A208" s="8" t="s">
        <v>278</v>
      </c>
      <c r="B208" s="8" t="s">
        <v>50</v>
      </c>
      <c r="C208" s="9" t="s">
        <v>10</v>
      </c>
      <c r="D208" s="8" t="n">
        <f aca="false">COUNTIF(Itens!$C:$C,A208)</f>
        <v>2</v>
      </c>
      <c r="E208" s="8" t="n">
        <f aca="false">SUMIF(Itens!$C:$C,A208,Itens!$D:$D)</f>
        <v>58</v>
      </c>
      <c r="F208" s="8" t="n">
        <f aca="false">SUMIF(Itens!$C:$C,A208,Itens!$I:$I)</f>
        <v>0</v>
      </c>
      <c r="G208" s="8" t="n">
        <f aca="false">SUMIF(Itens!$C:$C,A208,Itens!$J:$J)</f>
        <v>0</v>
      </c>
      <c r="H208" s="8" t="n">
        <f aca="false">SUMIF(Itens!$C:$C,A208,Itens!$K:$K)</f>
        <v>58</v>
      </c>
      <c r="I208" s="8" t="s">
        <v>46</v>
      </c>
      <c r="J208" s="10" t="n">
        <v>0</v>
      </c>
    </row>
    <row r="209" customFormat="false" ht="15" hidden="false" customHeight="false" outlineLevel="0" collapsed="false">
      <c r="A209" s="8" t="s">
        <v>279</v>
      </c>
      <c r="B209" s="8" t="s">
        <v>43</v>
      </c>
      <c r="C209" s="9" t="s">
        <v>9</v>
      </c>
      <c r="D209" s="8" t="n">
        <f aca="false">COUNTIF(Itens!$C:$C,A209)</f>
        <v>3</v>
      </c>
      <c r="E209" s="8" t="n">
        <f aca="false">SUMIF(Itens!$C:$C,A209,Itens!$D:$D)</f>
        <v>65</v>
      </c>
      <c r="F209" s="8" t="n">
        <f aca="false">SUMIF(Itens!$C:$C,A209,Itens!$I:$I)</f>
        <v>20</v>
      </c>
      <c r="G209" s="8" t="n">
        <f aca="false">SUMIF(Itens!$C:$C,A209,Itens!$J:$J)</f>
        <v>29</v>
      </c>
      <c r="H209" s="8" t="n">
        <f aca="false">SUMIF(Itens!$C:$C,A209,Itens!$K:$K)</f>
        <v>16</v>
      </c>
      <c r="I209" s="8" t="s">
        <v>70</v>
      </c>
      <c r="J209" s="10" t="n">
        <v>0</v>
      </c>
    </row>
    <row r="210" customFormat="false" ht="15" hidden="false" customHeight="false" outlineLevel="0" collapsed="false">
      <c r="A210" s="8" t="s">
        <v>280</v>
      </c>
      <c r="B210" s="8" t="s">
        <v>43</v>
      </c>
      <c r="C210" s="9" t="s">
        <v>9</v>
      </c>
      <c r="D210" s="8" t="n">
        <f aca="false">COUNTIF(Itens!$C:$C,A210)</f>
        <v>4</v>
      </c>
      <c r="E210" s="8" t="n">
        <f aca="false">SUMIF(Itens!$C:$C,A210,Itens!$D:$D)</f>
        <v>105</v>
      </c>
      <c r="F210" s="8" t="n">
        <f aca="false">SUMIF(Itens!$C:$C,A210,Itens!$I:$I)</f>
        <v>11</v>
      </c>
      <c r="G210" s="8" t="n">
        <f aca="false">SUMIF(Itens!$C:$C,A210,Itens!$J:$J)</f>
        <v>58</v>
      </c>
      <c r="H210" s="8" t="n">
        <f aca="false">SUMIF(Itens!$C:$C,A210,Itens!$K:$K)</f>
        <v>36</v>
      </c>
      <c r="I210" s="8" t="s">
        <v>44</v>
      </c>
      <c r="J210" s="10" t="n">
        <v>0</v>
      </c>
    </row>
    <row r="211" customFormat="false" ht="15" hidden="false" customHeight="false" outlineLevel="0" collapsed="false">
      <c r="A211" s="8" t="s">
        <v>281</v>
      </c>
      <c r="B211" s="8" t="s">
        <v>43</v>
      </c>
      <c r="C211" s="9" t="s">
        <v>9</v>
      </c>
      <c r="D211" s="8" t="n">
        <f aca="false">COUNTIF(Itens!$C:$C,A211)</f>
        <v>4</v>
      </c>
      <c r="E211" s="8" t="n">
        <f aca="false">SUMIF(Itens!$C:$C,A211,Itens!$D:$D)</f>
        <v>112</v>
      </c>
      <c r="F211" s="8" t="n">
        <f aca="false">SUMIF(Itens!$C:$C,A211,Itens!$I:$I)</f>
        <v>28</v>
      </c>
      <c r="G211" s="8" t="n">
        <f aca="false">SUMIF(Itens!$C:$C,A211,Itens!$J:$J)</f>
        <v>45</v>
      </c>
      <c r="H211" s="8" t="n">
        <f aca="false">SUMIF(Itens!$C:$C,A211,Itens!$K:$K)</f>
        <v>39</v>
      </c>
      <c r="I211" s="8" t="s">
        <v>70</v>
      </c>
      <c r="J211" s="10" t="n">
        <v>0</v>
      </c>
    </row>
    <row r="212" customFormat="false" ht="15" hidden="false" customHeight="false" outlineLevel="0" collapsed="false">
      <c r="A212" s="8" t="s">
        <v>282</v>
      </c>
      <c r="B212" s="8" t="s">
        <v>43</v>
      </c>
      <c r="C212" s="9" t="s">
        <v>9</v>
      </c>
      <c r="D212" s="8" t="n">
        <f aca="false">COUNTIF(Itens!$C:$C,A212)</f>
        <v>4</v>
      </c>
      <c r="E212" s="8" t="n">
        <f aca="false">SUMIF(Itens!$C:$C,A212,Itens!$D:$D)</f>
        <v>96</v>
      </c>
      <c r="F212" s="8" t="n">
        <f aca="false">SUMIF(Itens!$C:$C,A212,Itens!$I:$I)</f>
        <v>23</v>
      </c>
      <c r="G212" s="8" t="n">
        <f aca="false">SUMIF(Itens!$C:$C,A212,Itens!$J:$J)</f>
        <v>48</v>
      </c>
      <c r="H212" s="8" t="n">
        <f aca="false">SUMIF(Itens!$C:$C,A212,Itens!$K:$K)</f>
        <v>25</v>
      </c>
      <c r="I212" s="8" t="s">
        <v>70</v>
      </c>
      <c r="J212" s="10" t="n">
        <v>0</v>
      </c>
    </row>
    <row r="213" customFormat="false" ht="15" hidden="false" customHeight="false" outlineLevel="0" collapsed="false">
      <c r="A213" s="8" t="s">
        <v>283</v>
      </c>
      <c r="B213" s="8" t="s">
        <v>50</v>
      </c>
      <c r="C213" s="9" t="s">
        <v>7</v>
      </c>
      <c r="D213" s="8" t="n">
        <f aca="false">COUNTIF(Itens!$C:$C,A213)</f>
        <v>2</v>
      </c>
      <c r="E213" s="8" t="n">
        <f aca="false">SUMIF(Itens!$C:$C,A213,Itens!$D:$D)</f>
        <v>46</v>
      </c>
      <c r="F213" s="8" t="n">
        <f aca="false">SUMIF(Itens!$C:$C,A213,Itens!$I:$I)</f>
        <v>46</v>
      </c>
      <c r="G213" s="8" t="n">
        <f aca="false">SUMIF(Itens!$C:$C,A213,Itens!$J:$J)</f>
        <v>0</v>
      </c>
      <c r="H213" s="8" t="n">
        <f aca="false">SUMIF(Itens!$C:$C,A213,Itens!$K:$K)</f>
        <v>0</v>
      </c>
      <c r="I213" s="8" t="s">
        <v>59</v>
      </c>
      <c r="J213" s="10" t="n">
        <v>0</v>
      </c>
    </row>
    <row r="214" customFormat="false" ht="15" hidden="false" customHeight="false" outlineLevel="0" collapsed="false">
      <c r="A214" s="8" t="s">
        <v>284</v>
      </c>
      <c r="B214" s="8" t="s">
        <v>64</v>
      </c>
      <c r="C214" s="9" t="s">
        <v>10</v>
      </c>
      <c r="D214" s="8" t="n">
        <f aca="false">COUNTIF(Itens!$C:$C,A214)</f>
        <v>1</v>
      </c>
      <c r="E214" s="8" t="n">
        <f aca="false">SUMIF(Itens!$C:$C,A214,Itens!$D:$D)</f>
        <v>18</v>
      </c>
      <c r="F214" s="8" t="n">
        <f aca="false">SUMIF(Itens!$C:$C,A214,Itens!$I:$I)</f>
        <v>0</v>
      </c>
      <c r="G214" s="8" t="n">
        <f aca="false">SUMIF(Itens!$C:$C,A214,Itens!$J:$J)</f>
        <v>0</v>
      </c>
      <c r="H214" s="8" t="n">
        <f aca="false">SUMIF(Itens!$C:$C,A214,Itens!$K:$K)</f>
        <v>18</v>
      </c>
      <c r="I214" s="8" t="s">
        <v>46</v>
      </c>
      <c r="J214" s="10" t="n">
        <v>0</v>
      </c>
    </row>
    <row r="215" customFormat="false" ht="15" hidden="false" customHeight="false" outlineLevel="0" collapsed="false">
      <c r="A215" s="8" t="s">
        <v>285</v>
      </c>
      <c r="B215" s="8" t="s">
        <v>64</v>
      </c>
      <c r="C215" s="9" t="s">
        <v>10</v>
      </c>
      <c r="D215" s="8" t="n">
        <f aca="false">COUNTIF(Itens!$C:$C,A215)</f>
        <v>1</v>
      </c>
      <c r="E215" s="8" t="n">
        <f aca="false">SUMIF(Itens!$C:$C,A215,Itens!$D:$D)</f>
        <v>16</v>
      </c>
      <c r="F215" s="8" t="n">
        <f aca="false">SUMIF(Itens!$C:$C,A215,Itens!$I:$I)</f>
        <v>0</v>
      </c>
      <c r="G215" s="8" t="n">
        <f aca="false">SUMIF(Itens!$C:$C,A215,Itens!$J:$J)</f>
        <v>0</v>
      </c>
      <c r="H215" s="8" t="n">
        <f aca="false">SUMIF(Itens!$C:$C,A215,Itens!$K:$K)</f>
        <v>16</v>
      </c>
      <c r="I215" s="8" t="s">
        <v>46</v>
      </c>
      <c r="J215" s="10" t="n">
        <v>0</v>
      </c>
    </row>
    <row r="216" customFormat="false" ht="15" hidden="false" customHeight="false" outlineLevel="0" collapsed="false">
      <c r="A216" s="8" t="s">
        <v>286</v>
      </c>
      <c r="B216" s="8" t="s">
        <v>50</v>
      </c>
      <c r="C216" s="9" t="s">
        <v>10</v>
      </c>
      <c r="D216" s="8" t="n">
        <f aca="false">COUNTIF(Itens!$C:$C,A216)</f>
        <v>2</v>
      </c>
      <c r="E216" s="8" t="n">
        <f aca="false">SUMIF(Itens!$C:$C,A216,Itens!$D:$D)</f>
        <v>52</v>
      </c>
      <c r="F216" s="8" t="n">
        <f aca="false">SUMIF(Itens!$C:$C,A216,Itens!$I:$I)</f>
        <v>0</v>
      </c>
      <c r="G216" s="8" t="n">
        <f aca="false">SUMIF(Itens!$C:$C,A216,Itens!$J:$J)</f>
        <v>0</v>
      </c>
      <c r="H216" s="8" t="n">
        <f aca="false">SUMIF(Itens!$C:$C,A216,Itens!$K:$K)</f>
        <v>52</v>
      </c>
      <c r="I216" s="8" t="s">
        <v>46</v>
      </c>
      <c r="J216" s="10" t="n">
        <v>0</v>
      </c>
    </row>
    <row r="217" customFormat="false" ht="15" hidden="false" customHeight="false" outlineLevel="0" collapsed="false">
      <c r="A217" s="8" t="s">
        <v>287</v>
      </c>
      <c r="B217" s="8" t="s">
        <v>50</v>
      </c>
      <c r="C217" s="9" t="s">
        <v>10</v>
      </c>
      <c r="D217" s="8" t="n">
        <f aca="false">COUNTIF(Itens!$C:$C,A217)</f>
        <v>2</v>
      </c>
      <c r="E217" s="8" t="n">
        <f aca="false">SUMIF(Itens!$C:$C,A217,Itens!$D:$D)</f>
        <v>52</v>
      </c>
      <c r="F217" s="8" t="n">
        <f aca="false">SUMIF(Itens!$C:$C,A217,Itens!$I:$I)</f>
        <v>0</v>
      </c>
      <c r="G217" s="8" t="n">
        <f aca="false">SUMIF(Itens!$C:$C,A217,Itens!$J:$J)</f>
        <v>0</v>
      </c>
      <c r="H217" s="8" t="n">
        <f aca="false">SUMIF(Itens!$C:$C,A217,Itens!$K:$K)</f>
        <v>52</v>
      </c>
      <c r="I217" s="8" t="s">
        <v>46</v>
      </c>
      <c r="J217" s="10" t="n">
        <v>0</v>
      </c>
    </row>
    <row r="218" customFormat="false" ht="15" hidden="false" customHeight="false" outlineLevel="0" collapsed="false">
      <c r="A218" s="8" t="s">
        <v>288</v>
      </c>
      <c r="B218" s="8" t="s">
        <v>50</v>
      </c>
      <c r="C218" s="9" t="s">
        <v>10</v>
      </c>
      <c r="D218" s="8" t="n">
        <f aca="false">COUNTIF(Itens!$C:$C,A218)</f>
        <v>3</v>
      </c>
      <c r="E218" s="8" t="n">
        <f aca="false">SUMIF(Itens!$C:$C,A218,Itens!$D:$D)</f>
        <v>59</v>
      </c>
      <c r="F218" s="8" t="n">
        <f aca="false">SUMIF(Itens!$C:$C,A218,Itens!$I:$I)</f>
        <v>0</v>
      </c>
      <c r="G218" s="8" t="n">
        <f aca="false">SUMIF(Itens!$C:$C,A218,Itens!$J:$J)</f>
        <v>0</v>
      </c>
      <c r="H218" s="8" t="n">
        <f aca="false">SUMIF(Itens!$C:$C,A218,Itens!$K:$K)</f>
        <v>59</v>
      </c>
      <c r="I218" s="8" t="s">
        <v>46</v>
      </c>
      <c r="J218" s="10" t="n">
        <v>0</v>
      </c>
    </row>
    <row r="219" customFormat="false" ht="15" hidden="false" customHeight="false" outlineLevel="0" collapsed="false">
      <c r="A219" s="8" t="s">
        <v>289</v>
      </c>
      <c r="B219" s="8" t="s">
        <v>50</v>
      </c>
      <c r="C219" s="9" t="s">
        <v>9</v>
      </c>
      <c r="D219" s="8" t="n">
        <f aca="false">COUNTIF(Itens!$C:$C,A219)</f>
        <v>2</v>
      </c>
      <c r="E219" s="8" t="n">
        <f aca="false">SUMIF(Itens!$C:$C,A219,Itens!$D:$D)</f>
        <v>36</v>
      </c>
      <c r="F219" s="8" t="n">
        <f aca="false">SUMIF(Itens!$C:$C,A219,Itens!$I:$I)</f>
        <v>0</v>
      </c>
      <c r="G219" s="8" t="n">
        <f aca="false">SUMIF(Itens!$C:$C,A219,Itens!$J:$J)</f>
        <v>14</v>
      </c>
      <c r="H219" s="8" t="n">
        <f aca="false">SUMIF(Itens!$C:$C,A219,Itens!$K:$K)</f>
        <v>22</v>
      </c>
      <c r="I219" s="8" t="s">
        <v>70</v>
      </c>
      <c r="J219" s="10" t="n">
        <v>0</v>
      </c>
    </row>
    <row r="220" customFormat="false" ht="15" hidden="false" customHeight="false" outlineLevel="0" collapsed="false">
      <c r="A220" s="8" t="s">
        <v>290</v>
      </c>
      <c r="B220" s="8" t="s">
        <v>50</v>
      </c>
      <c r="C220" s="9" t="s">
        <v>10</v>
      </c>
      <c r="D220" s="8" t="n">
        <f aca="false">COUNTIF(Itens!$C:$C,A220)</f>
        <v>4</v>
      </c>
      <c r="E220" s="8" t="n">
        <f aca="false">SUMIF(Itens!$C:$C,A220,Itens!$D:$D)</f>
        <v>84</v>
      </c>
      <c r="F220" s="8" t="n">
        <f aca="false">SUMIF(Itens!$C:$C,A220,Itens!$I:$I)</f>
        <v>0</v>
      </c>
      <c r="G220" s="8" t="n">
        <f aca="false">SUMIF(Itens!$C:$C,A220,Itens!$J:$J)</f>
        <v>0</v>
      </c>
      <c r="H220" s="8" t="n">
        <f aca="false">SUMIF(Itens!$C:$C,A220,Itens!$K:$K)</f>
        <v>84</v>
      </c>
      <c r="I220" s="8" t="s">
        <v>46</v>
      </c>
      <c r="J220" s="10" t="n">
        <v>0</v>
      </c>
    </row>
    <row r="221" customFormat="false" ht="15" hidden="false" customHeight="false" outlineLevel="0" collapsed="false">
      <c r="A221" s="8" t="s">
        <v>291</v>
      </c>
      <c r="B221" s="8" t="s">
        <v>50</v>
      </c>
      <c r="C221" s="9" t="s">
        <v>9</v>
      </c>
      <c r="D221" s="8" t="n">
        <f aca="false">COUNTIF(Itens!$C:$C,A221)</f>
        <v>4</v>
      </c>
      <c r="E221" s="8" t="n">
        <f aca="false">SUMIF(Itens!$C:$C,A221,Itens!$D:$D)</f>
        <v>77</v>
      </c>
      <c r="F221" s="8" t="n">
        <f aca="false">SUMIF(Itens!$C:$C,A221,Itens!$I:$I)</f>
        <v>44</v>
      </c>
      <c r="G221" s="8" t="n">
        <f aca="false">SUMIF(Itens!$C:$C,A221,Itens!$J:$J)</f>
        <v>23</v>
      </c>
      <c r="H221" s="8" t="n">
        <f aca="false">SUMIF(Itens!$C:$C,A221,Itens!$K:$K)</f>
        <v>10</v>
      </c>
      <c r="I221" s="8" t="s">
        <v>70</v>
      </c>
      <c r="J221" s="10" t="n">
        <v>0</v>
      </c>
    </row>
    <row r="222" customFormat="false" ht="15" hidden="false" customHeight="false" outlineLevel="0" collapsed="false">
      <c r="A222" s="8" t="s">
        <v>292</v>
      </c>
      <c r="B222" s="8" t="s">
        <v>64</v>
      </c>
      <c r="C222" s="9" t="s">
        <v>10</v>
      </c>
      <c r="D222" s="8" t="n">
        <f aca="false">COUNTIF(Itens!$C:$C,A222)</f>
        <v>1</v>
      </c>
      <c r="E222" s="8" t="n">
        <f aca="false">SUMIF(Itens!$C:$C,A222,Itens!$D:$D)</f>
        <v>26</v>
      </c>
      <c r="F222" s="8" t="n">
        <f aca="false">SUMIF(Itens!$C:$C,A222,Itens!$I:$I)</f>
        <v>0</v>
      </c>
      <c r="G222" s="8" t="n">
        <f aca="false">SUMIF(Itens!$C:$C,A222,Itens!$J:$J)</f>
        <v>0</v>
      </c>
      <c r="H222" s="8" t="n">
        <f aca="false">SUMIF(Itens!$C:$C,A222,Itens!$K:$K)</f>
        <v>26</v>
      </c>
      <c r="I222" s="8" t="s">
        <v>46</v>
      </c>
      <c r="J222" s="10" t="n">
        <v>0</v>
      </c>
    </row>
    <row r="223" customFormat="false" ht="15" hidden="false" customHeight="false" outlineLevel="0" collapsed="false">
      <c r="A223" s="8" t="s">
        <v>293</v>
      </c>
      <c r="B223" s="8" t="s">
        <v>50</v>
      </c>
      <c r="C223" s="9" t="s">
        <v>9</v>
      </c>
      <c r="D223" s="8" t="n">
        <f aca="false">COUNTIF(Itens!$C:$C,A223)</f>
        <v>4</v>
      </c>
      <c r="E223" s="8" t="n">
        <f aca="false">SUMIF(Itens!$C:$C,A223,Itens!$D:$D)</f>
        <v>72</v>
      </c>
      <c r="F223" s="8" t="n">
        <f aca="false">SUMIF(Itens!$C:$C,A223,Itens!$I:$I)</f>
        <v>28</v>
      </c>
      <c r="G223" s="8" t="n">
        <f aca="false">SUMIF(Itens!$C:$C,A223,Itens!$J:$J)</f>
        <v>13</v>
      </c>
      <c r="H223" s="8" t="n">
        <f aca="false">SUMIF(Itens!$C:$C,A223,Itens!$K:$K)</f>
        <v>31</v>
      </c>
      <c r="I223" s="8" t="s">
        <v>44</v>
      </c>
      <c r="J223" s="10" t="n">
        <v>0</v>
      </c>
    </row>
    <row r="224" customFormat="false" ht="15" hidden="false" customHeight="false" outlineLevel="0" collapsed="false">
      <c r="A224" s="8" t="s">
        <v>294</v>
      </c>
      <c r="B224" s="8" t="s">
        <v>50</v>
      </c>
      <c r="C224" s="9" t="s">
        <v>9</v>
      </c>
      <c r="D224" s="8" t="n">
        <f aca="false">COUNTIF(Itens!$C:$C,A224)</f>
        <v>5</v>
      </c>
      <c r="E224" s="8" t="n">
        <f aca="false">SUMIF(Itens!$C:$C,A224,Itens!$D:$D)</f>
        <v>49</v>
      </c>
      <c r="F224" s="8" t="n">
        <f aca="false">SUMIF(Itens!$C:$C,A224,Itens!$I:$I)</f>
        <v>16</v>
      </c>
      <c r="G224" s="8" t="n">
        <f aca="false">SUMIF(Itens!$C:$C,A224,Itens!$J:$J)</f>
        <v>13</v>
      </c>
      <c r="H224" s="8" t="n">
        <f aca="false">SUMIF(Itens!$C:$C,A224,Itens!$K:$K)</f>
        <v>20</v>
      </c>
      <c r="I224" s="8" t="s">
        <v>44</v>
      </c>
      <c r="J224" s="10" t="n">
        <v>0</v>
      </c>
    </row>
    <row r="225" customFormat="false" ht="15" hidden="false" customHeight="false" outlineLevel="0" collapsed="false">
      <c r="A225" s="8" t="s">
        <v>295</v>
      </c>
      <c r="B225" s="8" t="s">
        <v>50</v>
      </c>
      <c r="C225" s="9" t="s">
        <v>10</v>
      </c>
      <c r="D225" s="8" t="n">
        <f aca="false">COUNTIF(Itens!$C:$C,A225)</f>
        <v>2</v>
      </c>
      <c r="E225" s="8" t="n">
        <f aca="false">SUMIF(Itens!$C:$C,A225,Itens!$D:$D)</f>
        <v>62</v>
      </c>
      <c r="F225" s="8" t="n">
        <f aca="false">SUMIF(Itens!$C:$C,A225,Itens!$I:$I)</f>
        <v>0</v>
      </c>
      <c r="G225" s="8" t="n">
        <f aca="false">SUMIF(Itens!$C:$C,A225,Itens!$J:$J)</f>
        <v>0</v>
      </c>
      <c r="H225" s="8" t="n">
        <f aca="false">SUMIF(Itens!$C:$C,A225,Itens!$K:$K)</f>
        <v>62</v>
      </c>
      <c r="I225" s="8" t="s">
        <v>46</v>
      </c>
      <c r="J225" s="10" t="n">
        <v>0</v>
      </c>
    </row>
    <row r="226" customFormat="false" ht="15" hidden="false" customHeight="false" outlineLevel="0" collapsed="false">
      <c r="A226" s="8" t="s">
        <v>296</v>
      </c>
      <c r="B226" s="8" t="s">
        <v>64</v>
      </c>
      <c r="C226" s="9" t="s">
        <v>10</v>
      </c>
      <c r="D226" s="8" t="n">
        <f aca="false">COUNTIF(Itens!$C:$C,A226)</f>
        <v>1</v>
      </c>
      <c r="E226" s="8" t="n">
        <f aca="false">SUMIF(Itens!$C:$C,A226,Itens!$D:$D)</f>
        <v>13</v>
      </c>
      <c r="F226" s="8" t="n">
        <f aca="false">SUMIF(Itens!$C:$C,A226,Itens!$I:$I)</f>
        <v>0</v>
      </c>
      <c r="G226" s="8" t="n">
        <f aca="false">SUMIF(Itens!$C:$C,A226,Itens!$J:$J)</f>
        <v>0</v>
      </c>
      <c r="H226" s="8" t="n">
        <f aca="false">SUMIF(Itens!$C:$C,A226,Itens!$K:$K)</f>
        <v>13</v>
      </c>
      <c r="I226" s="8" t="s">
        <v>46</v>
      </c>
      <c r="J226" s="10" t="n">
        <v>0</v>
      </c>
    </row>
    <row r="227" customFormat="false" ht="15" hidden="false" customHeight="false" outlineLevel="0" collapsed="false">
      <c r="A227" s="8" t="s">
        <v>297</v>
      </c>
      <c r="B227" s="8" t="s">
        <v>64</v>
      </c>
      <c r="C227" s="9" t="s">
        <v>10</v>
      </c>
      <c r="D227" s="8" t="n">
        <f aca="false">COUNTIF(Itens!$C:$C,A227)</f>
        <v>1</v>
      </c>
      <c r="E227" s="8" t="n">
        <f aca="false">SUMIF(Itens!$C:$C,A227,Itens!$D:$D)</f>
        <v>13</v>
      </c>
      <c r="F227" s="8" t="n">
        <f aca="false">SUMIF(Itens!$C:$C,A227,Itens!$I:$I)</f>
        <v>0</v>
      </c>
      <c r="G227" s="8" t="n">
        <f aca="false">SUMIF(Itens!$C:$C,A227,Itens!$J:$J)</f>
        <v>0</v>
      </c>
      <c r="H227" s="8" t="n">
        <f aca="false">SUMIF(Itens!$C:$C,A227,Itens!$K:$K)</f>
        <v>13</v>
      </c>
      <c r="I227" s="8" t="s">
        <v>46</v>
      </c>
      <c r="J227" s="10" t="n">
        <v>0</v>
      </c>
    </row>
    <row r="228" customFormat="false" ht="15" hidden="false" customHeight="false" outlineLevel="0" collapsed="false">
      <c r="A228" s="8" t="s">
        <v>298</v>
      </c>
      <c r="B228" s="8" t="s">
        <v>64</v>
      </c>
      <c r="C228" s="9" t="s">
        <v>8</v>
      </c>
      <c r="D228" s="8" t="n">
        <f aca="false">COUNTIF(Itens!$C:$C,A228)</f>
        <v>1</v>
      </c>
      <c r="E228" s="8" t="n">
        <f aca="false">SUMIF(Itens!$C:$C,A228,Itens!$D:$D)</f>
        <v>24</v>
      </c>
      <c r="F228" s="8" t="n">
        <f aca="false">SUMIF(Itens!$C:$C,A228,Itens!$I:$I)</f>
        <v>0</v>
      </c>
      <c r="G228" s="8" t="n">
        <f aca="false">SUMIF(Itens!$C:$C,A228,Itens!$J:$J)</f>
        <v>24</v>
      </c>
      <c r="H228" s="8" t="n">
        <f aca="false">SUMIF(Itens!$C:$C,A228,Itens!$K:$K)</f>
        <v>0</v>
      </c>
      <c r="I228" s="8" t="s">
        <v>51</v>
      </c>
      <c r="J228" s="10" t="n">
        <v>0</v>
      </c>
    </row>
    <row r="229" customFormat="false" ht="15" hidden="false" customHeight="false" outlineLevel="0" collapsed="false">
      <c r="A229" s="8" t="s">
        <v>299</v>
      </c>
      <c r="B229" s="8" t="s">
        <v>50</v>
      </c>
      <c r="C229" s="9" t="s">
        <v>8</v>
      </c>
      <c r="D229" s="8" t="n">
        <f aca="false">COUNTIF(Itens!$C:$C,A229)</f>
        <v>2</v>
      </c>
      <c r="E229" s="8" t="n">
        <f aca="false">SUMIF(Itens!$C:$C,A229,Itens!$D:$D)</f>
        <v>58</v>
      </c>
      <c r="F229" s="8" t="n">
        <f aca="false">SUMIF(Itens!$C:$C,A229,Itens!$I:$I)</f>
        <v>0</v>
      </c>
      <c r="G229" s="8" t="n">
        <f aca="false">SUMIF(Itens!$C:$C,A229,Itens!$J:$J)</f>
        <v>58</v>
      </c>
      <c r="H229" s="8" t="n">
        <f aca="false">SUMIF(Itens!$C:$C,A229,Itens!$K:$K)</f>
        <v>0</v>
      </c>
      <c r="I229" s="8" t="s">
        <v>51</v>
      </c>
      <c r="J229" s="10" t="n">
        <v>0</v>
      </c>
    </row>
    <row r="230" customFormat="false" ht="15" hidden="false" customHeight="false" outlineLevel="0" collapsed="false">
      <c r="A230" s="8" t="s">
        <v>300</v>
      </c>
      <c r="B230" s="8" t="s">
        <v>50</v>
      </c>
      <c r="C230" s="9" t="s">
        <v>10</v>
      </c>
      <c r="D230" s="8" t="n">
        <f aca="false">COUNTIF(Itens!$C:$C,A230)</f>
        <v>2</v>
      </c>
      <c r="E230" s="8" t="n">
        <f aca="false">SUMIF(Itens!$C:$C,A230,Itens!$D:$D)</f>
        <v>60</v>
      </c>
      <c r="F230" s="8" t="n">
        <f aca="false">SUMIF(Itens!$C:$C,A230,Itens!$I:$I)</f>
        <v>0</v>
      </c>
      <c r="G230" s="8" t="n">
        <f aca="false">SUMIF(Itens!$C:$C,A230,Itens!$J:$J)</f>
        <v>0</v>
      </c>
      <c r="H230" s="8" t="n">
        <f aca="false">SUMIF(Itens!$C:$C,A230,Itens!$K:$K)</f>
        <v>60</v>
      </c>
      <c r="I230" s="8" t="s">
        <v>46</v>
      </c>
      <c r="J230" s="10" t="n">
        <v>0</v>
      </c>
    </row>
    <row r="231" customFormat="false" ht="15" hidden="false" customHeight="false" outlineLevel="0" collapsed="false">
      <c r="A231" s="8" t="s">
        <v>301</v>
      </c>
      <c r="B231" s="8" t="s">
        <v>50</v>
      </c>
      <c r="C231" s="9" t="s">
        <v>9</v>
      </c>
      <c r="D231" s="8" t="n">
        <f aca="false">COUNTIF(Itens!$C:$C,A231)</f>
        <v>2</v>
      </c>
      <c r="E231" s="8" t="n">
        <f aca="false">SUMIF(Itens!$C:$C,A231,Itens!$D:$D)</f>
        <v>62</v>
      </c>
      <c r="F231" s="8" t="n">
        <f aca="false">SUMIF(Itens!$C:$C,A231,Itens!$I:$I)</f>
        <v>23</v>
      </c>
      <c r="G231" s="8" t="n">
        <f aca="false">SUMIF(Itens!$C:$C,A231,Itens!$J:$J)</f>
        <v>3</v>
      </c>
      <c r="H231" s="8" t="n">
        <f aca="false">SUMIF(Itens!$C:$C,A231,Itens!$K:$K)</f>
        <v>36</v>
      </c>
      <c r="I231" s="8" t="s">
        <v>44</v>
      </c>
      <c r="J231" s="10" t="n">
        <v>0</v>
      </c>
    </row>
    <row r="232" customFormat="false" ht="15" hidden="false" customHeight="false" outlineLevel="0" collapsed="false">
      <c r="A232" s="8" t="s">
        <v>302</v>
      </c>
      <c r="B232" s="8" t="s">
        <v>50</v>
      </c>
      <c r="C232" s="9" t="s">
        <v>9</v>
      </c>
      <c r="D232" s="8" t="n">
        <f aca="false">COUNTIF(Itens!$C:$C,A232)</f>
        <v>2</v>
      </c>
      <c r="E232" s="8" t="n">
        <f aca="false">SUMIF(Itens!$C:$C,A232,Itens!$D:$D)</f>
        <v>58</v>
      </c>
      <c r="F232" s="8" t="n">
        <f aca="false">SUMIF(Itens!$C:$C,A232,Itens!$I:$I)</f>
        <v>0</v>
      </c>
      <c r="G232" s="8" t="n">
        <f aca="false">SUMIF(Itens!$C:$C,A232,Itens!$J:$J)</f>
        <v>24</v>
      </c>
      <c r="H232" s="8" t="n">
        <f aca="false">SUMIF(Itens!$C:$C,A232,Itens!$K:$K)</f>
        <v>34</v>
      </c>
      <c r="I232" s="8" t="s">
        <v>44</v>
      </c>
      <c r="J232" s="10" t="n">
        <v>0</v>
      </c>
    </row>
    <row r="233" customFormat="false" ht="15" hidden="false" customHeight="false" outlineLevel="0" collapsed="false">
      <c r="A233" s="8" t="s">
        <v>303</v>
      </c>
      <c r="B233" s="8" t="s">
        <v>50</v>
      </c>
      <c r="C233" s="9" t="s">
        <v>10</v>
      </c>
      <c r="D233" s="8" t="n">
        <f aca="false">COUNTIF(Itens!$C:$C,A233)</f>
        <v>2</v>
      </c>
      <c r="E233" s="8" t="n">
        <f aca="false">SUMIF(Itens!$C:$C,A233,Itens!$D:$D)</f>
        <v>66</v>
      </c>
      <c r="F233" s="8" t="n">
        <f aca="false">SUMIF(Itens!$C:$C,A233,Itens!$I:$I)</f>
        <v>0</v>
      </c>
      <c r="G233" s="8" t="n">
        <f aca="false">SUMIF(Itens!$C:$C,A233,Itens!$J:$J)</f>
        <v>0</v>
      </c>
      <c r="H233" s="8" t="n">
        <f aca="false">SUMIF(Itens!$C:$C,A233,Itens!$K:$K)</f>
        <v>66</v>
      </c>
      <c r="I233" s="8" t="s">
        <v>46</v>
      </c>
      <c r="J233" s="10" t="n">
        <v>0</v>
      </c>
    </row>
    <row r="234" customFormat="false" ht="15" hidden="false" customHeight="false" outlineLevel="0" collapsed="false">
      <c r="A234" s="8" t="s">
        <v>304</v>
      </c>
      <c r="B234" s="8" t="s">
        <v>305</v>
      </c>
      <c r="C234" s="9" t="s">
        <v>7</v>
      </c>
      <c r="D234" s="8" t="n">
        <f aca="false">COUNTIF(Itens!$C:$C,A234)</f>
        <v>1</v>
      </c>
      <c r="E234" s="8" t="n">
        <f aca="false">SUMIF(Itens!$C:$C,A234,Itens!$D:$D)</f>
        <v>38</v>
      </c>
      <c r="F234" s="8" t="n">
        <f aca="false">SUMIF(Itens!$C:$C,A234,Itens!$I:$I)</f>
        <v>38</v>
      </c>
      <c r="G234" s="8" t="n">
        <f aca="false">SUMIF(Itens!$C:$C,A234,Itens!$J:$J)</f>
        <v>0</v>
      </c>
      <c r="H234" s="8" t="n">
        <f aca="false">SUMIF(Itens!$C:$C,A234,Itens!$K:$K)</f>
        <v>0</v>
      </c>
      <c r="I234" s="8" t="s">
        <v>59</v>
      </c>
      <c r="J234" s="10" t="n">
        <v>0</v>
      </c>
    </row>
    <row r="235" customFormat="false" ht="15" hidden="false" customHeight="false" outlineLevel="0" collapsed="false">
      <c r="A235" s="8" t="s">
        <v>306</v>
      </c>
      <c r="B235" s="8" t="s">
        <v>305</v>
      </c>
      <c r="C235" s="9" t="s">
        <v>10</v>
      </c>
      <c r="D235" s="8" t="n">
        <f aca="false">COUNTIF(Itens!$C:$C,A235)</f>
        <v>1</v>
      </c>
      <c r="E235" s="8" t="n">
        <f aca="false">SUMIF(Itens!$C:$C,A235,Itens!$D:$D)</f>
        <v>38</v>
      </c>
      <c r="F235" s="8" t="n">
        <f aca="false">SUMIF(Itens!$C:$C,A235,Itens!$I:$I)</f>
        <v>0</v>
      </c>
      <c r="G235" s="8" t="n">
        <f aca="false">SUMIF(Itens!$C:$C,A235,Itens!$J:$J)</f>
        <v>0</v>
      </c>
      <c r="H235" s="8" t="n">
        <f aca="false">SUMIF(Itens!$C:$C,A235,Itens!$K:$K)</f>
        <v>38</v>
      </c>
      <c r="I235" s="8" t="s">
        <v>46</v>
      </c>
      <c r="J235" s="10" t="n">
        <v>0</v>
      </c>
    </row>
    <row r="236" customFormat="false" ht="15" hidden="false" customHeight="false" outlineLevel="0" collapsed="false">
      <c r="A236" s="8" t="s">
        <v>307</v>
      </c>
      <c r="B236" s="8" t="s">
        <v>64</v>
      </c>
      <c r="C236" s="9" t="s">
        <v>8</v>
      </c>
      <c r="D236" s="8" t="n">
        <f aca="false">COUNTIF(Itens!$C:$C,A236)</f>
        <v>1</v>
      </c>
      <c r="E236" s="8" t="n">
        <f aca="false">SUMIF(Itens!$C:$C,A236,Itens!$D:$D)</f>
        <v>28</v>
      </c>
      <c r="F236" s="8" t="n">
        <f aca="false">SUMIF(Itens!$C:$C,A236,Itens!$I:$I)</f>
        <v>0</v>
      </c>
      <c r="G236" s="8" t="n">
        <f aca="false">SUMIF(Itens!$C:$C,A236,Itens!$J:$J)</f>
        <v>28</v>
      </c>
      <c r="H236" s="8" t="n">
        <f aca="false">SUMIF(Itens!$C:$C,A236,Itens!$K:$K)</f>
        <v>0</v>
      </c>
      <c r="I236" s="8" t="s">
        <v>51</v>
      </c>
      <c r="J236" s="10" t="n">
        <v>0</v>
      </c>
    </row>
    <row r="237" customFormat="false" ht="15" hidden="false" customHeight="false" outlineLevel="0" collapsed="false">
      <c r="A237" s="8" t="s">
        <v>308</v>
      </c>
      <c r="B237" s="8" t="s">
        <v>64</v>
      </c>
      <c r="C237" s="9" t="s">
        <v>8</v>
      </c>
      <c r="D237" s="8" t="n">
        <f aca="false">COUNTIF(Itens!$C:$C,A237)</f>
        <v>1</v>
      </c>
      <c r="E237" s="8" t="n">
        <f aca="false">SUMIF(Itens!$C:$C,A237,Itens!$D:$D)</f>
        <v>28</v>
      </c>
      <c r="F237" s="8" t="n">
        <f aca="false">SUMIF(Itens!$C:$C,A237,Itens!$I:$I)</f>
        <v>0</v>
      </c>
      <c r="G237" s="8" t="n">
        <f aca="false">SUMIF(Itens!$C:$C,A237,Itens!$J:$J)</f>
        <v>28</v>
      </c>
      <c r="H237" s="8" t="n">
        <f aca="false">SUMIF(Itens!$C:$C,A237,Itens!$K:$K)</f>
        <v>0</v>
      </c>
      <c r="I237" s="8" t="s">
        <v>51</v>
      </c>
      <c r="J237" s="10" t="n">
        <v>0</v>
      </c>
    </row>
    <row r="238" customFormat="false" ht="15" hidden="false" customHeight="false" outlineLevel="0" collapsed="false">
      <c r="A238" s="8" t="s">
        <v>309</v>
      </c>
      <c r="B238" s="8" t="s">
        <v>50</v>
      </c>
      <c r="C238" s="9" t="s">
        <v>10</v>
      </c>
      <c r="D238" s="8" t="n">
        <f aca="false">COUNTIF(Itens!$C:$C,A238)</f>
        <v>2</v>
      </c>
      <c r="E238" s="8" t="n">
        <f aca="false">SUMIF(Itens!$C:$C,A238,Itens!$D:$D)</f>
        <v>37</v>
      </c>
      <c r="F238" s="8" t="n">
        <f aca="false">SUMIF(Itens!$C:$C,A238,Itens!$I:$I)</f>
        <v>0</v>
      </c>
      <c r="G238" s="8" t="n">
        <f aca="false">SUMIF(Itens!$C:$C,A238,Itens!$J:$J)</f>
        <v>0</v>
      </c>
      <c r="H238" s="8" t="n">
        <f aca="false">SUMIF(Itens!$C:$C,A238,Itens!$K:$K)</f>
        <v>37</v>
      </c>
      <c r="I238" s="8" t="s">
        <v>46</v>
      </c>
      <c r="J238" s="10" t="n">
        <v>0</v>
      </c>
    </row>
    <row r="239" customFormat="false" ht="15" hidden="false" customHeight="false" outlineLevel="0" collapsed="false">
      <c r="A239" s="8" t="s">
        <v>310</v>
      </c>
      <c r="B239" s="8" t="s">
        <v>305</v>
      </c>
      <c r="C239" s="9" t="s">
        <v>10</v>
      </c>
      <c r="D239" s="8" t="n">
        <f aca="false">COUNTIF(Itens!$C:$C,A239)</f>
        <v>1</v>
      </c>
      <c r="E239" s="8" t="n">
        <f aca="false">SUMIF(Itens!$C:$C,A239,Itens!$D:$D)</f>
        <v>9</v>
      </c>
      <c r="F239" s="8" t="n">
        <f aca="false">SUMIF(Itens!$C:$C,A239,Itens!$I:$I)</f>
        <v>0</v>
      </c>
      <c r="G239" s="8" t="n">
        <f aca="false">SUMIF(Itens!$C:$C,A239,Itens!$J:$J)</f>
        <v>0</v>
      </c>
      <c r="H239" s="8" t="n">
        <f aca="false">SUMIF(Itens!$C:$C,A239,Itens!$K:$K)</f>
        <v>9</v>
      </c>
      <c r="I239" s="8" t="s">
        <v>46</v>
      </c>
      <c r="J239" s="10" t="n">
        <v>0</v>
      </c>
    </row>
    <row r="240" customFormat="false" ht="15" hidden="false" customHeight="false" outlineLevel="0" collapsed="false">
      <c r="A240" s="8" t="s">
        <v>311</v>
      </c>
      <c r="B240" s="8" t="s">
        <v>50</v>
      </c>
      <c r="C240" s="9" t="s">
        <v>8</v>
      </c>
      <c r="D240" s="8" t="n">
        <f aca="false">COUNTIF(Itens!$C:$C,A240)</f>
        <v>2</v>
      </c>
      <c r="E240" s="8" t="n">
        <f aca="false">SUMIF(Itens!$C:$C,A240,Itens!$D:$D)</f>
        <v>37</v>
      </c>
      <c r="F240" s="8" t="n">
        <f aca="false">SUMIF(Itens!$C:$C,A240,Itens!$I:$I)</f>
        <v>0</v>
      </c>
      <c r="G240" s="8" t="n">
        <f aca="false">SUMIF(Itens!$C:$C,A240,Itens!$J:$J)</f>
        <v>37</v>
      </c>
      <c r="H240" s="8" t="n">
        <f aca="false">SUMIF(Itens!$C:$C,A240,Itens!$K:$K)</f>
        <v>0</v>
      </c>
      <c r="I240" s="8" t="s">
        <v>51</v>
      </c>
      <c r="J240" s="10" t="n">
        <v>0</v>
      </c>
    </row>
    <row r="241" customFormat="false" ht="15" hidden="false" customHeight="false" outlineLevel="0" collapsed="false">
      <c r="A241" s="8" t="s">
        <v>312</v>
      </c>
      <c r="B241" s="8" t="s">
        <v>50</v>
      </c>
      <c r="C241" s="9" t="s">
        <v>8</v>
      </c>
      <c r="D241" s="8" t="n">
        <f aca="false">COUNTIF(Itens!$C:$C,A241)</f>
        <v>2</v>
      </c>
      <c r="E241" s="8" t="n">
        <f aca="false">SUMIF(Itens!$C:$C,A241,Itens!$D:$D)</f>
        <v>37</v>
      </c>
      <c r="F241" s="8" t="n">
        <f aca="false">SUMIF(Itens!$C:$C,A241,Itens!$I:$I)</f>
        <v>0</v>
      </c>
      <c r="G241" s="8" t="n">
        <f aca="false">SUMIF(Itens!$C:$C,A241,Itens!$J:$J)</f>
        <v>37</v>
      </c>
      <c r="H241" s="8" t="n">
        <f aca="false">SUMIF(Itens!$C:$C,A241,Itens!$K:$K)</f>
        <v>0</v>
      </c>
      <c r="I241" s="8" t="s">
        <v>51</v>
      </c>
      <c r="J241" s="10" t="n">
        <v>0</v>
      </c>
    </row>
    <row r="242" customFormat="false" ht="15" hidden="false" customHeight="false" outlineLevel="0" collapsed="false">
      <c r="A242" s="8" t="s">
        <v>313</v>
      </c>
      <c r="B242" s="8" t="s">
        <v>305</v>
      </c>
      <c r="C242" s="9" t="s">
        <v>10</v>
      </c>
      <c r="D242" s="8" t="n">
        <f aca="false">COUNTIF(Itens!$C:$C,A242)</f>
        <v>1</v>
      </c>
      <c r="E242" s="8" t="n">
        <f aca="false">SUMIF(Itens!$C:$C,A242,Itens!$D:$D)</f>
        <v>9</v>
      </c>
      <c r="F242" s="8" t="n">
        <f aca="false">SUMIF(Itens!$C:$C,A242,Itens!$I:$I)</f>
        <v>0</v>
      </c>
      <c r="G242" s="8" t="n">
        <f aca="false">SUMIF(Itens!$C:$C,A242,Itens!$J:$J)</f>
        <v>0</v>
      </c>
      <c r="H242" s="8" t="n">
        <f aca="false">SUMIF(Itens!$C:$C,A242,Itens!$K:$K)</f>
        <v>9</v>
      </c>
      <c r="I242" s="8" t="s">
        <v>46</v>
      </c>
      <c r="J242" s="10" t="n">
        <v>0</v>
      </c>
    </row>
    <row r="243" customFormat="false" ht="15" hidden="false" customHeight="false" outlineLevel="0" collapsed="false">
      <c r="A243" s="8" t="s">
        <v>314</v>
      </c>
      <c r="B243" s="8" t="s">
        <v>64</v>
      </c>
      <c r="C243" s="9" t="s">
        <v>8</v>
      </c>
      <c r="D243" s="8" t="n">
        <f aca="false">COUNTIF(Itens!$C:$C,A243)</f>
        <v>1</v>
      </c>
      <c r="E243" s="8" t="n">
        <f aca="false">SUMIF(Itens!$C:$C,A243,Itens!$D:$D)</f>
        <v>28</v>
      </c>
      <c r="F243" s="8" t="n">
        <f aca="false">SUMIF(Itens!$C:$C,A243,Itens!$I:$I)</f>
        <v>0</v>
      </c>
      <c r="G243" s="8" t="n">
        <f aca="false">SUMIF(Itens!$C:$C,A243,Itens!$J:$J)</f>
        <v>28</v>
      </c>
      <c r="H243" s="8" t="n">
        <f aca="false">SUMIF(Itens!$C:$C,A243,Itens!$K:$K)</f>
        <v>0</v>
      </c>
      <c r="I243" s="8" t="s">
        <v>51</v>
      </c>
      <c r="J243" s="10" t="n">
        <v>0</v>
      </c>
    </row>
    <row r="244" customFormat="false" ht="15" hidden="false" customHeight="false" outlineLevel="0" collapsed="false">
      <c r="A244" s="8" t="s">
        <v>315</v>
      </c>
      <c r="B244" s="8" t="s">
        <v>305</v>
      </c>
      <c r="C244" s="9" t="s">
        <v>7</v>
      </c>
      <c r="D244" s="8" t="n">
        <f aca="false">COUNTIF(Itens!$C:$C,A244)</f>
        <v>1</v>
      </c>
      <c r="E244" s="8" t="n">
        <f aca="false">SUMIF(Itens!$C:$C,A244,Itens!$D:$D)</f>
        <v>9</v>
      </c>
      <c r="F244" s="8" t="n">
        <f aca="false">SUMIF(Itens!$C:$C,A244,Itens!$I:$I)</f>
        <v>9</v>
      </c>
      <c r="G244" s="8" t="n">
        <f aca="false">SUMIF(Itens!$C:$C,A244,Itens!$J:$J)</f>
        <v>0</v>
      </c>
      <c r="H244" s="8" t="n">
        <f aca="false">SUMIF(Itens!$C:$C,A244,Itens!$K:$K)</f>
        <v>0</v>
      </c>
      <c r="I244" s="8" t="s">
        <v>59</v>
      </c>
      <c r="J244" s="10" t="n">
        <v>0</v>
      </c>
    </row>
    <row r="245" customFormat="false" ht="15" hidden="false" customHeight="false" outlineLevel="0" collapsed="false">
      <c r="A245" s="8" t="s">
        <v>316</v>
      </c>
      <c r="B245" s="8" t="s">
        <v>50</v>
      </c>
      <c r="C245" s="9" t="s">
        <v>7</v>
      </c>
      <c r="D245" s="8" t="n">
        <f aca="false">COUNTIF(Itens!$C:$C,A245)</f>
        <v>2</v>
      </c>
      <c r="E245" s="8" t="n">
        <f aca="false">SUMIF(Itens!$C:$C,A245,Itens!$D:$D)</f>
        <v>37</v>
      </c>
      <c r="F245" s="8" t="n">
        <f aca="false">SUMIF(Itens!$C:$C,A245,Itens!$I:$I)</f>
        <v>37</v>
      </c>
      <c r="G245" s="8" t="n">
        <f aca="false">SUMIF(Itens!$C:$C,A245,Itens!$J:$J)</f>
        <v>0</v>
      </c>
      <c r="H245" s="8" t="n">
        <f aca="false">SUMIF(Itens!$C:$C,A245,Itens!$K:$K)</f>
        <v>0</v>
      </c>
      <c r="I245" s="8" t="s">
        <v>317</v>
      </c>
      <c r="J245" s="10" t="n">
        <v>22</v>
      </c>
    </row>
    <row r="246" customFormat="false" ht="15" hidden="false" customHeight="false" outlineLevel="0" collapsed="false">
      <c r="A246" s="8" t="s">
        <v>318</v>
      </c>
      <c r="B246" s="8" t="s">
        <v>305</v>
      </c>
      <c r="C246" s="9" t="s">
        <v>10</v>
      </c>
      <c r="D246" s="8" t="n">
        <f aca="false">COUNTIF(Itens!$C:$C,A246)</f>
        <v>1</v>
      </c>
      <c r="E246" s="8" t="n">
        <f aca="false">SUMIF(Itens!$C:$C,A246,Itens!$D:$D)</f>
        <v>9</v>
      </c>
      <c r="F246" s="8" t="n">
        <f aca="false">SUMIF(Itens!$C:$C,A246,Itens!$I:$I)</f>
        <v>0</v>
      </c>
      <c r="G246" s="8" t="n">
        <f aca="false">SUMIF(Itens!$C:$C,A246,Itens!$J:$J)</f>
        <v>0</v>
      </c>
      <c r="H246" s="8" t="n">
        <f aca="false">SUMIF(Itens!$C:$C,A246,Itens!$K:$K)</f>
        <v>9</v>
      </c>
      <c r="I246" s="8" t="s">
        <v>46</v>
      </c>
      <c r="J246" s="10" t="n">
        <v>0</v>
      </c>
    </row>
    <row r="247" customFormat="false" ht="15" hidden="false" customHeight="false" outlineLevel="0" collapsed="false">
      <c r="A247" s="8" t="s">
        <v>319</v>
      </c>
      <c r="B247" s="8" t="s">
        <v>50</v>
      </c>
      <c r="C247" s="9" t="s">
        <v>9</v>
      </c>
      <c r="D247" s="8" t="n">
        <f aca="false">COUNTIF(Itens!$C:$C,A247)</f>
        <v>2</v>
      </c>
      <c r="E247" s="8" t="n">
        <f aca="false">SUMIF(Itens!$C:$C,A247,Itens!$D:$D)</f>
        <v>51</v>
      </c>
      <c r="F247" s="8" t="n">
        <f aca="false">SUMIF(Itens!$C:$C,A247,Itens!$I:$I)</f>
        <v>3</v>
      </c>
      <c r="G247" s="8" t="n">
        <f aca="false">SUMIF(Itens!$C:$C,A247,Itens!$J:$J)</f>
        <v>25</v>
      </c>
      <c r="H247" s="8" t="n">
        <f aca="false">SUMIF(Itens!$C:$C,A247,Itens!$K:$K)</f>
        <v>23</v>
      </c>
      <c r="I247" s="8" t="s">
        <v>70</v>
      </c>
      <c r="J247" s="10" t="n">
        <v>0</v>
      </c>
    </row>
    <row r="248" customFormat="false" ht="15" hidden="false" customHeight="false" outlineLevel="0" collapsed="false">
      <c r="A248" s="8" t="s">
        <v>320</v>
      </c>
      <c r="B248" s="8" t="s">
        <v>50</v>
      </c>
      <c r="C248" s="9" t="s">
        <v>7</v>
      </c>
      <c r="D248" s="8" t="n">
        <f aca="false">COUNTIF(Itens!$C:$C,A248)</f>
        <v>2</v>
      </c>
      <c r="E248" s="8" t="n">
        <f aca="false">SUMIF(Itens!$C:$C,A248,Itens!$D:$D)</f>
        <v>47</v>
      </c>
      <c r="F248" s="8" t="n">
        <f aca="false">SUMIF(Itens!$C:$C,A248,Itens!$I:$I)</f>
        <v>47</v>
      </c>
      <c r="G248" s="8" t="n">
        <f aca="false">SUMIF(Itens!$C:$C,A248,Itens!$J:$J)</f>
        <v>0</v>
      </c>
      <c r="H248" s="8" t="n">
        <f aca="false">SUMIF(Itens!$C:$C,A248,Itens!$K:$K)</f>
        <v>0</v>
      </c>
      <c r="I248" s="8" t="s">
        <v>59</v>
      </c>
      <c r="J248" s="10" t="n">
        <v>0</v>
      </c>
    </row>
    <row r="249" customFormat="false" ht="15" hidden="false" customHeight="false" outlineLevel="0" collapsed="false">
      <c r="A249" s="8" t="s">
        <v>321</v>
      </c>
      <c r="B249" s="8" t="s">
        <v>305</v>
      </c>
      <c r="C249" s="9" t="s">
        <v>10</v>
      </c>
      <c r="D249" s="8" t="n">
        <f aca="false">COUNTIF(Itens!$C:$C,A249)</f>
        <v>1</v>
      </c>
      <c r="E249" s="8" t="n">
        <f aca="false">SUMIF(Itens!$C:$C,A249,Itens!$D:$D)</f>
        <v>11</v>
      </c>
      <c r="F249" s="8" t="n">
        <f aca="false">SUMIF(Itens!$C:$C,A249,Itens!$I:$I)</f>
        <v>0</v>
      </c>
      <c r="G249" s="8" t="n">
        <f aca="false">SUMIF(Itens!$C:$C,A249,Itens!$J:$J)</f>
        <v>0</v>
      </c>
      <c r="H249" s="8" t="n">
        <f aca="false">SUMIF(Itens!$C:$C,A249,Itens!$K:$K)</f>
        <v>11</v>
      </c>
      <c r="I249" s="8" t="s">
        <v>46</v>
      </c>
      <c r="J249" s="10" t="n">
        <v>0</v>
      </c>
    </row>
    <row r="250" customFormat="false" ht="15" hidden="false" customHeight="false" outlineLevel="0" collapsed="false">
      <c r="A250" s="8" t="s">
        <v>322</v>
      </c>
      <c r="B250" s="8" t="s">
        <v>305</v>
      </c>
      <c r="C250" s="9" t="s">
        <v>10</v>
      </c>
      <c r="D250" s="8" t="n">
        <f aca="false">COUNTIF(Itens!$C:$C,A250)</f>
        <v>3</v>
      </c>
      <c r="E250" s="8" t="n">
        <f aca="false">SUMIF(Itens!$C:$C,A250,Itens!$D:$D)</f>
        <v>14</v>
      </c>
      <c r="F250" s="8" t="n">
        <f aca="false">SUMIF(Itens!$C:$C,A250,Itens!$I:$I)</f>
        <v>0</v>
      </c>
      <c r="G250" s="8" t="n">
        <f aca="false">SUMIF(Itens!$C:$C,A250,Itens!$J:$J)</f>
        <v>0</v>
      </c>
      <c r="H250" s="8" t="n">
        <f aca="false">SUMIF(Itens!$C:$C,A250,Itens!$K:$K)</f>
        <v>14</v>
      </c>
      <c r="I250" s="8" t="s">
        <v>46</v>
      </c>
      <c r="J250" s="10" t="n">
        <v>0</v>
      </c>
    </row>
    <row r="251" customFormat="false" ht="15" hidden="false" customHeight="false" outlineLevel="0" collapsed="false">
      <c r="A251" s="8" t="s">
        <v>323</v>
      </c>
      <c r="B251" s="8" t="s">
        <v>305</v>
      </c>
      <c r="C251" s="9" t="s">
        <v>10</v>
      </c>
      <c r="D251" s="8" t="n">
        <f aca="false">COUNTIF(Itens!$C:$C,A251)</f>
        <v>1</v>
      </c>
      <c r="E251" s="8" t="n">
        <f aca="false">SUMIF(Itens!$C:$C,A251,Itens!$D:$D)</f>
        <v>11</v>
      </c>
      <c r="F251" s="8" t="n">
        <f aca="false">SUMIF(Itens!$C:$C,A251,Itens!$I:$I)</f>
        <v>0</v>
      </c>
      <c r="G251" s="8" t="n">
        <f aca="false">SUMIF(Itens!$C:$C,A251,Itens!$J:$J)</f>
        <v>0</v>
      </c>
      <c r="H251" s="8" t="n">
        <f aca="false">SUMIF(Itens!$C:$C,A251,Itens!$K:$K)</f>
        <v>11</v>
      </c>
      <c r="I251" s="8" t="s">
        <v>46</v>
      </c>
      <c r="J251" s="10" t="n">
        <v>0</v>
      </c>
    </row>
    <row r="252" customFormat="false" ht="15" hidden="false" customHeight="false" outlineLevel="0" collapsed="false">
      <c r="A252" s="8" t="s">
        <v>324</v>
      </c>
      <c r="B252" s="8" t="s">
        <v>50</v>
      </c>
      <c r="C252" s="9" t="s">
        <v>7</v>
      </c>
      <c r="D252" s="8" t="n">
        <f aca="false">COUNTIF(Itens!$C:$C,A252)</f>
        <v>2</v>
      </c>
      <c r="E252" s="8" t="n">
        <f aca="false">SUMIF(Itens!$C:$C,A252,Itens!$D:$D)</f>
        <v>35</v>
      </c>
      <c r="F252" s="8" t="n">
        <f aca="false">SUMIF(Itens!$C:$C,A252,Itens!$I:$I)</f>
        <v>35</v>
      </c>
      <c r="G252" s="8" t="n">
        <f aca="false">SUMIF(Itens!$C:$C,A252,Itens!$J:$J)</f>
        <v>0</v>
      </c>
      <c r="H252" s="8" t="n">
        <f aca="false">SUMIF(Itens!$C:$C,A252,Itens!$K:$K)</f>
        <v>0</v>
      </c>
      <c r="I252" s="8" t="s">
        <v>325</v>
      </c>
      <c r="J252" s="10" t="n">
        <v>2</v>
      </c>
    </row>
    <row r="253" customFormat="false" ht="15" hidden="false" customHeight="false" outlineLevel="0" collapsed="false">
      <c r="A253" s="8" t="s">
        <v>326</v>
      </c>
      <c r="B253" s="8" t="s">
        <v>50</v>
      </c>
      <c r="C253" s="9" t="s">
        <v>7</v>
      </c>
      <c r="D253" s="8" t="n">
        <f aca="false">COUNTIF(Itens!$C:$C,A253)</f>
        <v>3</v>
      </c>
      <c r="E253" s="8" t="n">
        <f aca="false">SUMIF(Itens!$C:$C,A253,Itens!$D:$D)</f>
        <v>39</v>
      </c>
      <c r="F253" s="8" t="n">
        <f aca="false">SUMIF(Itens!$C:$C,A253,Itens!$I:$I)</f>
        <v>39</v>
      </c>
      <c r="G253" s="8" t="n">
        <f aca="false">SUMIF(Itens!$C:$C,A253,Itens!$J:$J)</f>
        <v>0</v>
      </c>
      <c r="H253" s="8" t="n">
        <f aca="false">SUMIF(Itens!$C:$C,A253,Itens!$K:$K)</f>
        <v>0</v>
      </c>
      <c r="I253" s="8" t="s">
        <v>327</v>
      </c>
      <c r="J253" s="10" t="n">
        <v>11</v>
      </c>
    </row>
    <row r="254" customFormat="false" ht="15" hidden="false" customHeight="false" outlineLevel="0" collapsed="false">
      <c r="A254" s="8" t="s">
        <v>328</v>
      </c>
      <c r="B254" s="8" t="s">
        <v>50</v>
      </c>
      <c r="C254" s="9" t="s">
        <v>8</v>
      </c>
      <c r="D254" s="8" t="n">
        <f aca="false">COUNTIF(Itens!$C:$C,A254)</f>
        <v>5</v>
      </c>
      <c r="E254" s="8" t="n">
        <f aca="false">SUMIF(Itens!$C:$C,A254,Itens!$D:$D)</f>
        <v>64</v>
      </c>
      <c r="F254" s="8" t="n">
        <f aca="false">SUMIF(Itens!$C:$C,A254,Itens!$I:$I)</f>
        <v>0</v>
      </c>
      <c r="G254" s="8" t="n">
        <f aca="false">SUMIF(Itens!$C:$C,A254,Itens!$J:$J)</f>
        <v>64</v>
      </c>
      <c r="H254" s="8" t="n">
        <f aca="false">SUMIF(Itens!$C:$C,A254,Itens!$K:$K)</f>
        <v>0</v>
      </c>
      <c r="I254" s="8" t="s">
        <v>51</v>
      </c>
      <c r="J254" s="10" t="n">
        <v>0</v>
      </c>
    </row>
    <row r="255" customFormat="false" ht="15" hidden="false" customHeight="false" outlineLevel="0" collapsed="false">
      <c r="A255" s="8" t="s">
        <v>329</v>
      </c>
      <c r="B255" s="8" t="s">
        <v>50</v>
      </c>
      <c r="C255" s="9" t="s">
        <v>8</v>
      </c>
      <c r="D255" s="8" t="n">
        <f aca="false">COUNTIF(Itens!$C:$C,A255)</f>
        <v>4</v>
      </c>
      <c r="E255" s="8" t="n">
        <f aca="false">SUMIF(Itens!$C:$C,A255,Itens!$D:$D)</f>
        <v>67</v>
      </c>
      <c r="F255" s="8" t="n">
        <f aca="false">SUMIF(Itens!$C:$C,A255,Itens!$I:$I)</f>
        <v>0</v>
      </c>
      <c r="G255" s="8" t="n">
        <f aca="false">SUMIF(Itens!$C:$C,A255,Itens!$J:$J)</f>
        <v>67</v>
      </c>
      <c r="H255" s="8" t="n">
        <f aca="false">SUMIF(Itens!$C:$C,A255,Itens!$K:$K)</f>
        <v>0</v>
      </c>
      <c r="I255" s="8" t="s">
        <v>51</v>
      </c>
      <c r="J255" s="10" t="n">
        <v>0</v>
      </c>
    </row>
    <row r="256" customFormat="false" ht="15" hidden="false" customHeight="false" outlineLevel="0" collapsed="false">
      <c r="A256" s="8" t="s">
        <v>330</v>
      </c>
      <c r="B256" s="8" t="s">
        <v>50</v>
      </c>
      <c r="C256" s="9" t="s">
        <v>9</v>
      </c>
      <c r="D256" s="8" t="n">
        <f aca="false">COUNTIF(Itens!$C:$C,A256)</f>
        <v>5</v>
      </c>
      <c r="E256" s="8" t="n">
        <f aca="false">SUMIF(Itens!$C:$C,A256,Itens!$D:$D)</f>
        <v>37</v>
      </c>
      <c r="F256" s="8" t="n">
        <f aca="false">SUMIF(Itens!$C:$C,A256,Itens!$I:$I)</f>
        <v>12</v>
      </c>
      <c r="G256" s="8" t="n">
        <f aca="false">SUMIF(Itens!$C:$C,A256,Itens!$J:$J)</f>
        <v>2</v>
      </c>
      <c r="H256" s="8" t="n">
        <f aca="false">SUMIF(Itens!$C:$C,A256,Itens!$K:$K)</f>
        <v>23</v>
      </c>
      <c r="I256" s="8" t="s">
        <v>44</v>
      </c>
      <c r="J256" s="10" t="n">
        <v>0</v>
      </c>
    </row>
    <row r="257" customFormat="false" ht="15" hidden="false" customHeight="false" outlineLevel="0" collapsed="false">
      <c r="A257" s="8" t="s">
        <v>331</v>
      </c>
      <c r="B257" s="8" t="s">
        <v>50</v>
      </c>
      <c r="C257" s="9" t="s">
        <v>9</v>
      </c>
      <c r="D257" s="8" t="n">
        <f aca="false">COUNTIF(Itens!$C:$C,A257)</f>
        <v>2</v>
      </c>
      <c r="E257" s="8" t="n">
        <f aca="false">SUMIF(Itens!$C:$C,A257,Itens!$D:$D)</f>
        <v>56</v>
      </c>
      <c r="F257" s="8" t="n">
        <f aca="false">SUMIF(Itens!$C:$C,A257,Itens!$I:$I)</f>
        <v>26</v>
      </c>
      <c r="G257" s="8" t="n">
        <f aca="false">SUMIF(Itens!$C:$C,A257,Itens!$J:$J)</f>
        <v>30</v>
      </c>
      <c r="H257" s="8" t="n">
        <f aca="false">SUMIF(Itens!$C:$C,A257,Itens!$K:$K)</f>
        <v>0</v>
      </c>
      <c r="I257" s="8" t="s">
        <v>70</v>
      </c>
      <c r="J257" s="10" t="n">
        <v>0</v>
      </c>
    </row>
    <row r="258" customFormat="false" ht="15" hidden="false" customHeight="false" outlineLevel="0" collapsed="false">
      <c r="A258" s="8" t="s">
        <v>332</v>
      </c>
      <c r="B258" s="8" t="s">
        <v>305</v>
      </c>
      <c r="C258" s="9" t="s">
        <v>10</v>
      </c>
      <c r="D258" s="8" t="n">
        <f aca="false">COUNTIF(Itens!$C:$C,A258)</f>
        <v>1</v>
      </c>
      <c r="E258" s="8" t="n">
        <f aca="false">SUMIF(Itens!$C:$C,A258,Itens!$D:$D)</f>
        <v>28</v>
      </c>
      <c r="F258" s="8" t="n">
        <f aca="false">SUMIF(Itens!$C:$C,A258,Itens!$I:$I)</f>
        <v>0</v>
      </c>
      <c r="G258" s="8" t="n">
        <f aca="false">SUMIF(Itens!$C:$C,A258,Itens!$J:$J)</f>
        <v>0</v>
      </c>
      <c r="H258" s="8" t="n">
        <f aca="false">SUMIF(Itens!$C:$C,A258,Itens!$K:$K)</f>
        <v>28</v>
      </c>
      <c r="I258" s="8" t="s">
        <v>46</v>
      </c>
      <c r="J258" s="10" t="n">
        <v>0</v>
      </c>
    </row>
    <row r="259" customFormat="false" ht="15" hidden="false" customHeight="false" outlineLevel="0" collapsed="false">
      <c r="A259" s="8" t="s">
        <v>333</v>
      </c>
      <c r="B259" s="8" t="s">
        <v>305</v>
      </c>
      <c r="C259" s="9" t="s">
        <v>7</v>
      </c>
      <c r="D259" s="8" t="n">
        <f aca="false">COUNTIF(Itens!$C:$C,A259)</f>
        <v>1</v>
      </c>
      <c r="E259" s="8" t="n">
        <f aca="false">SUMIF(Itens!$C:$C,A259,Itens!$D:$D)</f>
        <v>28</v>
      </c>
      <c r="F259" s="8" t="n">
        <f aca="false">SUMIF(Itens!$C:$C,A259,Itens!$I:$I)</f>
        <v>28</v>
      </c>
      <c r="G259" s="8" t="n">
        <f aca="false">SUMIF(Itens!$C:$C,A259,Itens!$J:$J)</f>
        <v>0</v>
      </c>
      <c r="H259" s="8" t="n">
        <f aca="false">SUMIF(Itens!$C:$C,A259,Itens!$K:$K)</f>
        <v>0</v>
      </c>
      <c r="I259" s="8" t="s">
        <v>59</v>
      </c>
      <c r="J259" s="10" t="n">
        <v>0</v>
      </c>
    </row>
    <row r="260" customFormat="false" ht="15" hidden="false" customHeight="false" outlineLevel="0" collapsed="false">
      <c r="A260" s="8" t="s">
        <v>334</v>
      </c>
      <c r="B260" s="8" t="s">
        <v>305</v>
      </c>
      <c r="C260" s="9" t="s">
        <v>10</v>
      </c>
      <c r="D260" s="8" t="n">
        <f aca="false">COUNTIF(Itens!$C:$C,A260)</f>
        <v>1</v>
      </c>
      <c r="E260" s="8" t="n">
        <f aca="false">SUMIF(Itens!$C:$C,A260,Itens!$D:$D)</f>
        <v>28</v>
      </c>
      <c r="F260" s="8" t="n">
        <f aca="false">SUMIF(Itens!$C:$C,A260,Itens!$I:$I)</f>
        <v>0</v>
      </c>
      <c r="G260" s="8" t="n">
        <f aca="false">SUMIF(Itens!$C:$C,A260,Itens!$J:$J)</f>
        <v>0</v>
      </c>
      <c r="H260" s="8" t="n">
        <f aca="false">SUMIF(Itens!$C:$C,A260,Itens!$K:$K)</f>
        <v>28</v>
      </c>
      <c r="I260" s="8" t="s">
        <v>46</v>
      </c>
      <c r="J260" s="10" t="n">
        <v>0</v>
      </c>
    </row>
    <row r="261" customFormat="false" ht="15" hidden="false" customHeight="false" outlineLevel="0" collapsed="false">
      <c r="A261" s="8" t="s">
        <v>335</v>
      </c>
      <c r="B261" s="8" t="s">
        <v>305</v>
      </c>
      <c r="C261" s="9" t="s">
        <v>10</v>
      </c>
      <c r="D261" s="8" t="n">
        <f aca="false">COUNTIF(Itens!$C:$C,A261)</f>
        <v>1</v>
      </c>
      <c r="E261" s="8" t="n">
        <f aca="false">SUMIF(Itens!$C:$C,A261,Itens!$D:$D)</f>
        <v>28</v>
      </c>
      <c r="F261" s="8" t="n">
        <f aca="false">SUMIF(Itens!$C:$C,A261,Itens!$I:$I)</f>
        <v>0</v>
      </c>
      <c r="G261" s="8" t="n">
        <f aca="false">SUMIF(Itens!$C:$C,A261,Itens!$J:$J)</f>
        <v>0</v>
      </c>
      <c r="H261" s="8" t="n">
        <f aca="false">SUMIF(Itens!$C:$C,A261,Itens!$K:$K)</f>
        <v>28</v>
      </c>
      <c r="I261" s="8" t="s">
        <v>46</v>
      </c>
      <c r="J261" s="10" t="n">
        <v>0</v>
      </c>
    </row>
    <row r="262" customFormat="false" ht="15" hidden="false" customHeight="false" outlineLevel="0" collapsed="false">
      <c r="A262" s="8" t="s">
        <v>336</v>
      </c>
      <c r="B262" s="8" t="s">
        <v>64</v>
      </c>
      <c r="C262" s="9" t="s">
        <v>7</v>
      </c>
      <c r="D262" s="8" t="n">
        <f aca="false">COUNTIF(Itens!$C:$C,A262)</f>
        <v>1</v>
      </c>
      <c r="E262" s="8" t="n">
        <f aca="false">SUMIF(Itens!$C:$C,A262,Itens!$D:$D)</f>
        <v>20</v>
      </c>
      <c r="F262" s="8" t="n">
        <f aca="false">SUMIF(Itens!$C:$C,A262,Itens!$I:$I)</f>
        <v>20</v>
      </c>
      <c r="G262" s="8" t="n">
        <f aca="false">SUMIF(Itens!$C:$C,A262,Itens!$J:$J)</f>
        <v>0</v>
      </c>
      <c r="H262" s="8" t="n">
        <f aca="false">SUMIF(Itens!$C:$C,A262,Itens!$K:$K)</f>
        <v>0</v>
      </c>
      <c r="I262" s="8" t="s">
        <v>59</v>
      </c>
      <c r="J262" s="10" t="n">
        <v>0</v>
      </c>
    </row>
    <row r="263" customFormat="false" ht="15" hidden="false" customHeight="false" outlineLevel="0" collapsed="false">
      <c r="A263" s="8" t="s">
        <v>337</v>
      </c>
      <c r="B263" s="8" t="s">
        <v>64</v>
      </c>
      <c r="C263" s="9" t="s">
        <v>10</v>
      </c>
      <c r="D263" s="8" t="n">
        <f aca="false">COUNTIF(Itens!$C:$C,A263)</f>
        <v>1</v>
      </c>
      <c r="E263" s="8" t="n">
        <f aca="false">SUMIF(Itens!$C:$C,A263,Itens!$D:$D)</f>
        <v>44</v>
      </c>
      <c r="F263" s="8" t="n">
        <f aca="false">SUMIF(Itens!$C:$C,A263,Itens!$I:$I)</f>
        <v>0</v>
      </c>
      <c r="G263" s="8" t="n">
        <f aca="false">SUMIF(Itens!$C:$C,A263,Itens!$J:$J)</f>
        <v>0</v>
      </c>
      <c r="H263" s="8" t="n">
        <f aca="false">SUMIF(Itens!$C:$C,A263,Itens!$K:$K)</f>
        <v>44</v>
      </c>
      <c r="I263" s="8" t="s">
        <v>46</v>
      </c>
      <c r="J263" s="10" t="n">
        <v>0</v>
      </c>
    </row>
    <row r="264" customFormat="false" ht="15" hidden="false" customHeight="false" outlineLevel="0" collapsed="false">
      <c r="A264" s="8" t="s">
        <v>338</v>
      </c>
      <c r="B264" s="8" t="s">
        <v>64</v>
      </c>
      <c r="C264" s="9" t="s">
        <v>8</v>
      </c>
      <c r="D264" s="8" t="n">
        <f aca="false">COUNTIF(Itens!$C:$C,A264)</f>
        <v>3</v>
      </c>
      <c r="E264" s="8" t="n">
        <f aca="false">SUMIF(Itens!$C:$C,A264,Itens!$D:$D)</f>
        <v>25</v>
      </c>
      <c r="F264" s="8" t="n">
        <f aca="false">SUMIF(Itens!$C:$C,A264,Itens!$I:$I)</f>
        <v>0</v>
      </c>
      <c r="G264" s="8" t="n">
        <f aca="false">SUMIF(Itens!$C:$C,A264,Itens!$J:$J)</f>
        <v>25</v>
      </c>
      <c r="H264" s="8" t="n">
        <f aca="false">SUMIF(Itens!$C:$C,A264,Itens!$K:$K)</f>
        <v>0</v>
      </c>
      <c r="I264" s="8" t="s">
        <v>51</v>
      </c>
      <c r="J264" s="10" t="n">
        <v>0</v>
      </c>
    </row>
    <row r="265" customFormat="false" ht="15" hidden="false" customHeight="false" outlineLevel="0" collapsed="false">
      <c r="A265" s="8" t="s">
        <v>339</v>
      </c>
      <c r="B265" s="8" t="s">
        <v>64</v>
      </c>
      <c r="C265" s="9" t="s">
        <v>7</v>
      </c>
      <c r="D265" s="8" t="n">
        <f aca="false">COUNTIF(Itens!$C:$C,A265)</f>
        <v>1</v>
      </c>
      <c r="E265" s="8" t="n">
        <f aca="false">SUMIF(Itens!$C:$C,A265,Itens!$D:$D)</f>
        <v>56</v>
      </c>
      <c r="F265" s="8" t="n">
        <f aca="false">SUMIF(Itens!$C:$C,A265,Itens!$I:$I)</f>
        <v>56</v>
      </c>
      <c r="G265" s="8" t="n">
        <f aca="false">SUMIF(Itens!$C:$C,A265,Itens!$J:$J)</f>
        <v>0</v>
      </c>
      <c r="H265" s="8" t="n">
        <f aca="false">SUMIF(Itens!$C:$C,A265,Itens!$K:$K)</f>
        <v>0</v>
      </c>
      <c r="I265" s="8" t="s">
        <v>59</v>
      </c>
      <c r="J265" s="10" t="n">
        <v>0</v>
      </c>
    </row>
    <row r="266" customFormat="false" ht="15" hidden="false" customHeight="false" outlineLevel="0" collapsed="false">
      <c r="A266" s="8" t="s">
        <v>340</v>
      </c>
      <c r="B266" s="8" t="s">
        <v>64</v>
      </c>
      <c r="C266" s="9" t="s">
        <v>7</v>
      </c>
      <c r="D266" s="8" t="n">
        <f aca="false">COUNTIF(Itens!$C:$C,A266)</f>
        <v>1</v>
      </c>
      <c r="E266" s="8" t="n">
        <f aca="false">SUMIF(Itens!$C:$C,A266,Itens!$D:$D)</f>
        <v>56</v>
      </c>
      <c r="F266" s="8" t="n">
        <f aca="false">SUMIF(Itens!$C:$C,A266,Itens!$I:$I)</f>
        <v>56</v>
      </c>
      <c r="G266" s="8" t="n">
        <f aca="false">SUMIF(Itens!$C:$C,A266,Itens!$J:$J)</f>
        <v>0</v>
      </c>
      <c r="H266" s="8" t="n">
        <f aca="false">SUMIF(Itens!$C:$C,A266,Itens!$K:$K)</f>
        <v>0</v>
      </c>
      <c r="I266" s="8" t="s">
        <v>59</v>
      </c>
      <c r="J266" s="10" t="n">
        <v>0</v>
      </c>
    </row>
    <row r="267" customFormat="false" ht="15" hidden="false" customHeight="false" outlineLevel="0" collapsed="false">
      <c r="A267" s="8" t="s">
        <v>341</v>
      </c>
      <c r="B267" s="8" t="s">
        <v>64</v>
      </c>
      <c r="C267" s="9" t="s">
        <v>7</v>
      </c>
      <c r="D267" s="8" t="n">
        <f aca="false">COUNTIF(Itens!$C:$C,A267)</f>
        <v>1</v>
      </c>
      <c r="E267" s="8" t="n">
        <f aca="false">SUMIF(Itens!$C:$C,A267,Itens!$D:$D)</f>
        <v>9</v>
      </c>
      <c r="F267" s="8" t="n">
        <f aca="false">SUMIF(Itens!$C:$C,A267,Itens!$I:$I)</f>
        <v>9</v>
      </c>
      <c r="G267" s="8" t="n">
        <f aca="false">SUMIF(Itens!$C:$C,A267,Itens!$J:$J)</f>
        <v>0</v>
      </c>
      <c r="H267" s="8" t="n">
        <f aca="false">SUMIF(Itens!$C:$C,A267,Itens!$K:$K)</f>
        <v>0</v>
      </c>
      <c r="I267" s="8" t="s">
        <v>59</v>
      </c>
      <c r="J267" s="10" t="n">
        <v>0</v>
      </c>
    </row>
    <row r="268" customFormat="false" ht="15" hidden="false" customHeight="false" outlineLevel="0" collapsed="false">
      <c r="A268" s="8" t="s">
        <v>342</v>
      </c>
      <c r="B268" s="8" t="s">
        <v>64</v>
      </c>
      <c r="C268" s="9" t="s">
        <v>10</v>
      </c>
      <c r="D268" s="8" t="n">
        <f aca="false">COUNTIF(Itens!$C:$C,A268)</f>
        <v>1</v>
      </c>
      <c r="E268" s="8" t="n">
        <f aca="false">SUMIF(Itens!$C:$C,A268,Itens!$D:$D)</f>
        <v>9</v>
      </c>
      <c r="F268" s="8" t="n">
        <f aca="false">SUMIF(Itens!$C:$C,A268,Itens!$I:$I)</f>
        <v>0</v>
      </c>
      <c r="G268" s="8" t="n">
        <f aca="false">SUMIF(Itens!$C:$C,A268,Itens!$J:$J)</f>
        <v>0</v>
      </c>
      <c r="H268" s="8" t="n">
        <f aca="false">SUMIF(Itens!$C:$C,A268,Itens!$K:$K)</f>
        <v>9</v>
      </c>
      <c r="I268" s="8" t="s">
        <v>46</v>
      </c>
      <c r="J268" s="10" t="n">
        <v>0</v>
      </c>
    </row>
    <row r="269" customFormat="false" ht="15" hidden="false" customHeight="false" outlineLevel="0" collapsed="false">
      <c r="A269" s="8" t="s">
        <v>343</v>
      </c>
      <c r="B269" s="8" t="s">
        <v>64</v>
      </c>
      <c r="C269" s="9" t="s">
        <v>10</v>
      </c>
      <c r="D269" s="8" t="n">
        <f aca="false">COUNTIF(Itens!$C:$C,A269)</f>
        <v>1</v>
      </c>
      <c r="E269" s="8" t="n">
        <f aca="false">SUMIF(Itens!$C:$C,A269,Itens!$D:$D)</f>
        <v>9</v>
      </c>
      <c r="F269" s="8" t="n">
        <f aca="false">SUMIF(Itens!$C:$C,A269,Itens!$I:$I)</f>
        <v>0</v>
      </c>
      <c r="G269" s="8" t="n">
        <f aca="false">SUMIF(Itens!$C:$C,A269,Itens!$J:$J)</f>
        <v>0</v>
      </c>
      <c r="H269" s="8" t="n">
        <f aca="false">SUMIF(Itens!$C:$C,A269,Itens!$K:$K)</f>
        <v>9</v>
      </c>
      <c r="I269" s="8" t="s">
        <v>46</v>
      </c>
      <c r="J269" s="10" t="n">
        <v>0</v>
      </c>
    </row>
    <row r="270" customFormat="false" ht="15" hidden="false" customHeight="false" outlineLevel="0" collapsed="false">
      <c r="A270" s="8" t="s">
        <v>344</v>
      </c>
      <c r="B270" s="8" t="s">
        <v>64</v>
      </c>
      <c r="C270" s="9" t="s">
        <v>8</v>
      </c>
      <c r="D270" s="8" t="n">
        <f aca="false">COUNTIF(Itens!$C:$C,A270)</f>
        <v>1</v>
      </c>
      <c r="E270" s="8" t="n">
        <f aca="false">SUMIF(Itens!$C:$C,A270,Itens!$D:$D)</f>
        <v>9</v>
      </c>
      <c r="F270" s="8" t="n">
        <f aca="false">SUMIF(Itens!$C:$C,A270,Itens!$I:$I)</f>
        <v>0</v>
      </c>
      <c r="G270" s="8" t="n">
        <f aca="false">SUMIF(Itens!$C:$C,A270,Itens!$J:$J)</f>
        <v>9</v>
      </c>
      <c r="H270" s="8" t="n">
        <f aca="false">SUMIF(Itens!$C:$C,A270,Itens!$K:$K)</f>
        <v>0</v>
      </c>
      <c r="I270" s="8" t="s">
        <v>51</v>
      </c>
      <c r="J270" s="10" t="n">
        <v>0</v>
      </c>
    </row>
    <row r="271" customFormat="false" ht="15" hidden="false" customHeight="false" outlineLevel="0" collapsed="false">
      <c r="A271" s="8" t="s">
        <v>345</v>
      </c>
      <c r="B271" s="8" t="s">
        <v>64</v>
      </c>
      <c r="C271" s="9" t="s">
        <v>7</v>
      </c>
      <c r="D271" s="8" t="n">
        <f aca="false">COUNTIF(Itens!$C:$C,A271)</f>
        <v>1</v>
      </c>
      <c r="E271" s="8" t="n">
        <f aca="false">SUMIF(Itens!$C:$C,A271,Itens!$D:$D)</f>
        <v>9</v>
      </c>
      <c r="F271" s="8" t="n">
        <f aca="false">SUMIF(Itens!$C:$C,A271,Itens!$I:$I)</f>
        <v>9</v>
      </c>
      <c r="G271" s="8" t="n">
        <f aca="false">SUMIF(Itens!$C:$C,A271,Itens!$J:$J)</f>
        <v>0</v>
      </c>
      <c r="H271" s="8" t="n">
        <f aca="false">SUMIF(Itens!$C:$C,A271,Itens!$K:$K)</f>
        <v>0</v>
      </c>
      <c r="I271" s="8" t="s">
        <v>59</v>
      </c>
      <c r="J271" s="10" t="n">
        <v>0</v>
      </c>
    </row>
    <row r="272" customFormat="false" ht="15" hidden="false" customHeight="false" outlineLevel="0" collapsed="false">
      <c r="A272" s="8" t="s">
        <v>346</v>
      </c>
      <c r="B272" s="8" t="s">
        <v>64</v>
      </c>
      <c r="C272" s="9" t="s">
        <v>7</v>
      </c>
      <c r="D272" s="8" t="n">
        <f aca="false">COUNTIF(Itens!$C:$C,A272)</f>
        <v>1</v>
      </c>
      <c r="E272" s="8" t="n">
        <f aca="false">SUMIF(Itens!$C:$C,A272,Itens!$D:$D)</f>
        <v>9</v>
      </c>
      <c r="F272" s="8" t="n">
        <f aca="false">SUMIF(Itens!$C:$C,A272,Itens!$I:$I)</f>
        <v>9</v>
      </c>
      <c r="G272" s="8" t="n">
        <f aca="false">SUMIF(Itens!$C:$C,A272,Itens!$J:$J)</f>
        <v>0</v>
      </c>
      <c r="H272" s="8" t="n">
        <f aca="false">SUMIF(Itens!$C:$C,A272,Itens!$K:$K)</f>
        <v>0</v>
      </c>
      <c r="I272" s="8" t="s">
        <v>102</v>
      </c>
      <c r="J272" s="10" t="n">
        <v>7</v>
      </c>
    </row>
    <row r="273" customFormat="false" ht="15" hidden="false" customHeight="false" outlineLevel="0" collapsed="false">
      <c r="A273" s="8" t="s">
        <v>347</v>
      </c>
      <c r="B273" s="8" t="s">
        <v>64</v>
      </c>
      <c r="C273" s="9" t="s">
        <v>10</v>
      </c>
      <c r="D273" s="8" t="n">
        <f aca="false">COUNTIF(Itens!$C:$C,A273)</f>
        <v>1</v>
      </c>
      <c r="E273" s="8" t="n">
        <f aca="false">SUMIF(Itens!$C:$C,A273,Itens!$D:$D)</f>
        <v>20</v>
      </c>
      <c r="F273" s="8" t="n">
        <f aca="false">SUMIF(Itens!$C:$C,A273,Itens!$I:$I)</f>
        <v>0</v>
      </c>
      <c r="G273" s="8" t="n">
        <f aca="false">SUMIF(Itens!$C:$C,A273,Itens!$J:$J)</f>
        <v>0</v>
      </c>
      <c r="H273" s="8" t="n">
        <f aca="false">SUMIF(Itens!$C:$C,A273,Itens!$K:$K)</f>
        <v>20</v>
      </c>
      <c r="I273" s="8" t="s">
        <v>46</v>
      </c>
      <c r="J273" s="10" t="n">
        <v>0</v>
      </c>
    </row>
    <row r="274" customFormat="false" ht="15" hidden="false" customHeight="false" outlineLevel="0" collapsed="false">
      <c r="A274" s="8" t="s">
        <v>348</v>
      </c>
      <c r="B274" s="8" t="s">
        <v>64</v>
      </c>
      <c r="C274" s="9" t="s">
        <v>8</v>
      </c>
      <c r="D274" s="8" t="n">
        <f aca="false">COUNTIF(Itens!$C:$C,A274)</f>
        <v>1</v>
      </c>
      <c r="E274" s="8" t="n">
        <f aca="false">SUMIF(Itens!$C:$C,A274,Itens!$D:$D)</f>
        <v>20</v>
      </c>
      <c r="F274" s="8" t="n">
        <f aca="false">SUMIF(Itens!$C:$C,A274,Itens!$I:$I)</f>
        <v>0</v>
      </c>
      <c r="G274" s="8" t="n">
        <f aca="false">SUMIF(Itens!$C:$C,A274,Itens!$J:$J)</f>
        <v>20</v>
      </c>
      <c r="H274" s="8" t="n">
        <f aca="false">SUMIF(Itens!$C:$C,A274,Itens!$K:$K)</f>
        <v>0</v>
      </c>
      <c r="I274" s="8" t="s">
        <v>51</v>
      </c>
      <c r="J274" s="10" t="n">
        <v>0</v>
      </c>
    </row>
    <row r="275" customFormat="false" ht="15" hidden="false" customHeight="false" outlineLevel="0" collapsed="false">
      <c r="A275" s="8" t="s">
        <v>349</v>
      </c>
      <c r="B275" s="8" t="s">
        <v>64</v>
      </c>
      <c r="C275" s="9" t="s">
        <v>7</v>
      </c>
      <c r="D275" s="8" t="n">
        <f aca="false">COUNTIF(Itens!$C:$C,A275)</f>
        <v>1</v>
      </c>
      <c r="E275" s="8" t="n">
        <f aca="false">SUMIF(Itens!$C:$C,A275,Itens!$D:$D)</f>
        <v>20</v>
      </c>
      <c r="F275" s="8" t="n">
        <f aca="false">SUMIF(Itens!$C:$C,A275,Itens!$I:$I)</f>
        <v>20</v>
      </c>
      <c r="G275" s="8" t="n">
        <f aca="false">SUMIF(Itens!$C:$C,A275,Itens!$J:$J)</f>
        <v>0</v>
      </c>
      <c r="H275" s="8" t="n">
        <f aca="false">SUMIF(Itens!$C:$C,A275,Itens!$K:$K)</f>
        <v>0</v>
      </c>
      <c r="I275" s="8" t="s">
        <v>59</v>
      </c>
      <c r="J275" s="10" t="n">
        <v>0</v>
      </c>
    </row>
    <row r="276" customFormat="false" ht="15" hidden="false" customHeight="false" outlineLevel="0" collapsed="false">
      <c r="A276" s="8" t="s">
        <v>350</v>
      </c>
      <c r="B276" s="8" t="s">
        <v>64</v>
      </c>
      <c r="C276" s="9" t="s">
        <v>9</v>
      </c>
      <c r="D276" s="8" t="n">
        <f aca="false">COUNTIF(Itens!$C:$C,A276)</f>
        <v>3</v>
      </c>
      <c r="E276" s="8" t="n">
        <f aca="false">SUMIF(Itens!$C:$C,A276,Itens!$D:$D)</f>
        <v>85</v>
      </c>
      <c r="F276" s="8" t="n">
        <f aca="false">SUMIF(Itens!$C:$C,A276,Itens!$I:$I)</f>
        <v>23</v>
      </c>
      <c r="G276" s="8" t="n">
        <f aca="false">SUMIF(Itens!$C:$C,A276,Itens!$J:$J)</f>
        <v>24</v>
      </c>
      <c r="H276" s="8" t="n">
        <f aca="false">SUMIF(Itens!$C:$C,A276,Itens!$K:$K)</f>
        <v>38</v>
      </c>
      <c r="I276" s="8" t="s">
        <v>70</v>
      </c>
      <c r="J276" s="10" t="n">
        <v>0</v>
      </c>
    </row>
    <row r="277" customFormat="false" ht="15" hidden="false" customHeight="false" outlineLevel="0" collapsed="false">
      <c r="A277" s="8" t="s">
        <v>351</v>
      </c>
      <c r="B277" s="8" t="s">
        <v>64</v>
      </c>
      <c r="C277" s="9" t="s">
        <v>8</v>
      </c>
      <c r="D277" s="8" t="n">
        <f aca="false">COUNTIF(Itens!$C:$C,A277)</f>
        <v>2</v>
      </c>
      <c r="E277" s="8" t="n">
        <f aca="false">SUMIF(Itens!$C:$C,A277,Itens!$D:$D)</f>
        <v>15</v>
      </c>
      <c r="F277" s="8" t="n">
        <f aca="false">SUMIF(Itens!$C:$C,A277,Itens!$I:$I)</f>
        <v>0</v>
      </c>
      <c r="G277" s="8" t="n">
        <f aca="false">SUMIF(Itens!$C:$C,A277,Itens!$J:$J)</f>
        <v>15</v>
      </c>
      <c r="H277" s="8" t="n">
        <f aca="false">SUMIF(Itens!$C:$C,A277,Itens!$K:$K)</f>
        <v>0</v>
      </c>
      <c r="I277" s="8" t="s">
        <v>51</v>
      </c>
      <c r="J277" s="10" t="n">
        <v>0</v>
      </c>
    </row>
    <row r="278" customFormat="false" ht="15" hidden="false" customHeight="false" outlineLevel="0" collapsed="false">
      <c r="A278" s="8" t="s">
        <v>352</v>
      </c>
      <c r="B278" s="8" t="s">
        <v>64</v>
      </c>
      <c r="C278" s="9" t="s">
        <v>7</v>
      </c>
      <c r="D278" s="8" t="n">
        <f aca="false">COUNTIF(Itens!$C:$C,A278)</f>
        <v>1</v>
      </c>
      <c r="E278" s="8" t="n">
        <f aca="false">SUMIF(Itens!$C:$C,A278,Itens!$D:$D)</f>
        <v>24</v>
      </c>
      <c r="F278" s="8" t="n">
        <f aca="false">SUMIF(Itens!$C:$C,A278,Itens!$I:$I)</f>
        <v>24</v>
      </c>
      <c r="G278" s="8" t="n">
        <f aca="false">SUMIF(Itens!$C:$C,A278,Itens!$J:$J)</f>
        <v>0</v>
      </c>
      <c r="H278" s="8" t="n">
        <f aca="false">SUMIF(Itens!$C:$C,A278,Itens!$K:$K)</f>
        <v>0</v>
      </c>
      <c r="I278" s="8" t="s">
        <v>59</v>
      </c>
      <c r="J278" s="10" t="n">
        <v>0</v>
      </c>
    </row>
    <row r="279" customFormat="false" ht="15" hidden="false" customHeight="false" outlineLevel="0" collapsed="false">
      <c r="A279" s="8" t="s">
        <v>353</v>
      </c>
      <c r="B279" s="8" t="s">
        <v>64</v>
      </c>
      <c r="C279" s="9" t="s">
        <v>10</v>
      </c>
      <c r="D279" s="8" t="n">
        <f aca="false">COUNTIF(Itens!$C:$C,A279)</f>
        <v>1</v>
      </c>
      <c r="E279" s="8" t="n">
        <f aca="false">SUMIF(Itens!$C:$C,A279,Itens!$D:$D)</f>
        <v>24</v>
      </c>
      <c r="F279" s="8" t="n">
        <f aca="false">SUMIF(Itens!$C:$C,A279,Itens!$I:$I)</f>
        <v>0</v>
      </c>
      <c r="G279" s="8" t="n">
        <f aca="false">SUMIF(Itens!$C:$C,A279,Itens!$J:$J)</f>
        <v>0</v>
      </c>
      <c r="H279" s="8" t="n">
        <f aca="false">SUMIF(Itens!$C:$C,A279,Itens!$K:$K)</f>
        <v>24</v>
      </c>
      <c r="I279" s="8" t="s">
        <v>46</v>
      </c>
      <c r="J279" s="10" t="n">
        <v>0</v>
      </c>
    </row>
    <row r="280" customFormat="false" ht="15" hidden="false" customHeight="false" outlineLevel="0" collapsed="false">
      <c r="A280" s="8" t="s">
        <v>354</v>
      </c>
      <c r="B280" s="8" t="s">
        <v>64</v>
      </c>
      <c r="C280" s="9" t="s">
        <v>7</v>
      </c>
      <c r="D280" s="8" t="n">
        <f aca="false">COUNTIF(Itens!$C:$C,A280)</f>
        <v>1</v>
      </c>
      <c r="E280" s="8" t="n">
        <f aca="false">SUMIF(Itens!$C:$C,A280,Itens!$D:$D)</f>
        <v>24</v>
      </c>
      <c r="F280" s="8" t="n">
        <f aca="false">SUMIF(Itens!$C:$C,A280,Itens!$I:$I)</f>
        <v>24</v>
      </c>
      <c r="G280" s="8" t="n">
        <f aca="false">SUMIF(Itens!$C:$C,A280,Itens!$J:$J)</f>
        <v>0</v>
      </c>
      <c r="H280" s="8" t="n">
        <f aca="false">SUMIF(Itens!$C:$C,A280,Itens!$K:$K)</f>
        <v>0</v>
      </c>
      <c r="I280" s="8" t="s">
        <v>59</v>
      </c>
      <c r="J280" s="10" t="n">
        <v>0</v>
      </c>
    </row>
    <row r="281" customFormat="false" ht="15" hidden="false" customHeight="false" outlineLevel="0" collapsed="false">
      <c r="A281" s="8" t="s">
        <v>355</v>
      </c>
      <c r="B281" s="8" t="s">
        <v>64</v>
      </c>
      <c r="C281" s="9" t="s">
        <v>10</v>
      </c>
      <c r="D281" s="8" t="n">
        <f aca="false">COUNTIF(Itens!$C:$C,A281)</f>
        <v>1</v>
      </c>
      <c r="E281" s="8" t="n">
        <f aca="false">SUMIF(Itens!$C:$C,A281,Itens!$D:$D)</f>
        <v>24</v>
      </c>
      <c r="F281" s="8" t="n">
        <f aca="false">SUMIF(Itens!$C:$C,A281,Itens!$I:$I)</f>
        <v>0</v>
      </c>
      <c r="G281" s="8" t="n">
        <f aca="false">SUMIF(Itens!$C:$C,A281,Itens!$J:$J)</f>
        <v>0</v>
      </c>
      <c r="H281" s="8" t="n">
        <f aca="false">SUMIF(Itens!$C:$C,A281,Itens!$K:$K)</f>
        <v>24</v>
      </c>
      <c r="I281" s="8" t="s">
        <v>46</v>
      </c>
      <c r="J281" s="10" t="n">
        <v>0</v>
      </c>
    </row>
    <row r="282" customFormat="false" ht="15" hidden="false" customHeight="false" outlineLevel="0" collapsed="false">
      <c r="A282" s="8" t="s">
        <v>356</v>
      </c>
      <c r="B282" s="8" t="s">
        <v>64</v>
      </c>
      <c r="C282" s="9" t="s">
        <v>7</v>
      </c>
      <c r="D282" s="8" t="n">
        <f aca="false">COUNTIF(Itens!$C:$C,A282)</f>
        <v>1</v>
      </c>
      <c r="E282" s="8" t="n">
        <f aca="false">SUMIF(Itens!$C:$C,A282,Itens!$D:$D)</f>
        <v>24</v>
      </c>
      <c r="F282" s="8" t="n">
        <f aca="false">SUMIF(Itens!$C:$C,A282,Itens!$I:$I)</f>
        <v>24</v>
      </c>
      <c r="G282" s="8" t="n">
        <f aca="false">SUMIF(Itens!$C:$C,A282,Itens!$J:$J)</f>
        <v>0</v>
      </c>
      <c r="H282" s="8" t="n">
        <f aca="false">SUMIF(Itens!$C:$C,A282,Itens!$K:$K)</f>
        <v>0</v>
      </c>
      <c r="I282" s="8" t="s">
        <v>325</v>
      </c>
      <c r="J282" s="10" t="n">
        <v>2</v>
      </c>
    </row>
    <row r="283" customFormat="false" ht="15" hidden="false" customHeight="false" outlineLevel="0" collapsed="false">
      <c r="A283" s="8" t="s">
        <v>357</v>
      </c>
      <c r="B283" s="8" t="s">
        <v>64</v>
      </c>
      <c r="C283" s="9" t="s">
        <v>10</v>
      </c>
      <c r="D283" s="8" t="n">
        <f aca="false">COUNTIF(Itens!$C:$C,A283)</f>
        <v>1</v>
      </c>
      <c r="E283" s="8" t="n">
        <f aca="false">SUMIF(Itens!$C:$C,A283,Itens!$D:$D)</f>
        <v>24</v>
      </c>
      <c r="F283" s="8" t="n">
        <f aca="false">SUMIF(Itens!$C:$C,A283,Itens!$I:$I)</f>
        <v>0</v>
      </c>
      <c r="G283" s="8" t="n">
        <f aca="false">SUMIF(Itens!$C:$C,A283,Itens!$J:$J)</f>
        <v>0</v>
      </c>
      <c r="H283" s="8" t="n">
        <f aca="false">SUMIF(Itens!$C:$C,A283,Itens!$K:$K)</f>
        <v>24</v>
      </c>
      <c r="I283" s="8" t="s">
        <v>46</v>
      </c>
      <c r="J283" s="10" t="n">
        <v>0</v>
      </c>
    </row>
    <row r="284" customFormat="false" ht="15" hidden="false" customHeight="false" outlineLevel="0" collapsed="false">
      <c r="A284" s="8" t="s">
        <v>358</v>
      </c>
      <c r="B284" s="8" t="s">
        <v>64</v>
      </c>
      <c r="C284" s="9" t="s">
        <v>10</v>
      </c>
      <c r="D284" s="8" t="n">
        <f aca="false">COUNTIF(Itens!$C:$C,A284)</f>
        <v>1</v>
      </c>
      <c r="E284" s="8" t="n">
        <f aca="false">SUMIF(Itens!$C:$C,A284,Itens!$D:$D)</f>
        <v>24</v>
      </c>
      <c r="F284" s="8" t="n">
        <f aca="false">SUMIF(Itens!$C:$C,A284,Itens!$I:$I)</f>
        <v>0</v>
      </c>
      <c r="G284" s="8" t="n">
        <f aca="false">SUMIF(Itens!$C:$C,A284,Itens!$J:$J)</f>
        <v>0</v>
      </c>
      <c r="H284" s="8" t="n">
        <f aca="false">SUMIF(Itens!$C:$C,A284,Itens!$K:$K)</f>
        <v>24</v>
      </c>
      <c r="I284" s="8" t="s">
        <v>46</v>
      </c>
      <c r="J284" s="10" t="n">
        <v>0</v>
      </c>
    </row>
    <row r="285" customFormat="false" ht="15" hidden="false" customHeight="false" outlineLevel="0" collapsed="false">
      <c r="A285" s="8" t="s">
        <v>359</v>
      </c>
      <c r="B285" s="8" t="s">
        <v>64</v>
      </c>
      <c r="C285" s="9" t="s">
        <v>10</v>
      </c>
      <c r="D285" s="8" t="n">
        <f aca="false">COUNTIF(Itens!$C:$C,A285)</f>
        <v>1</v>
      </c>
      <c r="E285" s="8" t="n">
        <f aca="false">SUMIF(Itens!$C:$C,A285,Itens!$D:$D)</f>
        <v>24</v>
      </c>
      <c r="F285" s="8" t="n">
        <f aca="false">SUMIF(Itens!$C:$C,A285,Itens!$I:$I)</f>
        <v>0</v>
      </c>
      <c r="G285" s="8" t="n">
        <f aca="false">SUMIF(Itens!$C:$C,A285,Itens!$J:$J)</f>
        <v>0</v>
      </c>
      <c r="H285" s="8" t="n">
        <f aca="false">SUMIF(Itens!$C:$C,A285,Itens!$K:$K)</f>
        <v>24</v>
      </c>
      <c r="I285" s="8" t="s">
        <v>46</v>
      </c>
      <c r="J285" s="10" t="n">
        <v>0</v>
      </c>
    </row>
    <row r="286" customFormat="false" ht="15" hidden="false" customHeight="false" outlineLevel="0" collapsed="false">
      <c r="A286" s="8" t="s">
        <v>360</v>
      </c>
      <c r="B286" s="8" t="s">
        <v>64</v>
      </c>
      <c r="C286" s="9" t="s">
        <v>10</v>
      </c>
      <c r="D286" s="8" t="n">
        <f aca="false">COUNTIF(Itens!$C:$C,A286)</f>
        <v>1</v>
      </c>
      <c r="E286" s="8" t="n">
        <f aca="false">SUMIF(Itens!$C:$C,A286,Itens!$D:$D)</f>
        <v>18</v>
      </c>
      <c r="F286" s="8" t="n">
        <f aca="false">SUMIF(Itens!$C:$C,A286,Itens!$I:$I)</f>
        <v>0</v>
      </c>
      <c r="G286" s="8" t="n">
        <f aca="false">SUMIF(Itens!$C:$C,A286,Itens!$J:$J)</f>
        <v>0</v>
      </c>
      <c r="H286" s="8" t="n">
        <f aca="false">SUMIF(Itens!$C:$C,A286,Itens!$K:$K)</f>
        <v>18</v>
      </c>
      <c r="I286" s="8" t="s">
        <v>46</v>
      </c>
      <c r="J286" s="10" t="n">
        <v>0</v>
      </c>
    </row>
    <row r="287" customFormat="false" ht="15" hidden="false" customHeight="false" outlineLevel="0" collapsed="false">
      <c r="A287" s="8" t="s">
        <v>361</v>
      </c>
      <c r="B287" s="8" t="s">
        <v>64</v>
      </c>
      <c r="C287" s="9" t="s">
        <v>10</v>
      </c>
      <c r="D287" s="8" t="n">
        <f aca="false">COUNTIF(Itens!$C:$C,A287)</f>
        <v>1</v>
      </c>
      <c r="E287" s="8" t="n">
        <f aca="false">SUMIF(Itens!$C:$C,A287,Itens!$D:$D)</f>
        <v>18</v>
      </c>
      <c r="F287" s="8" t="n">
        <f aca="false">SUMIF(Itens!$C:$C,A287,Itens!$I:$I)</f>
        <v>0</v>
      </c>
      <c r="G287" s="8" t="n">
        <f aca="false">SUMIF(Itens!$C:$C,A287,Itens!$J:$J)</f>
        <v>0</v>
      </c>
      <c r="H287" s="8" t="n">
        <f aca="false">SUMIF(Itens!$C:$C,A287,Itens!$K:$K)</f>
        <v>18</v>
      </c>
      <c r="I287" s="8" t="s">
        <v>46</v>
      </c>
      <c r="J287" s="10" t="n">
        <v>0</v>
      </c>
    </row>
    <row r="288" customFormat="false" ht="15" hidden="false" customHeight="false" outlineLevel="0" collapsed="false">
      <c r="A288" s="8" t="s">
        <v>362</v>
      </c>
      <c r="B288" s="8" t="s">
        <v>64</v>
      </c>
      <c r="C288" s="9" t="s">
        <v>10</v>
      </c>
      <c r="D288" s="8" t="n">
        <f aca="false">COUNTIF(Itens!$C:$C,A288)</f>
        <v>1</v>
      </c>
      <c r="E288" s="8" t="n">
        <f aca="false">SUMIF(Itens!$C:$C,A288,Itens!$D:$D)</f>
        <v>24</v>
      </c>
      <c r="F288" s="8" t="n">
        <f aca="false">SUMIF(Itens!$C:$C,A288,Itens!$I:$I)</f>
        <v>0</v>
      </c>
      <c r="G288" s="8" t="n">
        <f aca="false">SUMIF(Itens!$C:$C,A288,Itens!$J:$J)</f>
        <v>0</v>
      </c>
      <c r="H288" s="8" t="n">
        <f aca="false">SUMIF(Itens!$C:$C,A288,Itens!$K:$K)</f>
        <v>24</v>
      </c>
      <c r="I288" s="8" t="s">
        <v>46</v>
      </c>
      <c r="J288" s="10" t="n">
        <v>0</v>
      </c>
    </row>
    <row r="289" customFormat="false" ht="15" hidden="false" customHeight="false" outlineLevel="0" collapsed="false">
      <c r="A289" s="8" t="s">
        <v>363</v>
      </c>
      <c r="B289" s="8" t="s">
        <v>64</v>
      </c>
      <c r="C289" s="9" t="s">
        <v>10</v>
      </c>
      <c r="D289" s="8" t="n">
        <f aca="false">COUNTIF(Itens!$C:$C,A289)</f>
        <v>1</v>
      </c>
      <c r="E289" s="8" t="n">
        <f aca="false">SUMIF(Itens!$C:$C,A289,Itens!$D:$D)</f>
        <v>24</v>
      </c>
      <c r="F289" s="8" t="n">
        <f aca="false">SUMIF(Itens!$C:$C,A289,Itens!$I:$I)</f>
        <v>0</v>
      </c>
      <c r="G289" s="8" t="n">
        <f aca="false">SUMIF(Itens!$C:$C,A289,Itens!$J:$J)</f>
        <v>0</v>
      </c>
      <c r="H289" s="8" t="n">
        <f aca="false">SUMIF(Itens!$C:$C,A289,Itens!$K:$K)</f>
        <v>24</v>
      </c>
      <c r="I289" s="8" t="s">
        <v>46</v>
      </c>
      <c r="J289" s="10" t="n">
        <v>0</v>
      </c>
    </row>
    <row r="290" customFormat="false" ht="15" hidden="false" customHeight="false" outlineLevel="0" collapsed="false">
      <c r="A290" s="8" t="s">
        <v>364</v>
      </c>
      <c r="B290" s="8" t="s">
        <v>64</v>
      </c>
      <c r="C290" s="9" t="s">
        <v>7</v>
      </c>
      <c r="D290" s="8" t="n">
        <f aca="false">COUNTIF(Itens!$C:$C,A290)</f>
        <v>1</v>
      </c>
      <c r="E290" s="8" t="n">
        <f aca="false">SUMIF(Itens!$C:$C,A290,Itens!$D:$D)</f>
        <v>18</v>
      </c>
      <c r="F290" s="8" t="n">
        <f aca="false">SUMIF(Itens!$C:$C,A290,Itens!$I:$I)</f>
        <v>18</v>
      </c>
      <c r="G290" s="8" t="n">
        <f aca="false">SUMIF(Itens!$C:$C,A290,Itens!$J:$J)</f>
        <v>0</v>
      </c>
      <c r="H290" s="8" t="n">
        <f aca="false">SUMIF(Itens!$C:$C,A290,Itens!$K:$K)</f>
        <v>0</v>
      </c>
      <c r="I290" s="8" t="s">
        <v>59</v>
      </c>
      <c r="J290" s="10" t="n">
        <v>0</v>
      </c>
    </row>
    <row r="291" customFormat="false" ht="15" hidden="false" customHeight="false" outlineLevel="0" collapsed="false">
      <c r="A291" s="8" t="s">
        <v>365</v>
      </c>
      <c r="B291" s="8" t="s">
        <v>64</v>
      </c>
      <c r="C291" s="9" t="s">
        <v>10</v>
      </c>
      <c r="D291" s="8" t="n">
        <f aca="false">COUNTIF(Itens!$C:$C,A291)</f>
        <v>1</v>
      </c>
      <c r="E291" s="8" t="n">
        <f aca="false">SUMIF(Itens!$C:$C,A291,Itens!$D:$D)</f>
        <v>24</v>
      </c>
      <c r="F291" s="8" t="n">
        <f aca="false">SUMIF(Itens!$C:$C,A291,Itens!$I:$I)</f>
        <v>0</v>
      </c>
      <c r="G291" s="8" t="n">
        <f aca="false">SUMIF(Itens!$C:$C,A291,Itens!$J:$J)</f>
        <v>0</v>
      </c>
      <c r="H291" s="8" t="n">
        <f aca="false">SUMIF(Itens!$C:$C,A291,Itens!$K:$K)</f>
        <v>24</v>
      </c>
      <c r="I291" s="8" t="s">
        <v>46</v>
      </c>
      <c r="J291" s="10" t="n">
        <v>0</v>
      </c>
    </row>
    <row r="292" customFormat="false" ht="15" hidden="false" customHeight="false" outlineLevel="0" collapsed="false">
      <c r="A292" s="8" t="s">
        <v>366</v>
      </c>
      <c r="B292" s="8" t="s">
        <v>64</v>
      </c>
      <c r="C292" s="9" t="s">
        <v>10</v>
      </c>
      <c r="D292" s="8" t="n">
        <f aca="false">COUNTIF(Itens!$C:$C,A292)</f>
        <v>1</v>
      </c>
      <c r="E292" s="8" t="n">
        <f aca="false">SUMIF(Itens!$C:$C,A292,Itens!$D:$D)</f>
        <v>18</v>
      </c>
      <c r="F292" s="8" t="n">
        <f aca="false">SUMIF(Itens!$C:$C,A292,Itens!$I:$I)</f>
        <v>0</v>
      </c>
      <c r="G292" s="8" t="n">
        <f aca="false">SUMIF(Itens!$C:$C,A292,Itens!$J:$J)</f>
        <v>0</v>
      </c>
      <c r="H292" s="8" t="n">
        <f aca="false">SUMIF(Itens!$C:$C,A292,Itens!$K:$K)</f>
        <v>18</v>
      </c>
      <c r="I292" s="8" t="s">
        <v>46</v>
      </c>
      <c r="J292" s="10" t="n">
        <v>0</v>
      </c>
    </row>
    <row r="293" customFormat="false" ht="15" hidden="false" customHeight="false" outlineLevel="0" collapsed="false">
      <c r="A293" s="8" t="s">
        <v>367</v>
      </c>
      <c r="B293" s="8" t="s">
        <v>64</v>
      </c>
      <c r="C293" s="9" t="s">
        <v>10</v>
      </c>
      <c r="D293" s="8" t="n">
        <f aca="false">COUNTIF(Itens!$C:$C,A293)</f>
        <v>1</v>
      </c>
      <c r="E293" s="8" t="n">
        <f aca="false">SUMIF(Itens!$C:$C,A293,Itens!$D:$D)</f>
        <v>24</v>
      </c>
      <c r="F293" s="8" t="n">
        <f aca="false">SUMIF(Itens!$C:$C,A293,Itens!$I:$I)</f>
        <v>0</v>
      </c>
      <c r="G293" s="8" t="n">
        <f aca="false">SUMIF(Itens!$C:$C,A293,Itens!$J:$J)</f>
        <v>0</v>
      </c>
      <c r="H293" s="8" t="n">
        <f aca="false">SUMIF(Itens!$C:$C,A293,Itens!$K:$K)</f>
        <v>24</v>
      </c>
      <c r="I293" s="8" t="s">
        <v>46</v>
      </c>
      <c r="J293" s="10" t="n">
        <v>0</v>
      </c>
    </row>
    <row r="294" customFormat="false" ht="15" hidden="false" customHeight="false" outlineLevel="0" collapsed="false">
      <c r="A294" s="8" t="s">
        <v>368</v>
      </c>
      <c r="B294" s="8" t="s">
        <v>64</v>
      </c>
      <c r="C294" s="9" t="s">
        <v>8</v>
      </c>
      <c r="D294" s="8" t="n">
        <f aca="false">COUNTIF(Itens!$C:$C,A294)</f>
        <v>1</v>
      </c>
      <c r="E294" s="8" t="n">
        <f aca="false">SUMIF(Itens!$C:$C,A294,Itens!$D:$D)</f>
        <v>18</v>
      </c>
      <c r="F294" s="8" t="n">
        <f aca="false">SUMIF(Itens!$C:$C,A294,Itens!$I:$I)</f>
        <v>0</v>
      </c>
      <c r="G294" s="8" t="n">
        <f aca="false">SUMIF(Itens!$C:$C,A294,Itens!$J:$J)</f>
        <v>18</v>
      </c>
      <c r="H294" s="8" t="n">
        <f aca="false">SUMIF(Itens!$C:$C,A294,Itens!$K:$K)</f>
        <v>0</v>
      </c>
      <c r="I294" s="8" t="s">
        <v>51</v>
      </c>
      <c r="J294" s="10" t="n">
        <v>0</v>
      </c>
    </row>
    <row r="295" customFormat="false" ht="15" hidden="false" customHeight="false" outlineLevel="0" collapsed="false">
      <c r="A295" s="8" t="s">
        <v>369</v>
      </c>
      <c r="B295" s="8" t="s">
        <v>64</v>
      </c>
      <c r="C295" s="9" t="s">
        <v>8</v>
      </c>
      <c r="D295" s="8" t="n">
        <f aca="false">COUNTIF(Itens!$C:$C,A295)</f>
        <v>1</v>
      </c>
      <c r="E295" s="8" t="n">
        <f aca="false">SUMIF(Itens!$C:$C,A295,Itens!$D:$D)</f>
        <v>24</v>
      </c>
      <c r="F295" s="8" t="n">
        <f aca="false">SUMIF(Itens!$C:$C,A295,Itens!$I:$I)</f>
        <v>0</v>
      </c>
      <c r="G295" s="8" t="n">
        <f aca="false">SUMIF(Itens!$C:$C,A295,Itens!$J:$J)</f>
        <v>24</v>
      </c>
      <c r="H295" s="8" t="n">
        <f aca="false">SUMIF(Itens!$C:$C,A295,Itens!$K:$K)</f>
        <v>0</v>
      </c>
      <c r="I295" s="8" t="s">
        <v>51</v>
      </c>
      <c r="J295" s="10" t="n">
        <v>0</v>
      </c>
    </row>
    <row r="296" customFormat="false" ht="15" hidden="false" customHeight="false" outlineLevel="0" collapsed="false">
      <c r="A296" s="8" t="s">
        <v>370</v>
      </c>
      <c r="B296" s="8" t="s">
        <v>64</v>
      </c>
      <c r="C296" s="9" t="s">
        <v>8</v>
      </c>
      <c r="D296" s="8" t="n">
        <f aca="false">COUNTIF(Itens!$C:$C,A296)</f>
        <v>1</v>
      </c>
      <c r="E296" s="8" t="n">
        <f aca="false">SUMIF(Itens!$C:$C,A296,Itens!$D:$D)</f>
        <v>24</v>
      </c>
      <c r="F296" s="8" t="n">
        <f aca="false">SUMIF(Itens!$C:$C,A296,Itens!$I:$I)</f>
        <v>0</v>
      </c>
      <c r="G296" s="8" t="n">
        <f aca="false">SUMIF(Itens!$C:$C,A296,Itens!$J:$J)</f>
        <v>24</v>
      </c>
      <c r="H296" s="8" t="n">
        <f aca="false">SUMIF(Itens!$C:$C,A296,Itens!$K:$K)</f>
        <v>0</v>
      </c>
      <c r="I296" s="8" t="s">
        <v>51</v>
      </c>
      <c r="J296" s="10" t="n">
        <v>0</v>
      </c>
    </row>
    <row r="297" customFormat="false" ht="15" hidden="false" customHeight="false" outlineLevel="0" collapsed="false">
      <c r="A297" s="8" t="s">
        <v>371</v>
      </c>
      <c r="B297" s="8" t="s">
        <v>64</v>
      </c>
      <c r="C297" s="9" t="s">
        <v>10</v>
      </c>
      <c r="D297" s="8" t="n">
        <f aca="false">COUNTIF(Itens!$C:$C,A297)</f>
        <v>1</v>
      </c>
      <c r="E297" s="8" t="n">
        <f aca="false">SUMIF(Itens!$C:$C,A297,Itens!$D:$D)</f>
        <v>24</v>
      </c>
      <c r="F297" s="8" t="n">
        <f aca="false">SUMIF(Itens!$C:$C,A297,Itens!$I:$I)</f>
        <v>0</v>
      </c>
      <c r="G297" s="8" t="n">
        <f aca="false">SUMIF(Itens!$C:$C,A297,Itens!$J:$J)</f>
        <v>0</v>
      </c>
      <c r="H297" s="8" t="n">
        <f aca="false">SUMIF(Itens!$C:$C,A297,Itens!$K:$K)</f>
        <v>24</v>
      </c>
      <c r="I297" s="8" t="s">
        <v>46</v>
      </c>
      <c r="J297" s="10" t="n">
        <v>0</v>
      </c>
    </row>
    <row r="298" customFormat="false" ht="15" hidden="false" customHeight="false" outlineLevel="0" collapsed="false">
      <c r="A298" s="8" t="s">
        <v>372</v>
      </c>
      <c r="B298" s="8" t="s">
        <v>64</v>
      </c>
      <c r="C298" s="9" t="s">
        <v>10</v>
      </c>
      <c r="D298" s="8" t="n">
        <f aca="false">COUNTIF(Itens!$C:$C,A298)</f>
        <v>1</v>
      </c>
      <c r="E298" s="8" t="n">
        <f aca="false">SUMIF(Itens!$C:$C,A298,Itens!$D:$D)</f>
        <v>24</v>
      </c>
      <c r="F298" s="8" t="n">
        <f aca="false">SUMIF(Itens!$C:$C,A298,Itens!$I:$I)</f>
        <v>0</v>
      </c>
      <c r="G298" s="8" t="n">
        <f aca="false">SUMIF(Itens!$C:$C,A298,Itens!$J:$J)</f>
        <v>0</v>
      </c>
      <c r="H298" s="8" t="n">
        <f aca="false">SUMIF(Itens!$C:$C,A298,Itens!$K:$K)</f>
        <v>24</v>
      </c>
      <c r="I298" s="8" t="s">
        <v>46</v>
      </c>
      <c r="J298" s="10" t="n">
        <v>0</v>
      </c>
    </row>
    <row r="299" customFormat="false" ht="15" hidden="false" customHeight="false" outlineLevel="0" collapsed="false">
      <c r="A299" s="8" t="s">
        <v>373</v>
      </c>
      <c r="B299" s="8" t="s">
        <v>64</v>
      </c>
      <c r="C299" s="9" t="s">
        <v>8</v>
      </c>
      <c r="D299" s="8" t="n">
        <f aca="false">COUNTIF(Itens!$C:$C,A299)</f>
        <v>1</v>
      </c>
      <c r="E299" s="8" t="n">
        <f aca="false">SUMIF(Itens!$C:$C,A299,Itens!$D:$D)</f>
        <v>24</v>
      </c>
      <c r="F299" s="8" t="n">
        <f aca="false">SUMIF(Itens!$C:$C,A299,Itens!$I:$I)</f>
        <v>0</v>
      </c>
      <c r="G299" s="8" t="n">
        <f aca="false">SUMIF(Itens!$C:$C,A299,Itens!$J:$J)</f>
        <v>24</v>
      </c>
      <c r="H299" s="8" t="n">
        <f aca="false">SUMIF(Itens!$C:$C,A299,Itens!$K:$K)</f>
        <v>0</v>
      </c>
      <c r="I299" s="8" t="s">
        <v>51</v>
      </c>
      <c r="J299" s="10" t="n">
        <v>0</v>
      </c>
    </row>
    <row r="300" customFormat="false" ht="15" hidden="false" customHeight="false" outlineLevel="0" collapsed="false">
      <c r="A300" s="8" t="s">
        <v>374</v>
      </c>
      <c r="B300" s="8" t="s">
        <v>64</v>
      </c>
      <c r="C300" s="9" t="s">
        <v>10</v>
      </c>
      <c r="D300" s="8" t="n">
        <f aca="false">COUNTIF(Itens!$C:$C,A300)</f>
        <v>1</v>
      </c>
      <c r="E300" s="8" t="n">
        <f aca="false">SUMIF(Itens!$C:$C,A300,Itens!$D:$D)</f>
        <v>24</v>
      </c>
      <c r="F300" s="8" t="n">
        <f aca="false">SUMIF(Itens!$C:$C,A300,Itens!$I:$I)</f>
        <v>0</v>
      </c>
      <c r="G300" s="8" t="n">
        <f aca="false">SUMIF(Itens!$C:$C,A300,Itens!$J:$J)</f>
        <v>0</v>
      </c>
      <c r="H300" s="8" t="n">
        <f aca="false">SUMIF(Itens!$C:$C,A300,Itens!$K:$K)</f>
        <v>24</v>
      </c>
      <c r="I300" s="8" t="s">
        <v>46</v>
      </c>
      <c r="J300" s="10" t="n">
        <v>0</v>
      </c>
    </row>
    <row r="301" customFormat="false" ht="15" hidden="false" customHeight="false" outlineLevel="0" collapsed="false">
      <c r="A301" s="8" t="s">
        <v>375</v>
      </c>
      <c r="B301" s="8" t="s">
        <v>64</v>
      </c>
      <c r="C301" s="9" t="s">
        <v>10</v>
      </c>
      <c r="D301" s="8" t="n">
        <f aca="false">COUNTIF(Itens!$C:$C,A301)</f>
        <v>1</v>
      </c>
      <c r="E301" s="8" t="n">
        <f aca="false">SUMIF(Itens!$C:$C,A301,Itens!$D:$D)</f>
        <v>24</v>
      </c>
      <c r="F301" s="8" t="n">
        <f aca="false">SUMIF(Itens!$C:$C,A301,Itens!$I:$I)</f>
        <v>0</v>
      </c>
      <c r="G301" s="8" t="n">
        <f aca="false">SUMIF(Itens!$C:$C,A301,Itens!$J:$J)</f>
        <v>0</v>
      </c>
      <c r="H301" s="8" t="n">
        <f aca="false">SUMIF(Itens!$C:$C,A301,Itens!$K:$K)</f>
        <v>24</v>
      </c>
      <c r="I301" s="8" t="s">
        <v>46</v>
      </c>
      <c r="J301" s="10" t="n">
        <v>0</v>
      </c>
    </row>
    <row r="302" customFormat="false" ht="15" hidden="false" customHeight="false" outlineLevel="0" collapsed="false">
      <c r="A302" s="8" t="s">
        <v>376</v>
      </c>
      <c r="B302" s="8" t="s">
        <v>64</v>
      </c>
      <c r="C302" s="9" t="s">
        <v>7</v>
      </c>
      <c r="D302" s="8" t="n">
        <f aca="false">COUNTIF(Itens!$C:$C,A302)</f>
        <v>1</v>
      </c>
      <c r="E302" s="8" t="n">
        <f aca="false">SUMIF(Itens!$C:$C,A302,Itens!$D:$D)</f>
        <v>24</v>
      </c>
      <c r="F302" s="8" t="n">
        <f aca="false">SUMIF(Itens!$C:$C,A302,Itens!$I:$I)</f>
        <v>24</v>
      </c>
      <c r="G302" s="8" t="n">
        <f aca="false">SUMIF(Itens!$C:$C,A302,Itens!$J:$J)</f>
        <v>0</v>
      </c>
      <c r="H302" s="8" t="n">
        <f aca="false">SUMIF(Itens!$C:$C,A302,Itens!$K:$K)</f>
        <v>0</v>
      </c>
      <c r="I302" s="8" t="s">
        <v>59</v>
      </c>
      <c r="J302" s="10" t="n">
        <v>0</v>
      </c>
    </row>
    <row r="303" customFormat="false" ht="15" hidden="false" customHeight="false" outlineLevel="0" collapsed="false">
      <c r="A303" s="8" t="s">
        <v>377</v>
      </c>
      <c r="B303" s="8" t="s">
        <v>64</v>
      </c>
      <c r="C303" s="9" t="s">
        <v>10</v>
      </c>
      <c r="D303" s="8" t="n">
        <f aca="false">COUNTIF(Itens!$C:$C,A303)</f>
        <v>1</v>
      </c>
      <c r="E303" s="8" t="n">
        <f aca="false">SUMIF(Itens!$C:$C,A303,Itens!$D:$D)</f>
        <v>24</v>
      </c>
      <c r="F303" s="8" t="n">
        <f aca="false">SUMIF(Itens!$C:$C,A303,Itens!$I:$I)</f>
        <v>0</v>
      </c>
      <c r="G303" s="8" t="n">
        <f aca="false">SUMIF(Itens!$C:$C,A303,Itens!$J:$J)</f>
        <v>0</v>
      </c>
      <c r="H303" s="8" t="n">
        <f aca="false">SUMIF(Itens!$C:$C,A303,Itens!$K:$K)</f>
        <v>24</v>
      </c>
      <c r="I303" s="8" t="s">
        <v>46</v>
      </c>
      <c r="J303" s="10" t="n">
        <v>0</v>
      </c>
    </row>
    <row r="304" customFormat="false" ht="15" hidden="false" customHeight="false" outlineLevel="0" collapsed="false">
      <c r="A304" s="8" t="s">
        <v>378</v>
      </c>
      <c r="B304" s="8" t="s">
        <v>64</v>
      </c>
      <c r="C304" s="9" t="s">
        <v>10</v>
      </c>
      <c r="D304" s="8" t="n">
        <f aca="false">COUNTIF(Itens!$C:$C,A304)</f>
        <v>1</v>
      </c>
      <c r="E304" s="8" t="n">
        <f aca="false">SUMIF(Itens!$C:$C,A304,Itens!$D:$D)</f>
        <v>24</v>
      </c>
      <c r="F304" s="8" t="n">
        <f aca="false">SUMIF(Itens!$C:$C,A304,Itens!$I:$I)</f>
        <v>0</v>
      </c>
      <c r="G304" s="8" t="n">
        <f aca="false">SUMIF(Itens!$C:$C,A304,Itens!$J:$J)</f>
        <v>0</v>
      </c>
      <c r="H304" s="8" t="n">
        <f aca="false">SUMIF(Itens!$C:$C,A304,Itens!$K:$K)</f>
        <v>24</v>
      </c>
      <c r="I304" s="8" t="s">
        <v>46</v>
      </c>
      <c r="J304" s="10" t="n">
        <v>0</v>
      </c>
    </row>
    <row r="305" customFormat="false" ht="15" hidden="false" customHeight="false" outlineLevel="0" collapsed="false">
      <c r="A305" s="8" t="s">
        <v>379</v>
      </c>
      <c r="B305" s="8" t="s">
        <v>64</v>
      </c>
      <c r="C305" s="9" t="s">
        <v>10</v>
      </c>
      <c r="D305" s="8" t="n">
        <f aca="false">COUNTIF(Itens!$C:$C,A305)</f>
        <v>1</v>
      </c>
      <c r="E305" s="8" t="n">
        <f aca="false">SUMIF(Itens!$C:$C,A305,Itens!$D:$D)</f>
        <v>24</v>
      </c>
      <c r="F305" s="8" t="n">
        <f aca="false">SUMIF(Itens!$C:$C,A305,Itens!$I:$I)</f>
        <v>0</v>
      </c>
      <c r="G305" s="8" t="n">
        <f aca="false">SUMIF(Itens!$C:$C,A305,Itens!$J:$J)</f>
        <v>0</v>
      </c>
      <c r="H305" s="8" t="n">
        <f aca="false">SUMIF(Itens!$C:$C,A305,Itens!$K:$K)</f>
        <v>24</v>
      </c>
      <c r="I305" s="8" t="s">
        <v>46</v>
      </c>
      <c r="J305" s="10" t="n">
        <v>0</v>
      </c>
    </row>
    <row r="306" customFormat="false" ht="15" hidden="false" customHeight="false" outlineLevel="0" collapsed="false">
      <c r="A306" s="8" t="s">
        <v>380</v>
      </c>
      <c r="B306" s="8" t="s">
        <v>64</v>
      </c>
      <c r="C306" s="9" t="s">
        <v>10</v>
      </c>
      <c r="D306" s="8" t="n">
        <f aca="false">COUNTIF(Itens!$C:$C,A306)</f>
        <v>1</v>
      </c>
      <c r="E306" s="8" t="n">
        <f aca="false">SUMIF(Itens!$C:$C,A306,Itens!$D:$D)</f>
        <v>24</v>
      </c>
      <c r="F306" s="8" t="n">
        <f aca="false">SUMIF(Itens!$C:$C,A306,Itens!$I:$I)</f>
        <v>0</v>
      </c>
      <c r="G306" s="8" t="n">
        <f aca="false">SUMIF(Itens!$C:$C,A306,Itens!$J:$J)</f>
        <v>0</v>
      </c>
      <c r="H306" s="8" t="n">
        <f aca="false">SUMIF(Itens!$C:$C,A306,Itens!$K:$K)</f>
        <v>24</v>
      </c>
      <c r="I306" s="8" t="s">
        <v>46</v>
      </c>
      <c r="J306" s="10" t="n">
        <v>0</v>
      </c>
    </row>
    <row r="307" customFormat="false" ht="15" hidden="false" customHeight="false" outlineLevel="0" collapsed="false">
      <c r="A307" s="8" t="s">
        <v>381</v>
      </c>
      <c r="B307" s="8" t="s">
        <v>64</v>
      </c>
      <c r="C307" s="9" t="s">
        <v>8</v>
      </c>
      <c r="D307" s="8" t="n">
        <f aca="false">COUNTIF(Itens!$C:$C,A307)</f>
        <v>1</v>
      </c>
      <c r="E307" s="8" t="n">
        <f aca="false">SUMIF(Itens!$C:$C,A307,Itens!$D:$D)</f>
        <v>24</v>
      </c>
      <c r="F307" s="8" t="n">
        <f aca="false">SUMIF(Itens!$C:$C,A307,Itens!$I:$I)</f>
        <v>0</v>
      </c>
      <c r="G307" s="8" t="n">
        <f aca="false">SUMIF(Itens!$C:$C,A307,Itens!$J:$J)</f>
        <v>24</v>
      </c>
      <c r="H307" s="8" t="n">
        <f aca="false">SUMIF(Itens!$C:$C,A307,Itens!$K:$K)</f>
        <v>0</v>
      </c>
      <c r="I307" s="8" t="s">
        <v>51</v>
      </c>
      <c r="J307" s="10" t="n">
        <v>0</v>
      </c>
    </row>
    <row r="308" customFormat="false" ht="15" hidden="false" customHeight="false" outlineLevel="0" collapsed="false">
      <c r="A308" s="8" t="s">
        <v>382</v>
      </c>
      <c r="B308" s="8" t="s">
        <v>64</v>
      </c>
      <c r="C308" s="9" t="s">
        <v>10</v>
      </c>
      <c r="D308" s="8" t="n">
        <f aca="false">COUNTIF(Itens!$C:$C,A308)</f>
        <v>1</v>
      </c>
      <c r="E308" s="8" t="n">
        <f aca="false">SUMIF(Itens!$C:$C,A308,Itens!$D:$D)</f>
        <v>24</v>
      </c>
      <c r="F308" s="8" t="n">
        <f aca="false">SUMIF(Itens!$C:$C,A308,Itens!$I:$I)</f>
        <v>0</v>
      </c>
      <c r="G308" s="8" t="n">
        <f aca="false">SUMIF(Itens!$C:$C,A308,Itens!$J:$J)</f>
        <v>0</v>
      </c>
      <c r="H308" s="8" t="n">
        <f aca="false">SUMIF(Itens!$C:$C,A308,Itens!$K:$K)</f>
        <v>24</v>
      </c>
      <c r="I308" s="8" t="s">
        <v>46</v>
      </c>
      <c r="J308" s="10" t="n">
        <v>0</v>
      </c>
    </row>
    <row r="309" customFormat="false" ht="15" hidden="false" customHeight="false" outlineLevel="0" collapsed="false">
      <c r="A309" s="8" t="s">
        <v>383</v>
      </c>
      <c r="B309" s="8" t="s">
        <v>64</v>
      </c>
      <c r="C309" s="9" t="s">
        <v>8</v>
      </c>
      <c r="D309" s="8" t="n">
        <f aca="false">COUNTIF(Itens!$C:$C,A309)</f>
        <v>1</v>
      </c>
      <c r="E309" s="8" t="n">
        <f aca="false">SUMIF(Itens!$C:$C,A309,Itens!$D:$D)</f>
        <v>24</v>
      </c>
      <c r="F309" s="8" t="n">
        <f aca="false">SUMIF(Itens!$C:$C,A309,Itens!$I:$I)</f>
        <v>0</v>
      </c>
      <c r="G309" s="8" t="n">
        <f aca="false">SUMIF(Itens!$C:$C,A309,Itens!$J:$J)</f>
        <v>24</v>
      </c>
      <c r="H309" s="8" t="n">
        <f aca="false">SUMIF(Itens!$C:$C,A309,Itens!$K:$K)</f>
        <v>0</v>
      </c>
      <c r="I309" s="8" t="s">
        <v>51</v>
      </c>
      <c r="J309" s="10" t="n">
        <v>0</v>
      </c>
    </row>
    <row r="310" customFormat="false" ht="15" hidden="false" customHeight="false" outlineLevel="0" collapsed="false">
      <c r="A310" s="8" t="s">
        <v>384</v>
      </c>
      <c r="B310" s="8" t="s">
        <v>64</v>
      </c>
      <c r="C310" s="9" t="s">
        <v>10</v>
      </c>
      <c r="D310" s="8" t="n">
        <f aca="false">COUNTIF(Itens!$C:$C,A310)</f>
        <v>1</v>
      </c>
      <c r="E310" s="8" t="n">
        <f aca="false">SUMIF(Itens!$C:$C,A310,Itens!$D:$D)</f>
        <v>24</v>
      </c>
      <c r="F310" s="8" t="n">
        <f aca="false">SUMIF(Itens!$C:$C,A310,Itens!$I:$I)</f>
        <v>0</v>
      </c>
      <c r="G310" s="8" t="n">
        <f aca="false">SUMIF(Itens!$C:$C,A310,Itens!$J:$J)</f>
        <v>0</v>
      </c>
      <c r="H310" s="8" t="n">
        <f aca="false">SUMIF(Itens!$C:$C,A310,Itens!$K:$K)</f>
        <v>24</v>
      </c>
      <c r="I310" s="8" t="s">
        <v>46</v>
      </c>
      <c r="J310" s="10" t="n">
        <v>0</v>
      </c>
    </row>
    <row r="311" customFormat="false" ht="15" hidden="false" customHeight="false" outlineLevel="0" collapsed="false">
      <c r="A311" s="8" t="s">
        <v>385</v>
      </c>
      <c r="B311" s="8" t="s">
        <v>64</v>
      </c>
      <c r="C311" s="9" t="s">
        <v>8</v>
      </c>
      <c r="D311" s="8" t="n">
        <f aca="false">COUNTIF(Itens!$C:$C,A311)</f>
        <v>1</v>
      </c>
      <c r="E311" s="8" t="n">
        <f aca="false">SUMIF(Itens!$C:$C,A311,Itens!$D:$D)</f>
        <v>24</v>
      </c>
      <c r="F311" s="8" t="n">
        <f aca="false">SUMIF(Itens!$C:$C,A311,Itens!$I:$I)</f>
        <v>0</v>
      </c>
      <c r="G311" s="8" t="n">
        <f aca="false">SUMIF(Itens!$C:$C,A311,Itens!$J:$J)</f>
        <v>24</v>
      </c>
      <c r="H311" s="8" t="n">
        <f aca="false">SUMIF(Itens!$C:$C,A311,Itens!$K:$K)</f>
        <v>0</v>
      </c>
      <c r="I311" s="8" t="s">
        <v>51</v>
      </c>
      <c r="J311" s="10" t="n">
        <v>0</v>
      </c>
    </row>
    <row r="312" customFormat="false" ht="15" hidden="false" customHeight="false" outlineLevel="0" collapsed="false">
      <c r="A312" s="8" t="s">
        <v>386</v>
      </c>
      <c r="B312" s="8" t="s">
        <v>64</v>
      </c>
      <c r="C312" s="9" t="s">
        <v>10</v>
      </c>
      <c r="D312" s="8" t="n">
        <f aca="false">COUNTIF(Itens!$C:$C,A312)</f>
        <v>1</v>
      </c>
      <c r="E312" s="8" t="n">
        <f aca="false">SUMIF(Itens!$C:$C,A312,Itens!$D:$D)</f>
        <v>24</v>
      </c>
      <c r="F312" s="8" t="n">
        <f aca="false">SUMIF(Itens!$C:$C,A312,Itens!$I:$I)</f>
        <v>0</v>
      </c>
      <c r="G312" s="8" t="n">
        <f aca="false">SUMIF(Itens!$C:$C,A312,Itens!$J:$J)</f>
        <v>0</v>
      </c>
      <c r="H312" s="8" t="n">
        <f aca="false">SUMIF(Itens!$C:$C,A312,Itens!$K:$K)</f>
        <v>24</v>
      </c>
      <c r="I312" s="8" t="s">
        <v>46</v>
      </c>
      <c r="J312" s="10" t="n">
        <v>0</v>
      </c>
    </row>
    <row r="313" customFormat="false" ht="15" hidden="false" customHeight="false" outlineLevel="0" collapsed="false">
      <c r="A313" s="8" t="s">
        <v>387</v>
      </c>
      <c r="B313" s="8" t="s">
        <v>64</v>
      </c>
      <c r="C313" s="9" t="s">
        <v>10</v>
      </c>
      <c r="D313" s="8" t="n">
        <f aca="false">COUNTIF(Itens!$C:$C,A313)</f>
        <v>1</v>
      </c>
      <c r="E313" s="8" t="n">
        <f aca="false">SUMIF(Itens!$C:$C,A313,Itens!$D:$D)</f>
        <v>10</v>
      </c>
      <c r="F313" s="8" t="n">
        <f aca="false">SUMIF(Itens!$C:$C,A313,Itens!$I:$I)</f>
        <v>0</v>
      </c>
      <c r="G313" s="8" t="n">
        <f aca="false">SUMIF(Itens!$C:$C,A313,Itens!$J:$J)</f>
        <v>0</v>
      </c>
      <c r="H313" s="8" t="n">
        <f aca="false">SUMIF(Itens!$C:$C,A313,Itens!$K:$K)</f>
        <v>10</v>
      </c>
      <c r="I313" s="8" t="s">
        <v>46</v>
      </c>
      <c r="J313" s="10" t="n">
        <v>0</v>
      </c>
    </row>
    <row r="314" customFormat="false" ht="15" hidden="false" customHeight="false" outlineLevel="0" collapsed="false">
      <c r="A314" s="8" t="s">
        <v>388</v>
      </c>
      <c r="B314" s="8" t="s">
        <v>64</v>
      </c>
      <c r="C314" s="9" t="s">
        <v>9</v>
      </c>
      <c r="D314" s="8" t="n">
        <f aca="false">COUNTIF(Itens!$C:$C,A314)</f>
        <v>2</v>
      </c>
      <c r="E314" s="8" t="n">
        <f aca="false">SUMIF(Itens!$C:$C,A314,Itens!$D:$D)</f>
        <v>20</v>
      </c>
      <c r="F314" s="8" t="n">
        <f aca="false">SUMIF(Itens!$C:$C,A314,Itens!$I:$I)</f>
        <v>2</v>
      </c>
      <c r="G314" s="8" t="n">
        <f aca="false">SUMIF(Itens!$C:$C,A314,Itens!$J:$J)</f>
        <v>8</v>
      </c>
      <c r="H314" s="8" t="n">
        <f aca="false">SUMIF(Itens!$C:$C,A314,Itens!$K:$K)</f>
        <v>10</v>
      </c>
      <c r="I314" s="8" t="s">
        <v>70</v>
      </c>
      <c r="J314" s="10" t="n">
        <v>0</v>
      </c>
    </row>
    <row r="315" customFormat="false" ht="15" hidden="false" customHeight="false" outlineLevel="0" collapsed="false">
      <c r="A315" s="8" t="s">
        <v>389</v>
      </c>
      <c r="B315" s="8" t="s">
        <v>64</v>
      </c>
      <c r="C315" s="9" t="s">
        <v>9</v>
      </c>
      <c r="D315" s="8" t="n">
        <f aca="false">COUNTIF(Itens!$C:$C,A315)</f>
        <v>3</v>
      </c>
      <c r="E315" s="8" t="n">
        <f aca="false">SUMIF(Itens!$C:$C,A315,Itens!$D:$D)</f>
        <v>20</v>
      </c>
      <c r="F315" s="8" t="n">
        <f aca="false">SUMIF(Itens!$C:$C,A315,Itens!$I:$I)</f>
        <v>8</v>
      </c>
      <c r="G315" s="8" t="n">
        <f aca="false">SUMIF(Itens!$C:$C,A315,Itens!$J:$J)</f>
        <v>3</v>
      </c>
      <c r="H315" s="8" t="n">
        <f aca="false">SUMIF(Itens!$C:$C,A315,Itens!$K:$K)</f>
        <v>9</v>
      </c>
      <c r="I315" s="8" t="s">
        <v>70</v>
      </c>
      <c r="J315" s="10" t="n">
        <v>0</v>
      </c>
    </row>
    <row r="316" customFormat="false" ht="15" hidden="false" customHeight="false" outlineLevel="0" collapsed="false">
      <c r="A316" s="8" t="s">
        <v>390</v>
      </c>
      <c r="B316" s="8" t="s">
        <v>64</v>
      </c>
      <c r="C316" s="9" t="s">
        <v>9</v>
      </c>
      <c r="D316" s="8" t="n">
        <f aca="false">COUNTIF(Itens!$C:$C,A316)</f>
        <v>3</v>
      </c>
      <c r="E316" s="8" t="n">
        <f aca="false">SUMIF(Itens!$C:$C,A316,Itens!$D:$D)</f>
        <v>26</v>
      </c>
      <c r="F316" s="8" t="n">
        <f aca="false">SUMIF(Itens!$C:$C,A316,Itens!$I:$I)</f>
        <v>8</v>
      </c>
      <c r="G316" s="8" t="n">
        <f aca="false">SUMIF(Itens!$C:$C,A316,Itens!$J:$J)</f>
        <v>15</v>
      </c>
      <c r="H316" s="8" t="n">
        <f aca="false">SUMIF(Itens!$C:$C,A316,Itens!$K:$K)</f>
        <v>3</v>
      </c>
      <c r="I316" s="8" t="s">
        <v>44</v>
      </c>
      <c r="J316" s="10" t="n">
        <v>0</v>
      </c>
    </row>
    <row r="317" customFormat="false" ht="15" hidden="false" customHeight="false" outlineLevel="0" collapsed="false">
      <c r="A317" s="8" t="s">
        <v>391</v>
      </c>
      <c r="B317" s="8" t="s">
        <v>64</v>
      </c>
      <c r="C317" s="9" t="s">
        <v>10</v>
      </c>
      <c r="D317" s="8" t="n">
        <f aca="false">COUNTIF(Itens!$C:$C,A317)</f>
        <v>2</v>
      </c>
      <c r="E317" s="8" t="n">
        <f aca="false">SUMIF(Itens!$C:$C,A317,Itens!$D:$D)</f>
        <v>18</v>
      </c>
      <c r="F317" s="8" t="n">
        <f aca="false">SUMIF(Itens!$C:$C,A317,Itens!$I:$I)</f>
        <v>0</v>
      </c>
      <c r="G317" s="8" t="n">
        <f aca="false">SUMIF(Itens!$C:$C,A317,Itens!$J:$J)</f>
        <v>0</v>
      </c>
      <c r="H317" s="8" t="n">
        <f aca="false">SUMIF(Itens!$C:$C,A317,Itens!$K:$K)</f>
        <v>18</v>
      </c>
      <c r="I317" s="8" t="s">
        <v>46</v>
      </c>
      <c r="J317" s="10" t="n">
        <v>0</v>
      </c>
    </row>
    <row r="318" customFormat="false" ht="15" hidden="false" customHeight="false" outlineLevel="0" collapsed="false">
      <c r="A318" s="8" t="s">
        <v>392</v>
      </c>
      <c r="B318" s="8" t="s">
        <v>64</v>
      </c>
      <c r="C318" s="9" t="s">
        <v>10</v>
      </c>
      <c r="D318" s="8" t="n">
        <f aca="false">COUNTIF(Itens!$C:$C,A318)</f>
        <v>1</v>
      </c>
      <c r="E318" s="8" t="n">
        <f aca="false">SUMIF(Itens!$C:$C,A318,Itens!$D:$D)</f>
        <v>30</v>
      </c>
      <c r="F318" s="8" t="n">
        <f aca="false">SUMIF(Itens!$C:$C,A318,Itens!$I:$I)</f>
        <v>0</v>
      </c>
      <c r="G318" s="8" t="n">
        <f aca="false">SUMIF(Itens!$C:$C,A318,Itens!$J:$J)</f>
        <v>0</v>
      </c>
      <c r="H318" s="8" t="n">
        <f aca="false">SUMIF(Itens!$C:$C,A318,Itens!$K:$K)</f>
        <v>30</v>
      </c>
      <c r="I318" s="8" t="s">
        <v>46</v>
      </c>
      <c r="J318" s="10" t="n">
        <v>0</v>
      </c>
    </row>
    <row r="319" customFormat="false" ht="15" hidden="false" customHeight="false" outlineLevel="0" collapsed="false">
      <c r="A319" s="8" t="s">
        <v>393</v>
      </c>
      <c r="B319" s="8" t="s">
        <v>64</v>
      </c>
      <c r="C319" s="9" t="s">
        <v>9</v>
      </c>
      <c r="D319" s="8" t="n">
        <f aca="false">COUNTIF(Itens!$C:$C,A319)</f>
        <v>1</v>
      </c>
      <c r="E319" s="8" t="n">
        <f aca="false">SUMIF(Itens!$C:$C,A319,Itens!$D:$D)</f>
        <v>30</v>
      </c>
      <c r="F319" s="8" t="n">
        <f aca="false">SUMIF(Itens!$C:$C,A319,Itens!$I:$I)</f>
        <v>0</v>
      </c>
      <c r="G319" s="8" t="n">
        <f aca="false">SUMIF(Itens!$C:$C,A319,Itens!$J:$J)</f>
        <v>24</v>
      </c>
      <c r="H319" s="8" t="n">
        <f aca="false">SUMIF(Itens!$C:$C,A319,Itens!$K:$K)</f>
        <v>6</v>
      </c>
      <c r="I319" s="8" t="s">
        <v>44</v>
      </c>
      <c r="J319" s="10" t="n">
        <v>0</v>
      </c>
    </row>
    <row r="320" customFormat="false" ht="15" hidden="false" customHeight="false" outlineLevel="0" collapsed="false">
      <c r="A320" s="8" t="s">
        <v>394</v>
      </c>
      <c r="B320" s="8" t="s">
        <v>64</v>
      </c>
      <c r="C320" s="9" t="s">
        <v>10</v>
      </c>
      <c r="D320" s="8" t="n">
        <f aca="false">COUNTIF(Itens!$C:$C,A320)</f>
        <v>1</v>
      </c>
      <c r="E320" s="8" t="n">
        <f aca="false">SUMIF(Itens!$C:$C,A320,Itens!$D:$D)</f>
        <v>30</v>
      </c>
      <c r="F320" s="8" t="n">
        <f aca="false">SUMIF(Itens!$C:$C,A320,Itens!$I:$I)</f>
        <v>0</v>
      </c>
      <c r="G320" s="8" t="n">
        <f aca="false">SUMIF(Itens!$C:$C,A320,Itens!$J:$J)</f>
        <v>0</v>
      </c>
      <c r="H320" s="8" t="n">
        <f aca="false">SUMIF(Itens!$C:$C,A320,Itens!$K:$K)</f>
        <v>30</v>
      </c>
      <c r="I320" s="8" t="s">
        <v>46</v>
      </c>
      <c r="J320" s="10" t="n">
        <v>0</v>
      </c>
    </row>
    <row r="321" customFormat="false" ht="15" hidden="false" customHeight="false" outlineLevel="0" collapsed="false">
      <c r="A321" s="8" t="s">
        <v>395</v>
      </c>
      <c r="B321" s="8" t="s">
        <v>64</v>
      </c>
      <c r="C321" s="9" t="s">
        <v>9</v>
      </c>
      <c r="D321" s="8" t="n">
        <f aca="false">COUNTIF(Itens!$C:$C,A321)</f>
        <v>1</v>
      </c>
      <c r="E321" s="8" t="n">
        <f aca="false">SUMIF(Itens!$C:$C,A321,Itens!$D:$D)</f>
        <v>30</v>
      </c>
      <c r="F321" s="8" t="n">
        <f aca="false">SUMIF(Itens!$C:$C,A321,Itens!$I:$I)</f>
        <v>0</v>
      </c>
      <c r="G321" s="8" t="n">
        <f aca="false">SUMIF(Itens!$C:$C,A321,Itens!$J:$J)</f>
        <v>22</v>
      </c>
      <c r="H321" s="8" t="n">
        <f aca="false">SUMIF(Itens!$C:$C,A321,Itens!$K:$K)</f>
        <v>8</v>
      </c>
      <c r="I321" s="8" t="s">
        <v>44</v>
      </c>
      <c r="J321" s="10" t="n">
        <v>0</v>
      </c>
    </row>
    <row r="322" customFormat="false" ht="15" hidden="false" customHeight="false" outlineLevel="0" collapsed="false">
      <c r="A322" s="8" t="s">
        <v>396</v>
      </c>
      <c r="B322" s="8" t="s">
        <v>64</v>
      </c>
      <c r="C322" s="9" t="s">
        <v>10</v>
      </c>
      <c r="D322" s="8" t="n">
        <f aca="false">COUNTIF(Itens!$C:$C,A322)</f>
        <v>1</v>
      </c>
      <c r="E322" s="8" t="n">
        <f aca="false">SUMIF(Itens!$C:$C,A322,Itens!$D:$D)</f>
        <v>30</v>
      </c>
      <c r="F322" s="8" t="n">
        <f aca="false">SUMIF(Itens!$C:$C,A322,Itens!$I:$I)</f>
        <v>0</v>
      </c>
      <c r="G322" s="8" t="n">
        <f aca="false">SUMIF(Itens!$C:$C,A322,Itens!$J:$J)</f>
        <v>0</v>
      </c>
      <c r="H322" s="8" t="n">
        <f aca="false">SUMIF(Itens!$C:$C,A322,Itens!$K:$K)</f>
        <v>30</v>
      </c>
      <c r="I322" s="8" t="s">
        <v>46</v>
      </c>
      <c r="J322" s="10" t="n">
        <v>0</v>
      </c>
    </row>
    <row r="323" customFormat="false" ht="15" hidden="false" customHeight="false" outlineLevel="0" collapsed="false">
      <c r="A323" s="8" t="s">
        <v>397</v>
      </c>
      <c r="B323" s="8" t="s">
        <v>64</v>
      </c>
      <c r="C323" s="9" t="s">
        <v>10</v>
      </c>
      <c r="D323" s="8" t="n">
        <f aca="false">COUNTIF(Itens!$C:$C,A323)</f>
        <v>1</v>
      </c>
      <c r="E323" s="8" t="n">
        <f aca="false">SUMIF(Itens!$C:$C,A323,Itens!$D:$D)</f>
        <v>30</v>
      </c>
      <c r="F323" s="8" t="n">
        <f aca="false">SUMIF(Itens!$C:$C,A323,Itens!$I:$I)</f>
        <v>0</v>
      </c>
      <c r="G323" s="8" t="n">
        <f aca="false">SUMIF(Itens!$C:$C,A323,Itens!$J:$J)</f>
        <v>0</v>
      </c>
      <c r="H323" s="8" t="n">
        <f aca="false">SUMIF(Itens!$C:$C,A323,Itens!$K:$K)</f>
        <v>30</v>
      </c>
      <c r="I323" s="8" t="s">
        <v>46</v>
      </c>
      <c r="J323" s="10" t="n">
        <v>0</v>
      </c>
    </row>
    <row r="324" customFormat="false" ht="15" hidden="false" customHeight="false" outlineLevel="0" collapsed="false">
      <c r="A324" s="8" t="s">
        <v>398</v>
      </c>
      <c r="B324" s="8" t="s">
        <v>64</v>
      </c>
      <c r="C324" s="9" t="s">
        <v>9</v>
      </c>
      <c r="D324" s="8" t="n">
        <f aca="false">COUNTIF(Itens!$C:$C,A324)</f>
        <v>1</v>
      </c>
      <c r="E324" s="8" t="n">
        <f aca="false">SUMIF(Itens!$C:$C,A324,Itens!$D:$D)</f>
        <v>40</v>
      </c>
      <c r="F324" s="8" t="n">
        <f aca="false">SUMIF(Itens!$C:$C,A324,Itens!$I:$I)</f>
        <v>3</v>
      </c>
      <c r="G324" s="8" t="n">
        <f aca="false">SUMIF(Itens!$C:$C,A324,Itens!$J:$J)</f>
        <v>22</v>
      </c>
      <c r="H324" s="8" t="n">
        <f aca="false">SUMIF(Itens!$C:$C,A324,Itens!$K:$K)</f>
        <v>15</v>
      </c>
      <c r="I324" s="8" t="s">
        <v>70</v>
      </c>
      <c r="J324" s="10" t="n">
        <v>0</v>
      </c>
    </row>
    <row r="325" customFormat="false" ht="15" hidden="false" customHeight="false" outlineLevel="0" collapsed="false">
      <c r="A325" s="8" t="s">
        <v>399</v>
      </c>
      <c r="B325" s="8" t="s">
        <v>64</v>
      </c>
      <c r="C325" s="9" t="s">
        <v>8</v>
      </c>
      <c r="D325" s="8" t="n">
        <f aca="false">COUNTIF(Itens!$C:$C,A325)</f>
        <v>1</v>
      </c>
      <c r="E325" s="8" t="n">
        <f aca="false">SUMIF(Itens!$C:$C,A325,Itens!$D:$D)</f>
        <v>40</v>
      </c>
      <c r="F325" s="8" t="n">
        <f aca="false">SUMIF(Itens!$C:$C,A325,Itens!$I:$I)</f>
        <v>0</v>
      </c>
      <c r="G325" s="8" t="n">
        <f aca="false">SUMIF(Itens!$C:$C,A325,Itens!$J:$J)</f>
        <v>40</v>
      </c>
      <c r="H325" s="8" t="n">
        <f aca="false">SUMIF(Itens!$C:$C,A325,Itens!$K:$K)</f>
        <v>0</v>
      </c>
      <c r="I325" s="8" t="s">
        <v>51</v>
      </c>
      <c r="J325" s="10" t="n">
        <v>0</v>
      </c>
    </row>
    <row r="326" customFormat="false" ht="15" hidden="false" customHeight="false" outlineLevel="0" collapsed="false">
      <c r="A326" s="8" t="s">
        <v>400</v>
      </c>
      <c r="B326" s="8" t="s">
        <v>64</v>
      </c>
      <c r="C326" s="9" t="s">
        <v>10</v>
      </c>
      <c r="D326" s="8" t="n">
        <f aca="false">COUNTIF(Itens!$C:$C,A326)</f>
        <v>1</v>
      </c>
      <c r="E326" s="8" t="n">
        <f aca="false">SUMIF(Itens!$C:$C,A326,Itens!$D:$D)</f>
        <v>40</v>
      </c>
      <c r="F326" s="8" t="n">
        <f aca="false">SUMIF(Itens!$C:$C,A326,Itens!$I:$I)</f>
        <v>0</v>
      </c>
      <c r="G326" s="8" t="n">
        <f aca="false">SUMIF(Itens!$C:$C,A326,Itens!$J:$J)</f>
        <v>0</v>
      </c>
      <c r="H326" s="8" t="n">
        <f aca="false">SUMIF(Itens!$C:$C,A326,Itens!$K:$K)</f>
        <v>40</v>
      </c>
      <c r="I326" s="8" t="s">
        <v>46</v>
      </c>
      <c r="J326" s="10" t="n">
        <v>0</v>
      </c>
    </row>
    <row r="327" customFormat="false" ht="15" hidden="false" customHeight="false" outlineLevel="0" collapsed="false">
      <c r="A327" s="8" t="s">
        <v>401</v>
      </c>
      <c r="B327" s="8" t="s">
        <v>64</v>
      </c>
      <c r="C327" s="9" t="s">
        <v>7</v>
      </c>
      <c r="D327" s="8" t="n">
        <f aca="false">COUNTIF(Itens!$C:$C,A327)</f>
        <v>1</v>
      </c>
      <c r="E327" s="8" t="n">
        <f aca="false">SUMIF(Itens!$C:$C,A327,Itens!$D:$D)</f>
        <v>37</v>
      </c>
      <c r="F327" s="8" t="n">
        <f aca="false">SUMIF(Itens!$C:$C,A327,Itens!$I:$I)</f>
        <v>37</v>
      </c>
      <c r="G327" s="8" t="n">
        <f aca="false">SUMIF(Itens!$C:$C,A327,Itens!$J:$J)</f>
        <v>0</v>
      </c>
      <c r="H327" s="8" t="n">
        <f aca="false">SUMIF(Itens!$C:$C,A327,Itens!$K:$K)</f>
        <v>0</v>
      </c>
      <c r="I327" s="8" t="s">
        <v>59</v>
      </c>
      <c r="J327" s="10" t="n">
        <v>0</v>
      </c>
    </row>
    <row r="328" customFormat="false" ht="15" hidden="false" customHeight="false" outlineLevel="0" collapsed="false">
      <c r="A328" s="8" t="s">
        <v>402</v>
      </c>
      <c r="B328" s="8" t="s">
        <v>64</v>
      </c>
      <c r="C328" s="9" t="s">
        <v>7</v>
      </c>
      <c r="D328" s="8" t="n">
        <f aca="false">COUNTIF(Itens!$C:$C,A328)</f>
        <v>1</v>
      </c>
      <c r="E328" s="8" t="n">
        <f aca="false">SUMIF(Itens!$C:$C,A328,Itens!$D:$D)</f>
        <v>37</v>
      </c>
      <c r="F328" s="8" t="n">
        <f aca="false">SUMIF(Itens!$C:$C,A328,Itens!$I:$I)</f>
        <v>37</v>
      </c>
      <c r="G328" s="8" t="n">
        <f aca="false">SUMIF(Itens!$C:$C,A328,Itens!$J:$J)</f>
        <v>0</v>
      </c>
      <c r="H328" s="8" t="n">
        <f aca="false">SUMIF(Itens!$C:$C,A328,Itens!$K:$K)</f>
        <v>0</v>
      </c>
      <c r="I328" s="8" t="s">
        <v>59</v>
      </c>
      <c r="J328" s="10" t="n">
        <v>0</v>
      </c>
    </row>
    <row r="329" customFormat="false" ht="15" hidden="false" customHeight="false" outlineLevel="0" collapsed="false">
      <c r="A329" s="8" t="s">
        <v>403</v>
      </c>
      <c r="B329" s="8" t="s">
        <v>404</v>
      </c>
      <c r="C329" s="9" t="s">
        <v>11</v>
      </c>
      <c r="D329" s="8" t="n">
        <f aca="false">COUNTIF(Itens!$C:$C,A329)</f>
        <v>21</v>
      </c>
      <c r="E329" s="8" t="n">
        <f aca="false">SUMIF(Itens!$C:$C,A329,Itens!$D:$D)</f>
        <v>2690</v>
      </c>
      <c r="F329" s="8" t="n">
        <f aca="false">SUMIF(Itens!$C:$C,A329,Itens!$I:$I)</f>
        <v>723</v>
      </c>
      <c r="G329" s="8" t="n">
        <f aca="false">SUMIF(Itens!$C:$C,A329,Itens!$J:$J)</f>
        <v>807</v>
      </c>
      <c r="H329" s="8" t="n">
        <f aca="false">SUMIF(Itens!$C:$C,A329,Itens!$K:$K)</f>
        <v>1160</v>
      </c>
      <c r="I329" s="8" t="s">
        <v>405</v>
      </c>
      <c r="J329" s="10" t="n">
        <v>0</v>
      </c>
    </row>
  </sheetData>
  <dataValidations count="1">
    <dataValidation allowBlank="false" errorStyle="stop" operator="between" showDropDown="false" showErrorMessage="false" showInputMessage="false" sqref="C2:C329" type="list">
      <formula1>"Inteira CBP,Inteira CBTBE,Aberta,Devolução fechada,Avulso"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7" min="7" style="0" width="40"/>
    <col collapsed="false" customWidth="true" hidden="false" outlineLevel="0" max="10" min="8" style="0" width="14"/>
  </cols>
  <sheetData>
    <row r="1" customFormat="false" ht="31.5" hidden="false" customHeight="true" outlineLevel="0" collapsed="false">
      <c r="A1" s="7" t="s">
        <v>406</v>
      </c>
      <c r="B1" s="7" t="s">
        <v>36</v>
      </c>
      <c r="C1" s="7" t="s">
        <v>407</v>
      </c>
      <c r="D1" s="7" t="s">
        <v>408</v>
      </c>
      <c r="E1" s="7" t="s">
        <v>409</v>
      </c>
    </row>
    <row r="2" customFormat="false" ht="23.85" hidden="false" customHeight="false" outlineLevel="0" collapsed="false">
      <c r="A2" s="8" t="n">
        <v>1</v>
      </c>
      <c r="B2" s="8" t="s">
        <v>99</v>
      </c>
      <c r="C2" s="11" t="n">
        <f aca="false">INDEX(Caixas!$J:$J,MATCH(B2,Caixas!$A:$A,0))</f>
        <v>1</v>
      </c>
      <c r="D2" s="8" t="n">
        <f aca="false">SUM($C$2:C2)</f>
        <v>1</v>
      </c>
      <c r="E2" s="8" t="n">
        <f aca="false">A2</f>
        <v>1</v>
      </c>
      <c r="G2" s="12" t="s">
        <v>410</v>
      </c>
      <c r="H2" s="12" t="s">
        <v>411</v>
      </c>
      <c r="I2" s="12" t="s">
        <v>412</v>
      </c>
      <c r="J2" s="12" t="s">
        <v>23</v>
      </c>
    </row>
    <row r="3" customFormat="false" ht="15" hidden="false" customHeight="false" outlineLevel="0" collapsed="false">
      <c r="A3" s="8" t="n">
        <v>2</v>
      </c>
      <c r="B3" s="8" t="s">
        <v>101</v>
      </c>
      <c r="C3" s="11" t="n">
        <f aca="false">INDEX(Caixas!$J:$J,MATCH(B3,Caixas!$A:$A,0))</f>
        <v>7</v>
      </c>
      <c r="D3" s="8" t="n">
        <f aca="false">SUM($C$2:C3)</f>
        <v>8</v>
      </c>
      <c r="E3" s="8" t="n">
        <f aca="false">A3</f>
        <v>2</v>
      </c>
      <c r="G3" s="8" t="s">
        <v>413</v>
      </c>
      <c r="H3" s="10" t="n">
        <v>0</v>
      </c>
      <c r="I3" s="10" t="n">
        <v>0</v>
      </c>
      <c r="J3" s="10" t="n">
        <v>106</v>
      </c>
    </row>
    <row r="4" customFormat="false" ht="15" hidden="false" customHeight="false" outlineLevel="0" collapsed="false">
      <c r="A4" s="8" t="n">
        <v>3</v>
      </c>
      <c r="B4" s="8" t="s">
        <v>131</v>
      </c>
      <c r="C4" s="11" t="n">
        <f aca="false">INDEX(Caixas!$J:$J,MATCH(B4,Caixas!$A:$A,0))</f>
        <v>7</v>
      </c>
      <c r="D4" s="8" t="n">
        <f aca="false">SUM($C$2:C4)</f>
        <v>15</v>
      </c>
      <c r="E4" s="8" t="n">
        <f aca="false">A4</f>
        <v>3</v>
      </c>
      <c r="G4" s="8" t="s">
        <v>414</v>
      </c>
      <c r="H4" s="10" t="n">
        <v>7</v>
      </c>
      <c r="I4" s="10" t="n">
        <v>17</v>
      </c>
      <c r="J4" s="10" t="n">
        <v>99</v>
      </c>
    </row>
    <row r="5" customFormat="false" ht="15" hidden="false" customHeight="false" outlineLevel="0" collapsed="false">
      <c r="A5" s="8" t="n">
        <v>4</v>
      </c>
      <c r="B5" s="8" t="s">
        <v>162</v>
      </c>
      <c r="C5" s="11" t="n">
        <f aca="false">INDEX(Caixas!$J:$J,MATCH(B5,Caixas!$A:$A,0))</f>
        <v>1</v>
      </c>
      <c r="D5" s="8" t="n">
        <f aca="false">SUM($C$2:C5)</f>
        <v>16</v>
      </c>
      <c r="E5" s="8" t="n">
        <f aca="false">A5</f>
        <v>4</v>
      </c>
      <c r="G5" s="8" t="s">
        <v>415</v>
      </c>
      <c r="H5" s="10" t="n">
        <v>14</v>
      </c>
      <c r="I5" s="10" t="n">
        <v>70</v>
      </c>
      <c r="J5" s="10" t="n">
        <v>92</v>
      </c>
    </row>
    <row r="6" customFormat="false" ht="15" hidden="false" customHeight="false" outlineLevel="0" collapsed="false">
      <c r="A6" s="8" t="n">
        <v>5</v>
      </c>
      <c r="B6" s="8" t="s">
        <v>324</v>
      </c>
      <c r="C6" s="11" t="n">
        <f aca="false">INDEX(Caixas!$J:$J,MATCH(B6,Caixas!$A:$A,0))</f>
        <v>2</v>
      </c>
      <c r="D6" s="8" t="n">
        <f aca="false">SUM($C$2:C6)</f>
        <v>18</v>
      </c>
      <c r="E6" s="8" t="n">
        <f aca="false">A6</f>
        <v>5</v>
      </c>
      <c r="G6" s="8" t="s">
        <v>416</v>
      </c>
      <c r="H6" s="10" t="n">
        <v>17</v>
      </c>
      <c r="I6" s="10" t="n">
        <v>120</v>
      </c>
      <c r="J6" s="10" t="n">
        <v>89</v>
      </c>
    </row>
    <row r="7" customFormat="false" ht="15" hidden="false" customHeight="false" outlineLevel="0" collapsed="false">
      <c r="A7" s="8" t="n">
        <v>6</v>
      </c>
      <c r="B7" s="8" t="s">
        <v>326</v>
      </c>
      <c r="C7" s="11" t="n">
        <f aca="false">INDEX(Caixas!$J:$J,MATCH(B7,Caixas!$A:$A,0))</f>
        <v>11</v>
      </c>
      <c r="D7" s="8" t="n">
        <f aca="false">SUM($C$2:C7)</f>
        <v>29</v>
      </c>
      <c r="E7" s="8" t="n">
        <f aca="false">A7</f>
        <v>6</v>
      </c>
      <c r="G7" s="8" t="s">
        <v>417</v>
      </c>
      <c r="H7" s="10" t="n">
        <v>30</v>
      </c>
      <c r="I7" s="10" t="n">
        <v>659</v>
      </c>
      <c r="J7" s="10" t="n">
        <v>76</v>
      </c>
    </row>
    <row r="8" customFormat="false" ht="15" hidden="false" customHeight="false" outlineLevel="0" collapsed="false">
      <c r="A8" s="8" t="n">
        <v>7</v>
      </c>
      <c r="B8" s="8" t="s">
        <v>356</v>
      </c>
      <c r="C8" s="11" t="n">
        <f aca="false">INDEX(Caixas!$J:$J,MATCH(B8,Caixas!$A:$A,0))</f>
        <v>2</v>
      </c>
      <c r="D8" s="8" t="n">
        <f aca="false">SUM($C$2:C8)</f>
        <v>31</v>
      </c>
      <c r="E8" s="8" t="n">
        <f aca="false">A8</f>
        <v>7</v>
      </c>
    </row>
    <row r="9" customFormat="false" ht="15" hidden="false" customHeight="true" outlineLevel="0" collapsed="false">
      <c r="A9" s="8" t="n">
        <v>8</v>
      </c>
      <c r="B9" s="8" t="s">
        <v>196</v>
      </c>
      <c r="C9" s="11" t="n">
        <f aca="false">INDEX(Caixas!$J:$J,MATCH(B9,Caixas!$A:$A,0))</f>
        <v>3</v>
      </c>
      <c r="D9" s="8" t="n">
        <f aca="false">SUM($C$2:C9)</f>
        <v>34</v>
      </c>
      <c r="E9" s="8" t="n">
        <f aca="false">A9</f>
        <v>8</v>
      </c>
      <c r="G9" s="13" t="s">
        <v>418</v>
      </c>
      <c r="H9" s="13"/>
      <c r="I9" s="13"/>
      <c r="J9" s="13"/>
    </row>
    <row r="10" customFormat="false" ht="15" hidden="false" customHeight="false" outlineLevel="0" collapsed="false">
      <c r="A10" s="8" t="n">
        <v>9</v>
      </c>
      <c r="B10" s="8" t="s">
        <v>54</v>
      </c>
      <c r="C10" s="11" t="n">
        <f aca="false">INDEX(Caixas!$J:$J,MATCH(B10,Caixas!$A:$A,0))</f>
        <v>4</v>
      </c>
      <c r="D10" s="8" t="n">
        <f aca="false">SUM($C$2:C10)</f>
        <v>38</v>
      </c>
      <c r="E10" s="8" t="n">
        <f aca="false">A10</f>
        <v>9</v>
      </c>
      <c r="G10" s="13"/>
      <c r="H10" s="13"/>
      <c r="I10" s="13"/>
      <c r="J10" s="13"/>
    </row>
    <row r="11" customFormat="false" ht="15" hidden="false" customHeight="false" outlineLevel="0" collapsed="false">
      <c r="A11" s="8" t="n">
        <v>10</v>
      </c>
      <c r="B11" s="8" t="s">
        <v>200</v>
      </c>
      <c r="C11" s="11" t="n">
        <f aca="false">INDEX(Caixas!$J:$J,MATCH(B11,Caixas!$A:$A,0))</f>
        <v>4</v>
      </c>
      <c r="D11" s="8" t="n">
        <f aca="false">SUM($C$2:C11)</f>
        <v>42</v>
      </c>
      <c r="E11" s="8" t="n">
        <f aca="false">A11</f>
        <v>10</v>
      </c>
      <c r="G11" s="13"/>
      <c r="H11" s="13"/>
      <c r="I11" s="13"/>
      <c r="J11" s="13"/>
    </row>
    <row r="12" customFormat="false" ht="15" hidden="false" customHeight="false" outlineLevel="0" collapsed="false">
      <c r="A12" s="8" t="n">
        <v>11</v>
      </c>
      <c r="B12" s="8" t="s">
        <v>202</v>
      </c>
      <c r="C12" s="11" t="n">
        <f aca="false">INDEX(Caixas!$J:$J,MATCH(B12,Caixas!$A:$A,0))</f>
        <v>7</v>
      </c>
      <c r="D12" s="8" t="n">
        <f aca="false">SUM($C$2:C12)</f>
        <v>49</v>
      </c>
      <c r="E12" s="8" t="n">
        <f aca="false">A12</f>
        <v>11</v>
      </c>
      <c r="G12" s="13"/>
      <c r="H12" s="13"/>
      <c r="I12" s="13"/>
      <c r="J12" s="13"/>
    </row>
    <row r="13" customFormat="false" ht="15" hidden="false" customHeight="false" outlineLevel="0" collapsed="false">
      <c r="A13" s="8" t="n">
        <v>12</v>
      </c>
      <c r="B13" s="8" t="s">
        <v>212</v>
      </c>
      <c r="C13" s="11" t="n">
        <f aca="false">INDEX(Caixas!$J:$J,MATCH(B13,Caixas!$A:$A,0))</f>
        <v>7</v>
      </c>
      <c r="D13" s="8" t="n">
        <f aca="false">SUM($C$2:C13)</f>
        <v>56</v>
      </c>
      <c r="E13" s="8" t="n">
        <f aca="false">A13</f>
        <v>12</v>
      </c>
      <c r="G13" s="13"/>
      <c r="H13" s="13"/>
      <c r="I13" s="13"/>
      <c r="J13" s="13"/>
    </row>
    <row r="14" customFormat="false" ht="15" hidden="false" customHeight="false" outlineLevel="0" collapsed="false">
      <c r="A14" s="8" t="n">
        <v>13</v>
      </c>
      <c r="B14" s="8" t="s">
        <v>346</v>
      </c>
      <c r="C14" s="11" t="n">
        <f aca="false">INDEX(Caixas!$J:$J,MATCH(B14,Caixas!$A:$A,0))</f>
        <v>7</v>
      </c>
      <c r="D14" s="8" t="n">
        <f aca="false">SUM($C$2:C14)</f>
        <v>63</v>
      </c>
      <c r="E14" s="8" t="n">
        <f aca="false">A14</f>
        <v>13</v>
      </c>
    </row>
    <row r="15" customFormat="false" ht="15" hidden="false" customHeight="false" outlineLevel="0" collapsed="false">
      <c r="A15" s="8" t="n">
        <v>14</v>
      </c>
      <c r="B15" s="8" t="s">
        <v>316</v>
      </c>
      <c r="C15" s="11" t="n">
        <f aca="false">INDEX(Caixas!$J:$J,MATCH(B15,Caixas!$A:$A,0))</f>
        <v>22</v>
      </c>
      <c r="D15" s="8" t="n">
        <f aca="false">SUM($C$2:C15)</f>
        <v>85</v>
      </c>
      <c r="E15" s="8" t="n">
        <f aca="false">A15</f>
        <v>14</v>
      </c>
    </row>
    <row r="16" customFormat="false" ht="15" hidden="false" customHeight="false" outlineLevel="0" collapsed="false">
      <c r="A16" s="8" t="n">
        <v>15</v>
      </c>
      <c r="B16" s="8" t="s">
        <v>223</v>
      </c>
      <c r="C16" s="11" t="n">
        <f aca="false">INDEX(Caixas!$J:$J,MATCH(B16,Caixas!$A:$A,0))</f>
        <v>10</v>
      </c>
      <c r="D16" s="8" t="n">
        <f aca="false">SUM($C$2:C16)</f>
        <v>95</v>
      </c>
      <c r="E16" s="8" t="n">
        <f aca="false">A16</f>
        <v>15</v>
      </c>
    </row>
    <row r="17" customFormat="false" ht="15" hidden="false" customHeight="false" outlineLevel="0" collapsed="false">
      <c r="A17" s="8" t="n">
        <v>16</v>
      </c>
      <c r="B17" s="8" t="s">
        <v>204</v>
      </c>
      <c r="C17" s="11" t="n">
        <f aca="false">INDEX(Caixas!$J:$J,MATCH(B17,Caixas!$A:$A,0))</f>
        <v>14</v>
      </c>
      <c r="D17" s="8" t="n">
        <f aca="false">SUM($C$2:C17)</f>
        <v>109</v>
      </c>
      <c r="E17" s="8" t="n">
        <f aca="false">A17</f>
        <v>16</v>
      </c>
    </row>
    <row r="18" customFormat="false" ht="15" hidden="false" customHeight="false" outlineLevel="0" collapsed="false">
      <c r="A18" s="8" t="n">
        <v>17</v>
      </c>
      <c r="B18" s="8" t="s">
        <v>97</v>
      </c>
      <c r="C18" s="11" t="n">
        <f aca="false">INDEX(Caixas!$J:$J,MATCH(B18,Caixas!$A:$A,0))</f>
        <v>19</v>
      </c>
      <c r="D18" s="8" t="n">
        <f aca="false">SUM($C$2:C18)</f>
        <v>128</v>
      </c>
      <c r="E18" s="8" t="n">
        <f aca="false">A18</f>
        <v>17</v>
      </c>
    </row>
    <row r="19" customFormat="false" ht="15" hidden="false" customHeight="false" outlineLevel="0" collapsed="false">
      <c r="A19" s="8" t="n">
        <v>18</v>
      </c>
      <c r="B19" s="8" t="s">
        <v>116</v>
      </c>
      <c r="C19" s="11" t="n">
        <f aca="false">INDEX(Caixas!$J:$J,MATCH(B19,Caixas!$A:$A,0))</f>
        <v>32</v>
      </c>
      <c r="D19" s="8" t="n">
        <f aca="false">SUM($C$2:C19)</f>
        <v>160</v>
      </c>
      <c r="E19" s="8" t="n">
        <f aca="false">A19</f>
        <v>18</v>
      </c>
    </row>
    <row r="20" customFormat="false" ht="15" hidden="false" customHeight="false" outlineLevel="0" collapsed="false">
      <c r="A20" s="8" t="n">
        <v>19</v>
      </c>
      <c r="B20" s="8" t="s">
        <v>76</v>
      </c>
      <c r="C20" s="11" t="n">
        <f aca="false">INDEX(Caixas!$J:$J,MATCH(B20,Caixas!$A:$A,0))</f>
        <v>14</v>
      </c>
      <c r="D20" s="8" t="n">
        <f aca="false">SUM($C$2:C20)</f>
        <v>174</v>
      </c>
      <c r="E20" s="8" t="n">
        <f aca="false">A20</f>
        <v>19</v>
      </c>
    </row>
    <row r="21" customFormat="false" ht="15" hidden="false" customHeight="false" outlineLevel="0" collapsed="false">
      <c r="A21" s="8" t="n">
        <v>20</v>
      </c>
      <c r="B21" s="8" t="s">
        <v>205</v>
      </c>
      <c r="C21" s="11" t="n">
        <f aca="false">INDEX(Caixas!$J:$J,MATCH(B21,Caixas!$A:$A,0))</f>
        <v>24</v>
      </c>
      <c r="D21" s="8" t="n">
        <f aca="false">SUM($C$2:C21)</f>
        <v>198</v>
      </c>
      <c r="E21" s="8" t="n">
        <f aca="false">A21</f>
        <v>20</v>
      </c>
    </row>
    <row r="22" customFormat="false" ht="15" hidden="false" customHeight="false" outlineLevel="0" collapsed="false">
      <c r="A22" s="8" t="n">
        <v>21</v>
      </c>
      <c r="B22" s="8" t="s">
        <v>166</v>
      </c>
      <c r="C22" s="11" t="n">
        <f aca="false">INDEX(Caixas!$J:$J,MATCH(B22,Caixas!$A:$A,0))</f>
        <v>26</v>
      </c>
      <c r="D22" s="8" t="n">
        <f aca="false">SUM($C$2:C22)</f>
        <v>224</v>
      </c>
      <c r="E22" s="8" t="n">
        <f aca="false">A22</f>
        <v>21</v>
      </c>
    </row>
    <row r="23" customFormat="false" ht="15" hidden="false" customHeight="false" outlineLevel="0" collapsed="false">
      <c r="A23" s="8" t="n">
        <v>22</v>
      </c>
      <c r="B23" s="8" t="s">
        <v>208</v>
      </c>
      <c r="C23" s="11" t="n">
        <f aca="false">INDEX(Caixas!$J:$J,MATCH(B23,Caixas!$A:$A,0))</f>
        <v>29</v>
      </c>
      <c r="D23" s="8" t="n">
        <f aca="false">SUM($C$2:C23)</f>
        <v>253</v>
      </c>
      <c r="E23" s="8" t="n">
        <f aca="false">A23</f>
        <v>22</v>
      </c>
    </row>
    <row r="24" customFormat="false" ht="15" hidden="false" customHeight="false" outlineLevel="0" collapsed="false">
      <c r="A24" s="8" t="n">
        <v>23</v>
      </c>
      <c r="B24" s="8" t="s">
        <v>210</v>
      </c>
      <c r="C24" s="11" t="n">
        <f aca="false">INDEX(Caixas!$J:$J,MATCH(B24,Caixas!$A:$A,0))</f>
        <v>43</v>
      </c>
      <c r="D24" s="8" t="n">
        <f aca="false">SUM($C$2:C24)</f>
        <v>296</v>
      </c>
      <c r="E24" s="8" t="n">
        <f aca="false">A24</f>
        <v>23</v>
      </c>
    </row>
    <row r="25" customFormat="false" ht="15" hidden="false" customHeight="false" outlineLevel="0" collapsed="false">
      <c r="A25" s="8" t="n">
        <v>24</v>
      </c>
      <c r="B25" s="8" t="s">
        <v>239</v>
      </c>
      <c r="C25" s="11" t="n">
        <f aca="false">INDEX(Caixas!$J:$J,MATCH(B25,Caixas!$A:$A,0))</f>
        <v>28</v>
      </c>
      <c r="D25" s="8" t="n">
        <f aca="false">SUM($C$2:C25)</f>
        <v>324</v>
      </c>
      <c r="E25" s="8" t="n">
        <f aca="false">A25</f>
        <v>24</v>
      </c>
    </row>
    <row r="26" customFormat="false" ht="15" hidden="false" customHeight="false" outlineLevel="0" collapsed="false">
      <c r="A26" s="8" t="n">
        <v>25</v>
      </c>
      <c r="B26" s="8" t="s">
        <v>259</v>
      </c>
      <c r="C26" s="11" t="n">
        <f aca="false">INDEX(Caixas!$J:$J,MATCH(B26,Caixas!$A:$A,0))</f>
        <v>48</v>
      </c>
      <c r="D26" s="8" t="n">
        <f aca="false">SUM($C$2:C26)</f>
        <v>372</v>
      </c>
      <c r="E26" s="8" t="n">
        <f aca="false">A26</f>
        <v>25</v>
      </c>
    </row>
    <row r="27" customFormat="false" ht="15" hidden="false" customHeight="false" outlineLevel="0" collapsed="false">
      <c r="A27" s="8" t="n">
        <v>26</v>
      </c>
      <c r="B27" s="8" t="s">
        <v>109</v>
      </c>
      <c r="C27" s="11" t="n">
        <f aca="false">INDEX(Caixas!$J:$J,MATCH(B27,Caixas!$A:$A,0))</f>
        <v>45</v>
      </c>
      <c r="D27" s="8" t="n">
        <f aca="false">SUM($C$2:C27)</f>
        <v>417</v>
      </c>
      <c r="E27" s="8" t="n">
        <f aca="false">A27</f>
        <v>26</v>
      </c>
    </row>
    <row r="28" customFormat="false" ht="15" hidden="false" customHeight="false" outlineLevel="0" collapsed="false">
      <c r="A28" s="8" t="n">
        <v>27</v>
      </c>
      <c r="B28" s="8" t="s">
        <v>95</v>
      </c>
      <c r="C28" s="11" t="n">
        <f aca="false">INDEX(Caixas!$J:$J,MATCH(B28,Caixas!$A:$A,0))</f>
        <v>48</v>
      </c>
      <c r="D28" s="8" t="n">
        <f aca="false">SUM($C$2:C28)</f>
        <v>465</v>
      </c>
      <c r="E28" s="8" t="n">
        <f aca="false">A28</f>
        <v>27</v>
      </c>
    </row>
    <row r="29" customFormat="false" ht="15" hidden="false" customHeight="false" outlineLevel="0" collapsed="false">
      <c r="A29" s="8" t="n">
        <v>28</v>
      </c>
      <c r="B29" s="8" t="s">
        <v>60</v>
      </c>
      <c r="C29" s="11" t="n">
        <f aca="false">INDEX(Caixas!$J:$J,MATCH(B29,Caixas!$A:$A,0))</f>
        <v>44</v>
      </c>
      <c r="D29" s="8" t="n">
        <f aca="false">SUM($C$2:C29)</f>
        <v>509</v>
      </c>
      <c r="E29" s="8" t="n">
        <f aca="false">A29</f>
        <v>28</v>
      </c>
    </row>
    <row r="30" customFormat="false" ht="15" hidden="false" customHeight="false" outlineLevel="0" collapsed="false">
      <c r="A30" s="8" t="n">
        <v>29</v>
      </c>
      <c r="B30" s="8" t="s">
        <v>218</v>
      </c>
      <c r="C30" s="11" t="n">
        <f aca="false">INDEX(Caixas!$J:$J,MATCH(B30,Caixas!$A:$A,0))</f>
        <v>61</v>
      </c>
      <c r="D30" s="8" t="n">
        <f aca="false">SUM($C$2:C30)</f>
        <v>570</v>
      </c>
      <c r="E30" s="8" t="n">
        <f aca="false">A30</f>
        <v>29</v>
      </c>
    </row>
    <row r="31" customFormat="false" ht="15" hidden="false" customHeight="false" outlineLevel="0" collapsed="false">
      <c r="A31" s="8" t="n">
        <v>30</v>
      </c>
      <c r="B31" s="8" t="s">
        <v>249</v>
      </c>
      <c r="C31" s="11" t="n">
        <f aca="false">INDEX(Caixas!$J:$J,MATCH(B31,Caixas!$A:$A,0))</f>
        <v>89</v>
      </c>
      <c r="D31" s="8" t="n">
        <f aca="false">SUM($C$2:C31)</f>
        <v>659</v>
      </c>
      <c r="E31" s="8" t="n">
        <f aca="false">A31</f>
        <v>30</v>
      </c>
    </row>
  </sheetData>
  <mergeCells count="1">
    <mergeCell ref="G9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1"/>
  </cols>
  <sheetData>
    <row r="1" customFormat="false" ht="31.5" hidden="false" customHeight="true" outlineLevel="0" collapsed="false">
      <c r="A1" s="7" t="s">
        <v>419</v>
      </c>
      <c r="B1" s="7" t="s">
        <v>420</v>
      </c>
      <c r="C1" s="7" t="s">
        <v>36</v>
      </c>
      <c r="D1" s="7" t="s">
        <v>421</v>
      </c>
      <c r="E1" s="7" t="s">
        <v>422</v>
      </c>
      <c r="F1" s="7" t="s">
        <v>423</v>
      </c>
      <c r="G1" s="7" t="s">
        <v>424</v>
      </c>
      <c r="H1" s="7" t="s">
        <v>425</v>
      </c>
      <c r="I1" s="7" t="s">
        <v>426</v>
      </c>
      <c r="J1" s="7" t="s">
        <v>427</v>
      </c>
      <c r="K1" s="7" t="s">
        <v>428</v>
      </c>
    </row>
    <row r="2" customFormat="false" ht="15" hidden="false" customHeight="false" outlineLevel="0" collapsed="false">
      <c r="A2" s="8" t="s">
        <v>429</v>
      </c>
      <c r="B2" s="8" t="s">
        <v>430</v>
      </c>
      <c r="C2" s="8" t="s">
        <v>42</v>
      </c>
      <c r="D2" s="8" t="n">
        <v>30</v>
      </c>
      <c r="E2" s="8" t="n">
        <v>476065</v>
      </c>
      <c r="F2" s="11" t="str">
        <f aca="false">INDEX(Caixas!$C:$C,MATCH(C2,Caixas!$A:$A,0))</f>
        <v>Aberta</v>
      </c>
      <c r="G2" s="9" t="n">
        <v>0</v>
      </c>
      <c r="H2" s="9" t="n">
        <v>29</v>
      </c>
      <c r="I2" s="8" t="n">
        <f aca="false">IF(F2="Inteira CBP",D2,IF(OR(F2="Aberta",F2="Avulso"),G2,0))</f>
        <v>0</v>
      </c>
      <c r="J2" s="8" t="n">
        <f aca="false">IF(F2="Inteira CBTBE",D2,IF(OR(F2="Aberta",F2="Avulso"),H2,0))</f>
        <v>29</v>
      </c>
      <c r="K2" s="8" t="n">
        <f aca="false">D2-I2-J2</f>
        <v>1</v>
      </c>
    </row>
    <row r="3" customFormat="false" ht="15" hidden="false" customHeight="false" outlineLevel="0" collapsed="false">
      <c r="A3" s="8" t="s">
        <v>431</v>
      </c>
      <c r="B3" s="8" t="s">
        <v>432</v>
      </c>
      <c r="C3" s="8" t="s">
        <v>42</v>
      </c>
      <c r="D3" s="8" t="n">
        <v>30</v>
      </c>
      <c r="E3" s="8" t="n">
        <v>476061</v>
      </c>
      <c r="F3" s="11" t="str">
        <f aca="false">INDEX(Caixas!$C:$C,MATCH(C3,Caixas!$A:$A,0))</f>
        <v>Aberta</v>
      </c>
      <c r="G3" s="9" t="n">
        <v>20</v>
      </c>
      <c r="H3" s="9" t="n">
        <v>0</v>
      </c>
      <c r="I3" s="8" t="n">
        <f aca="false">IF(F3="Inteira CBP",D3,IF(OR(F3="Aberta",F3="Avulso"),G3,0))</f>
        <v>20</v>
      </c>
      <c r="J3" s="8" t="n">
        <f aca="false">IF(F3="Inteira CBTBE",D3,IF(OR(F3="Aberta",F3="Avulso"),H3,0))</f>
        <v>0</v>
      </c>
      <c r="K3" s="8" t="n">
        <f aca="false">D3-I3-J3</f>
        <v>10</v>
      </c>
    </row>
    <row r="4" customFormat="false" ht="15" hidden="false" customHeight="false" outlineLevel="0" collapsed="false">
      <c r="A4" s="8" t="s">
        <v>433</v>
      </c>
      <c r="B4" s="8" t="s">
        <v>434</v>
      </c>
      <c r="C4" s="8" t="s">
        <v>42</v>
      </c>
      <c r="D4" s="8" t="n">
        <v>24</v>
      </c>
      <c r="E4" s="8" t="n">
        <v>476043</v>
      </c>
      <c r="F4" s="11" t="str">
        <f aca="false">INDEX(Caixas!$C:$C,MATCH(C4,Caixas!$A:$A,0))</f>
        <v>Aberta</v>
      </c>
      <c r="G4" s="9" t="n">
        <v>0</v>
      </c>
      <c r="H4" s="9" t="n">
        <v>0</v>
      </c>
      <c r="I4" s="8" t="n">
        <f aca="false">IF(F4="Inteira CBP",D4,IF(OR(F4="Aberta",F4="Avulso"),G4,0))</f>
        <v>0</v>
      </c>
      <c r="J4" s="8" t="n">
        <f aca="false">IF(F4="Inteira CBTBE",D4,IF(OR(F4="Aberta",F4="Avulso"),H4,0))</f>
        <v>0</v>
      </c>
      <c r="K4" s="8" t="n">
        <f aca="false">D4-I4-J4</f>
        <v>24</v>
      </c>
    </row>
    <row r="5" customFormat="false" ht="15" hidden="false" customHeight="false" outlineLevel="0" collapsed="false">
      <c r="A5" s="8" t="s">
        <v>431</v>
      </c>
      <c r="B5" s="8" t="s">
        <v>432</v>
      </c>
      <c r="C5" s="8" t="s">
        <v>45</v>
      </c>
      <c r="D5" s="8" t="n">
        <v>30</v>
      </c>
      <c r="E5" s="8" t="n">
        <v>476061</v>
      </c>
      <c r="F5" s="11" t="str">
        <f aca="false">INDEX(Caixas!$C:$C,MATCH(C5,Caixas!$A:$A,0))</f>
        <v>Devolução fechada</v>
      </c>
      <c r="G5" s="9" t="n">
        <v>0</v>
      </c>
      <c r="H5" s="9" t="n">
        <v>0</v>
      </c>
      <c r="I5" s="8" t="n">
        <f aca="false">IF(F5="Inteira CBP",D5,IF(OR(F5="Aberta",F5="Avulso"),G5,0))</f>
        <v>0</v>
      </c>
      <c r="J5" s="8" t="n">
        <f aca="false">IF(F5="Inteira CBTBE",D5,IF(OR(F5="Aberta",F5="Avulso"),H5,0))</f>
        <v>0</v>
      </c>
      <c r="K5" s="8" t="n">
        <f aca="false">D5-I5-J5</f>
        <v>30</v>
      </c>
    </row>
    <row r="6" customFormat="false" ht="15" hidden="false" customHeight="false" outlineLevel="0" collapsed="false">
      <c r="A6" s="8" t="s">
        <v>435</v>
      </c>
      <c r="B6" s="8" t="s">
        <v>436</v>
      </c>
      <c r="C6" s="8" t="s">
        <v>45</v>
      </c>
      <c r="D6" s="8" t="n">
        <v>20</v>
      </c>
      <c r="E6" s="8" t="n">
        <v>476065</v>
      </c>
      <c r="F6" s="11" t="str">
        <f aca="false">INDEX(Caixas!$C:$C,MATCH(C6,Caixas!$A:$A,0))</f>
        <v>Devolução fechada</v>
      </c>
      <c r="G6" s="9" t="n">
        <v>0</v>
      </c>
      <c r="H6" s="9" t="n">
        <v>0</v>
      </c>
      <c r="I6" s="8" t="n">
        <f aca="false">IF(F6="Inteira CBP",D6,IF(OR(F6="Aberta",F6="Avulso"),G6,0))</f>
        <v>0</v>
      </c>
      <c r="J6" s="8" t="n">
        <f aca="false">IF(F6="Inteira CBTBE",D6,IF(OR(F6="Aberta",F6="Avulso"),H6,0))</f>
        <v>0</v>
      </c>
      <c r="K6" s="8" t="n">
        <f aca="false">D6-I6-J6</f>
        <v>20</v>
      </c>
    </row>
    <row r="7" customFormat="false" ht="15" hidden="false" customHeight="false" outlineLevel="0" collapsed="false">
      <c r="A7" s="8" t="s">
        <v>433</v>
      </c>
      <c r="B7" s="8" t="s">
        <v>434</v>
      </c>
      <c r="C7" s="8" t="s">
        <v>45</v>
      </c>
      <c r="D7" s="8" t="n">
        <v>24</v>
      </c>
      <c r="E7" s="8" t="n">
        <v>476043</v>
      </c>
      <c r="F7" s="11" t="str">
        <f aca="false">INDEX(Caixas!$C:$C,MATCH(C7,Caixas!$A:$A,0))</f>
        <v>Devolução fechada</v>
      </c>
      <c r="G7" s="9" t="n">
        <v>0</v>
      </c>
      <c r="H7" s="9" t="n">
        <v>0</v>
      </c>
      <c r="I7" s="8" t="n">
        <f aca="false">IF(F7="Inteira CBP",D7,IF(OR(F7="Aberta",F7="Avulso"),G7,0))</f>
        <v>0</v>
      </c>
      <c r="J7" s="8" t="n">
        <f aca="false">IF(F7="Inteira CBTBE",D7,IF(OR(F7="Aberta",F7="Avulso"),H7,0))</f>
        <v>0</v>
      </c>
      <c r="K7" s="8" t="n">
        <f aca="false">D7-I7-J7</f>
        <v>24</v>
      </c>
    </row>
    <row r="8" customFormat="false" ht="15" hidden="false" customHeight="false" outlineLevel="0" collapsed="false">
      <c r="A8" s="8" t="s">
        <v>431</v>
      </c>
      <c r="B8" s="8" t="s">
        <v>432</v>
      </c>
      <c r="C8" s="8" t="s">
        <v>47</v>
      </c>
      <c r="D8" s="8" t="n">
        <v>30</v>
      </c>
      <c r="E8" s="8" t="n">
        <v>476061</v>
      </c>
      <c r="F8" s="11" t="str">
        <f aca="false">INDEX(Caixas!$C:$C,MATCH(C8,Caixas!$A:$A,0))</f>
        <v>Devolução fechada</v>
      </c>
      <c r="G8" s="9" t="n">
        <v>0</v>
      </c>
      <c r="H8" s="9" t="n">
        <v>0</v>
      </c>
      <c r="I8" s="8" t="n">
        <f aca="false">IF(F8="Inteira CBP",D8,IF(OR(F8="Aberta",F8="Avulso"),G8,0))</f>
        <v>0</v>
      </c>
      <c r="J8" s="8" t="n">
        <f aca="false">IF(F8="Inteira CBTBE",D8,IF(OR(F8="Aberta",F8="Avulso"),H8,0))</f>
        <v>0</v>
      </c>
      <c r="K8" s="8" t="n">
        <f aca="false">D8-I8-J8</f>
        <v>30</v>
      </c>
    </row>
    <row r="9" customFormat="false" ht="15" hidden="false" customHeight="false" outlineLevel="0" collapsed="false">
      <c r="A9" s="8" t="s">
        <v>435</v>
      </c>
      <c r="B9" s="8" t="s">
        <v>436</v>
      </c>
      <c r="C9" s="8" t="s">
        <v>47</v>
      </c>
      <c r="D9" s="8" t="n">
        <v>20</v>
      </c>
      <c r="E9" s="8" t="n">
        <v>476065</v>
      </c>
      <c r="F9" s="11" t="str">
        <f aca="false">INDEX(Caixas!$C:$C,MATCH(C9,Caixas!$A:$A,0))</f>
        <v>Devolução fechada</v>
      </c>
      <c r="G9" s="9" t="n">
        <v>0</v>
      </c>
      <c r="H9" s="9" t="n">
        <v>0</v>
      </c>
      <c r="I9" s="8" t="n">
        <f aca="false">IF(F9="Inteira CBP",D9,IF(OR(F9="Aberta",F9="Avulso"),G9,0))</f>
        <v>0</v>
      </c>
      <c r="J9" s="8" t="n">
        <f aca="false">IF(F9="Inteira CBTBE",D9,IF(OR(F9="Aberta",F9="Avulso"),H9,0))</f>
        <v>0</v>
      </c>
      <c r="K9" s="8" t="n">
        <f aca="false">D9-I9-J9</f>
        <v>20</v>
      </c>
    </row>
    <row r="10" customFormat="false" ht="15" hidden="false" customHeight="false" outlineLevel="0" collapsed="false">
      <c r="A10" s="8" t="s">
        <v>433</v>
      </c>
      <c r="B10" s="8" t="s">
        <v>434</v>
      </c>
      <c r="C10" s="8" t="s">
        <v>47</v>
      </c>
      <c r="D10" s="8" t="n">
        <v>24</v>
      </c>
      <c r="E10" s="8" t="n">
        <v>476043</v>
      </c>
      <c r="F10" s="11" t="str">
        <f aca="false">INDEX(Caixas!$C:$C,MATCH(C10,Caixas!$A:$A,0))</f>
        <v>Devolução fechada</v>
      </c>
      <c r="G10" s="9" t="n">
        <v>0</v>
      </c>
      <c r="H10" s="9" t="n">
        <v>0</v>
      </c>
      <c r="I10" s="8" t="n">
        <f aca="false">IF(F10="Inteira CBP",D10,IF(OR(F10="Aberta",F10="Avulso"),G10,0))</f>
        <v>0</v>
      </c>
      <c r="J10" s="8" t="n">
        <f aca="false">IF(F10="Inteira CBTBE",D10,IF(OR(F10="Aberta",F10="Avulso"),H10,0))</f>
        <v>0</v>
      </c>
      <c r="K10" s="8" t="n">
        <f aca="false">D10-I10-J10</f>
        <v>24</v>
      </c>
    </row>
    <row r="11" customFormat="false" ht="15" hidden="false" customHeight="false" outlineLevel="0" collapsed="false">
      <c r="A11" s="8" t="s">
        <v>431</v>
      </c>
      <c r="B11" s="8" t="s">
        <v>432</v>
      </c>
      <c r="C11" s="8" t="s">
        <v>48</v>
      </c>
      <c r="D11" s="8" t="n">
        <v>30</v>
      </c>
      <c r="E11" s="8" t="n">
        <v>476061</v>
      </c>
      <c r="F11" s="11" t="str">
        <f aca="false">INDEX(Caixas!$C:$C,MATCH(C11,Caixas!$A:$A,0))</f>
        <v>Devolução fechada</v>
      </c>
      <c r="G11" s="9" t="n">
        <v>0</v>
      </c>
      <c r="H11" s="9" t="n">
        <v>0</v>
      </c>
      <c r="I11" s="8" t="n">
        <f aca="false">IF(F11="Inteira CBP",D11,IF(OR(F11="Aberta",F11="Avulso"),G11,0))</f>
        <v>0</v>
      </c>
      <c r="J11" s="8" t="n">
        <f aca="false">IF(F11="Inteira CBTBE",D11,IF(OR(F11="Aberta",F11="Avulso"),H11,0))</f>
        <v>0</v>
      </c>
      <c r="K11" s="8" t="n">
        <f aca="false">D11-I11-J11</f>
        <v>30</v>
      </c>
    </row>
    <row r="12" customFormat="false" ht="15" hidden="false" customHeight="false" outlineLevel="0" collapsed="false">
      <c r="A12" s="8" t="s">
        <v>435</v>
      </c>
      <c r="B12" s="8" t="s">
        <v>436</v>
      </c>
      <c r="C12" s="8" t="s">
        <v>48</v>
      </c>
      <c r="D12" s="8" t="n">
        <v>20</v>
      </c>
      <c r="E12" s="8" t="n">
        <v>476065</v>
      </c>
      <c r="F12" s="11" t="str">
        <f aca="false">INDEX(Caixas!$C:$C,MATCH(C12,Caixas!$A:$A,0))</f>
        <v>Devolução fechada</v>
      </c>
      <c r="G12" s="9" t="n">
        <v>0</v>
      </c>
      <c r="H12" s="9" t="n">
        <v>0</v>
      </c>
      <c r="I12" s="8" t="n">
        <f aca="false">IF(F12="Inteira CBP",D12,IF(OR(F12="Aberta",F12="Avulso"),G12,0))</f>
        <v>0</v>
      </c>
      <c r="J12" s="8" t="n">
        <f aca="false">IF(F12="Inteira CBTBE",D12,IF(OR(F12="Aberta",F12="Avulso"),H12,0))</f>
        <v>0</v>
      </c>
      <c r="K12" s="8" t="n">
        <f aca="false">D12-I12-J12</f>
        <v>20</v>
      </c>
    </row>
    <row r="13" customFormat="false" ht="15" hidden="false" customHeight="false" outlineLevel="0" collapsed="false">
      <c r="A13" s="8" t="s">
        <v>433</v>
      </c>
      <c r="B13" s="8" t="s">
        <v>434</v>
      </c>
      <c r="C13" s="8" t="s">
        <v>48</v>
      </c>
      <c r="D13" s="8" t="n">
        <v>24</v>
      </c>
      <c r="E13" s="8" t="n">
        <v>476043</v>
      </c>
      <c r="F13" s="11" t="str">
        <f aca="false">INDEX(Caixas!$C:$C,MATCH(C13,Caixas!$A:$A,0))</f>
        <v>Devolução fechada</v>
      </c>
      <c r="G13" s="9" t="n">
        <v>0</v>
      </c>
      <c r="H13" s="9" t="n">
        <v>0</v>
      </c>
      <c r="I13" s="8" t="n">
        <f aca="false">IF(F13="Inteira CBP",D13,IF(OR(F13="Aberta",F13="Avulso"),G13,0))</f>
        <v>0</v>
      </c>
      <c r="J13" s="8" t="n">
        <f aca="false">IF(F13="Inteira CBTBE",D13,IF(OR(F13="Aberta",F13="Avulso"),H13,0))</f>
        <v>0</v>
      </c>
      <c r="K13" s="8" t="n">
        <f aca="false">D13-I13-J13</f>
        <v>24</v>
      </c>
    </row>
    <row r="14" customFormat="false" ht="15" hidden="false" customHeight="false" outlineLevel="0" collapsed="false">
      <c r="A14" s="8" t="s">
        <v>431</v>
      </c>
      <c r="B14" s="8" t="s">
        <v>432</v>
      </c>
      <c r="C14" s="8" t="s">
        <v>49</v>
      </c>
      <c r="D14" s="8" t="n">
        <v>30</v>
      </c>
      <c r="E14" s="8" t="n">
        <v>476061</v>
      </c>
      <c r="F14" s="11" t="str">
        <f aca="false">INDEX(Caixas!$C:$C,MATCH(C14,Caixas!$A:$A,0))</f>
        <v>Inteira CBTBE</v>
      </c>
      <c r="G14" s="9" t="n">
        <v>0</v>
      </c>
      <c r="H14" s="9" t="n">
        <v>0</v>
      </c>
      <c r="I14" s="8" t="n">
        <f aca="false">IF(F14="Inteira CBP",D14,IF(OR(F14="Aberta",F14="Avulso"),G14,0))</f>
        <v>0</v>
      </c>
      <c r="J14" s="8" t="n">
        <f aca="false">IF(F14="Inteira CBTBE",D14,IF(OR(F14="Aberta",F14="Avulso"),H14,0))</f>
        <v>30</v>
      </c>
      <c r="K14" s="8" t="n">
        <f aca="false">D14-I14-J14</f>
        <v>0</v>
      </c>
    </row>
    <row r="15" customFormat="false" ht="15" hidden="false" customHeight="false" outlineLevel="0" collapsed="false">
      <c r="A15" s="8" t="s">
        <v>435</v>
      </c>
      <c r="B15" s="8" t="s">
        <v>436</v>
      </c>
      <c r="C15" s="8" t="s">
        <v>49</v>
      </c>
      <c r="D15" s="8" t="n">
        <v>20</v>
      </c>
      <c r="E15" s="8" t="n">
        <v>476065</v>
      </c>
      <c r="F15" s="11" t="str">
        <f aca="false">INDEX(Caixas!$C:$C,MATCH(C15,Caixas!$A:$A,0))</f>
        <v>Inteira CBTBE</v>
      </c>
      <c r="G15" s="9" t="n">
        <v>0</v>
      </c>
      <c r="H15" s="9" t="n">
        <v>0</v>
      </c>
      <c r="I15" s="8" t="n">
        <f aca="false">IF(F15="Inteira CBP",D15,IF(OR(F15="Aberta",F15="Avulso"),G15,0))</f>
        <v>0</v>
      </c>
      <c r="J15" s="8" t="n">
        <f aca="false">IF(F15="Inteira CBTBE",D15,IF(OR(F15="Aberta",F15="Avulso"),H15,0))</f>
        <v>20</v>
      </c>
      <c r="K15" s="8" t="n">
        <f aca="false">D15-I15-J15</f>
        <v>0</v>
      </c>
    </row>
    <row r="16" customFormat="false" ht="15" hidden="false" customHeight="false" outlineLevel="0" collapsed="false">
      <c r="A16" s="8" t="s">
        <v>431</v>
      </c>
      <c r="B16" s="8" t="s">
        <v>432</v>
      </c>
      <c r="C16" s="8" t="s">
        <v>52</v>
      </c>
      <c r="D16" s="8" t="n">
        <v>30</v>
      </c>
      <c r="E16" s="8" t="n">
        <v>476061</v>
      </c>
      <c r="F16" s="11" t="str">
        <f aca="false">INDEX(Caixas!$C:$C,MATCH(C16,Caixas!$A:$A,0))</f>
        <v>Devolução fechada</v>
      </c>
      <c r="G16" s="9" t="n">
        <v>0</v>
      </c>
      <c r="H16" s="9" t="n">
        <v>0</v>
      </c>
      <c r="I16" s="8" t="n">
        <f aca="false">IF(F16="Inteira CBP",D16,IF(OR(F16="Aberta",F16="Avulso"),G16,0))</f>
        <v>0</v>
      </c>
      <c r="J16" s="8" t="n">
        <f aca="false">IF(F16="Inteira CBTBE",D16,IF(OR(F16="Aberta",F16="Avulso"),H16,0))</f>
        <v>0</v>
      </c>
      <c r="K16" s="8" t="n">
        <f aca="false">D16-I16-J16</f>
        <v>30</v>
      </c>
    </row>
    <row r="17" customFormat="false" ht="15" hidden="false" customHeight="false" outlineLevel="0" collapsed="false">
      <c r="A17" s="8" t="s">
        <v>435</v>
      </c>
      <c r="B17" s="8" t="s">
        <v>436</v>
      </c>
      <c r="C17" s="8" t="s">
        <v>52</v>
      </c>
      <c r="D17" s="8" t="n">
        <v>20</v>
      </c>
      <c r="E17" s="8" t="n">
        <v>476065</v>
      </c>
      <c r="F17" s="11" t="str">
        <f aca="false">INDEX(Caixas!$C:$C,MATCH(C17,Caixas!$A:$A,0))</f>
        <v>Devolução fechada</v>
      </c>
      <c r="G17" s="9" t="n">
        <v>0</v>
      </c>
      <c r="H17" s="9" t="n">
        <v>0</v>
      </c>
      <c r="I17" s="8" t="n">
        <f aca="false">IF(F17="Inteira CBP",D17,IF(OR(F17="Aberta",F17="Avulso"),G17,0))</f>
        <v>0</v>
      </c>
      <c r="J17" s="8" t="n">
        <f aca="false">IF(F17="Inteira CBTBE",D17,IF(OR(F17="Aberta",F17="Avulso"),H17,0))</f>
        <v>0</v>
      </c>
      <c r="K17" s="8" t="n">
        <f aca="false">D17-I17-J17</f>
        <v>20</v>
      </c>
    </row>
    <row r="18" customFormat="false" ht="15" hidden="false" customHeight="false" outlineLevel="0" collapsed="false">
      <c r="A18" s="8" t="s">
        <v>431</v>
      </c>
      <c r="B18" s="8" t="s">
        <v>432</v>
      </c>
      <c r="C18" s="8" t="s">
        <v>53</v>
      </c>
      <c r="D18" s="8" t="n">
        <v>30</v>
      </c>
      <c r="E18" s="8" t="n">
        <v>476061</v>
      </c>
      <c r="F18" s="11" t="str">
        <f aca="false">INDEX(Caixas!$C:$C,MATCH(C18,Caixas!$A:$A,0))</f>
        <v>Devolução fechada</v>
      </c>
      <c r="G18" s="9" t="n">
        <v>0</v>
      </c>
      <c r="H18" s="9" t="n">
        <v>0</v>
      </c>
      <c r="I18" s="8" t="n">
        <f aca="false">IF(F18="Inteira CBP",D18,IF(OR(F18="Aberta",F18="Avulso"),G18,0))</f>
        <v>0</v>
      </c>
      <c r="J18" s="8" t="n">
        <f aca="false">IF(F18="Inteira CBTBE",D18,IF(OR(F18="Aberta",F18="Avulso"),H18,0))</f>
        <v>0</v>
      </c>
      <c r="K18" s="8" t="n">
        <f aca="false">D18-I18-J18</f>
        <v>30</v>
      </c>
    </row>
    <row r="19" customFormat="false" ht="15" hidden="false" customHeight="false" outlineLevel="0" collapsed="false">
      <c r="A19" s="8" t="s">
        <v>437</v>
      </c>
      <c r="B19" s="8" t="s">
        <v>438</v>
      </c>
      <c r="C19" s="8" t="s">
        <v>53</v>
      </c>
      <c r="D19" s="8" t="n">
        <v>36</v>
      </c>
      <c r="E19" s="8" t="n">
        <v>476065</v>
      </c>
      <c r="F19" s="11" t="str">
        <f aca="false">INDEX(Caixas!$C:$C,MATCH(C19,Caixas!$A:$A,0))</f>
        <v>Devolução fechada</v>
      </c>
      <c r="G19" s="9" t="n">
        <v>0</v>
      </c>
      <c r="H19" s="9" t="n">
        <v>0</v>
      </c>
      <c r="I19" s="8" t="n">
        <f aca="false">IF(F19="Inteira CBP",D19,IF(OR(F19="Aberta",F19="Avulso"),G19,0))</f>
        <v>0</v>
      </c>
      <c r="J19" s="8" t="n">
        <f aca="false">IF(F19="Inteira CBTBE",D19,IF(OR(F19="Aberta",F19="Avulso"),H19,0))</f>
        <v>0</v>
      </c>
      <c r="K19" s="8" t="n">
        <f aca="false">D19-I19-J19</f>
        <v>36</v>
      </c>
    </row>
    <row r="20" customFormat="false" ht="15" hidden="false" customHeight="false" outlineLevel="0" collapsed="false">
      <c r="A20" s="8" t="s">
        <v>433</v>
      </c>
      <c r="B20" s="8" t="s">
        <v>434</v>
      </c>
      <c r="C20" s="8" t="s">
        <v>53</v>
      </c>
      <c r="D20" s="8" t="n">
        <v>24</v>
      </c>
      <c r="E20" s="8" t="n">
        <v>476043</v>
      </c>
      <c r="F20" s="11" t="str">
        <f aca="false">INDEX(Caixas!$C:$C,MATCH(C20,Caixas!$A:$A,0))</f>
        <v>Devolução fechada</v>
      </c>
      <c r="G20" s="9" t="n">
        <v>0</v>
      </c>
      <c r="H20" s="9" t="n">
        <v>0</v>
      </c>
      <c r="I20" s="8" t="n">
        <f aca="false">IF(F20="Inteira CBP",D20,IF(OR(F20="Aberta",F20="Avulso"),G20,0))</f>
        <v>0</v>
      </c>
      <c r="J20" s="8" t="n">
        <f aca="false">IF(F20="Inteira CBTBE",D20,IF(OR(F20="Aberta",F20="Avulso"),H20,0))</f>
        <v>0</v>
      </c>
      <c r="K20" s="8" t="n">
        <f aca="false">D20-I20-J20</f>
        <v>24</v>
      </c>
    </row>
    <row r="21" customFormat="false" ht="15" hidden="false" customHeight="false" outlineLevel="0" collapsed="false">
      <c r="A21" s="8" t="s">
        <v>431</v>
      </c>
      <c r="B21" s="8" t="s">
        <v>432</v>
      </c>
      <c r="C21" s="8" t="s">
        <v>54</v>
      </c>
      <c r="D21" s="8" t="n">
        <v>30</v>
      </c>
      <c r="E21" s="8" t="n">
        <v>476061</v>
      </c>
      <c r="F21" s="11" t="str">
        <f aca="false">INDEX(Caixas!$C:$C,MATCH(C21,Caixas!$A:$A,0))</f>
        <v>Inteira CBP</v>
      </c>
      <c r="G21" s="9" t="n">
        <v>0</v>
      </c>
      <c r="H21" s="9" t="n">
        <v>0</v>
      </c>
      <c r="I21" s="8" t="n">
        <f aca="false">IF(F21="Inteira CBP",D21,IF(OR(F21="Aberta",F21="Avulso"),G21,0))</f>
        <v>30</v>
      </c>
      <c r="J21" s="8" t="n">
        <f aca="false">IF(F21="Inteira CBTBE",D21,IF(OR(F21="Aberta",F21="Avulso"),H21,0))</f>
        <v>0</v>
      </c>
      <c r="K21" s="8" t="n">
        <f aca="false">D21-I21-J21</f>
        <v>0</v>
      </c>
    </row>
    <row r="22" customFormat="false" ht="15" hidden="false" customHeight="false" outlineLevel="0" collapsed="false">
      <c r="A22" s="8" t="s">
        <v>439</v>
      </c>
      <c r="B22" s="8" t="s">
        <v>440</v>
      </c>
      <c r="C22" s="8" t="s">
        <v>54</v>
      </c>
      <c r="D22" s="8" t="n">
        <v>42</v>
      </c>
      <c r="E22" s="8" t="n">
        <v>476065</v>
      </c>
      <c r="F22" s="11" t="str">
        <f aca="false">INDEX(Caixas!$C:$C,MATCH(C22,Caixas!$A:$A,0))</f>
        <v>Inteira CBP</v>
      </c>
      <c r="G22" s="9" t="n">
        <v>0</v>
      </c>
      <c r="H22" s="9" t="n">
        <v>0</v>
      </c>
      <c r="I22" s="8" t="n">
        <f aca="false">IF(F22="Inteira CBP",D22,IF(OR(F22="Aberta",F22="Avulso"),G22,0))</f>
        <v>42</v>
      </c>
      <c r="J22" s="8" t="n">
        <f aca="false">IF(F22="Inteira CBTBE",D22,IF(OR(F22="Aberta",F22="Avulso"),H22,0))</f>
        <v>0</v>
      </c>
      <c r="K22" s="8" t="n">
        <f aca="false">D22-I22-J22</f>
        <v>0</v>
      </c>
    </row>
    <row r="23" customFormat="false" ht="15" hidden="false" customHeight="false" outlineLevel="0" collapsed="false">
      <c r="A23" s="8" t="s">
        <v>431</v>
      </c>
      <c r="B23" s="8" t="s">
        <v>432</v>
      </c>
      <c r="C23" s="8" t="s">
        <v>56</v>
      </c>
      <c r="D23" s="8" t="n">
        <v>30</v>
      </c>
      <c r="E23" s="8" t="n">
        <v>476061</v>
      </c>
      <c r="F23" s="11" t="str">
        <f aca="false">INDEX(Caixas!$C:$C,MATCH(C23,Caixas!$A:$A,0))</f>
        <v>Devolução fechada</v>
      </c>
      <c r="G23" s="9" t="n">
        <v>0</v>
      </c>
      <c r="H23" s="9" t="n">
        <v>0</v>
      </c>
      <c r="I23" s="8" t="n">
        <f aca="false">IF(F23="Inteira CBP",D23,IF(OR(F23="Aberta",F23="Avulso"),G23,0))</f>
        <v>0</v>
      </c>
      <c r="J23" s="8" t="n">
        <f aca="false">IF(F23="Inteira CBTBE",D23,IF(OR(F23="Aberta",F23="Avulso"),H23,0))</f>
        <v>0</v>
      </c>
      <c r="K23" s="8" t="n">
        <f aca="false">D23-I23-J23</f>
        <v>30</v>
      </c>
    </row>
    <row r="24" customFormat="false" ht="15" hidden="false" customHeight="false" outlineLevel="0" collapsed="false">
      <c r="A24" s="8" t="s">
        <v>437</v>
      </c>
      <c r="B24" s="8" t="s">
        <v>438</v>
      </c>
      <c r="C24" s="8" t="s">
        <v>56</v>
      </c>
      <c r="D24" s="8" t="n">
        <v>36</v>
      </c>
      <c r="E24" s="8" t="n">
        <v>476065</v>
      </c>
      <c r="F24" s="11" t="str">
        <f aca="false">INDEX(Caixas!$C:$C,MATCH(C24,Caixas!$A:$A,0))</f>
        <v>Devolução fechada</v>
      </c>
      <c r="G24" s="9" t="n">
        <v>0</v>
      </c>
      <c r="H24" s="9" t="n">
        <v>0</v>
      </c>
      <c r="I24" s="8" t="n">
        <f aca="false">IF(F24="Inteira CBP",D24,IF(OR(F24="Aberta",F24="Avulso"),G24,0))</f>
        <v>0</v>
      </c>
      <c r="J24" s="8" t="n">
        <f aca="false">IF(F24="Inteira CBTBE",D24,IF(OR(F24="Aberta",F24="Avulso"),H24,0))</f>
        <v>0</v>
      </c>
      <c r="K24" s="8" t="n">
        <f aca="false">D24-I24-J24</f>
        <v>36</v>
      </c>
    </row>
    <row r="25" customFormat="false" ht="15" hidden="false" customHeight="false" outlineLevel="0" collapsed="false">
      <c r="A25" s="8" t="s">
        <v>441</v>
      </c>
      <c r="B25" s="8" t="s">
        <v>442</v>
      </c>
      <c r="C25" s="8" t="s">
        <v>57</v>
      </c>
      <c r="D25" s="8" t="n">
        <v>14</v>
      </c>
      <c r="E25" s="8" t="n">
        <v>476061</v>
      </c>
      <c r="F25" s="11" t="str">
        <f aca="false">INDEX(Caixas!$C:$C,MATCH(C25,Caixas!$A:$A,0))</f>
        <v>Devolução fechada</v>
      </c>
      <c r="G25" s="9" t="n">
        <v>0</v>
      </c>
      <c r="H25" s="9" t="n">
        <v>0</v>
      </c>
      <c r="I25" s="8" t="n">
        <f aca="false">IF(F25="Inteira CBP",D25,IF(OR(F25="Aberta",F25="Avulso"),G25,0))</f>
        <v>0</v>
      </c>
      <c r="J25" s="8" t="n">
        <f aca="false">IF(F25="Inteira CBTBE",D25,IF(OR(F25="Aberta",F25="Avulso"),H25,0))</f>
        <v>0</v>
      </c>
      <c r="K25" s="8" t="n">
        <f aca="false">D25-I25-J25</f>
        <v>14</v>
      </c>
    </row>
    <row r="26" customFormat="false" ht="15" hidden="false" customHeight="false" outlineLevel="0" collapsed="false">
      <c r="A26" s="8" t="s">
        <v>437</v>
      </c>
      <c r="B26" s="8" t="s">
        <v>438</v>
      </c>
      <c r="C26" s="8" t="s">
        <v>57</v>
      </c>
      <c r="D26" s="8" t="n">
        <v>36</v>
      </c>
      <c r="E26" s="8" t="n">
        <v>476065</v>
      </c>
      <c r="F26" s="11" t="str">
        <f aca="false">INDEX(Caixas!$C:$C,MATCH(C26,Caixas!$A:$A,0))</f>
        <v>Devolução fechada</v>
      </c>
      <c r="G26" s="9" t="n">
        <v>0</v>
      </c>
      <c r="H26" s="9" t="n">
        <v>0</v>
      </c>
      <c r="I26" s="8" t="n">
        <f aca="false">IF(F26="Inteira CBP",D26,IF(OR(F26="Aberta",F26="Avulso"),G26,0))</f>
        <v>0</v>
      </c>
      <c r="J26" s="8" t="n">
        <f aca="false">IF(F26="Inteira CBTBE",D26,IF(OR(F26="Aberta",F26="Avulso"),H26,0))</f>
        <v>0</v>
      </c>
      <c r="K26" s="8" t="n">
        <f aca="false">D26-I26-J26</f>
        <v>36</v>
      </c>
    </row>
    <row r="27" customFormat="false" ht="15" hidden="false" customHeight="false" outlineLevel="0" collapsed="false">
      <c r="A27" s="8" t="s">
        <v>443</v>
      </c>
      <c r="B27" s="8" t="s">
        <v>444</v>
      </c>
      <c r="C27" s="8" t="s">
        <v>57</v>
      </c>
      <c r="D27" s="8" t="n">
        <v>28</v>
      </c>
      <c r="E27" s="8" t="n">
        <v>476043</v>
      </c>
      <c r="F27" s="11" t="str">
        <f aca="false">INDEX(Caixas!$C:$C,MATCH(C27,Caixas!$A:$A,0))</f>
        <v>Devolução fechada</v>
      </c>
      <c r="G27" s="9" t="n">
        <v>0</v>
      </c>
      <c r="H27" s="9" t="n">
        <v>0</v>
      </c>
      <c r="I27" s="8" t="n">
        <f aca="false">IF(F27="Inteira CBP",D27,IF(OR(F27="Aberta",F27="Avulso"),G27,0))</f>
        <v>0</v>
      </c>
      <c r="J27" s="8" t="n">
        <f aca="false">IF(F27="Inteira CBTBE",D27,IF(OR(F27="Aberta",F27="Avulso"),H27,0))</f>
        <v>0</v>
      </c>
      <c r="K27" s="8" t="n">
        <f aca="false">D27-I27-J27</f>
        <v>28</v>
      </c>
    </row>
    <row r="28" customFormat="false" ht="15" hidden="false" customHeight="false" outlineLevel="0" collapsed="false">
      <c r="A28" s="8" t="s">
        <v>439</v>
      </c>
      <c r="B28" s="8" t="s">
        <v>440</v>
      </c>
      <c r="C28" s="8" t="s">
        <v>58</v>
      </c>
      <c r="D28" s="8" t="n">
        <v>42</v>
      </c>
      <c r="E28" s="8" t="n">
        <v>476065</v>
      </c>
      <c r="F28" s="11" t="str">
        <f aca="false">INDEX(Caixas!$C:$C,MATCH(C28,Caixas!$A:$A,0))</f>
        <v>Inteira CBP</v>
      </c>
      <c r="G28" s="9" t="n">
        <v>0</v>
      </c>
      <c r="H28" s="9" t="n">
        <v>0</v>
      </c>
      <c r="I28" s="8" t="n">
        <f aca="false">IF(F28="Inteira CBP",D28,IF(OR(F28="Aberta",F28="Avulso"),G28,0))</f>
        <v>42</v>
      </c>
      <c r="J28" s="8" t="n">
        <f aca="false">IF(F28="Inteira CBTBE",D28,IF(OR(F28="Aberta",F28="Avulso"),H28,0))</f>
        <v>0</v>
      </c>
      <c r="K28" s="8" t="n">
        <f aca="false">D28-I28-J28</f>
        <v>0</v>
      </c>
    </row>
    <row r="29" customFormat="false" ht="15" hidden="false" customHeight="false" outlineLevel="0" collapsed="false">
      <c r="A29" s="8" t="s">
        <v>441</v>
      </c>
      <c r="B29" s="8" t="s">
        <v>442</v>
      </c>
      <c r="C29" s="8" t="s">
        <v>58</v>
      </c>
      <c r="D29" s="8" t="n">
        <v>14</v>
      </c>
      <c r="E29" s="8" t="n">
        <v>476061</v>
      </c>
      <c r="F29" s="11" t="str">
        <f aca="false">INDEX(Caixas!$C:$C,MATCH(C29,Caixas!$A:$A,0))</f>
        <v>Inteira CBP</v>
      </c>
      <c r="G29" s="9" t="n">
        <v>0</v>
      </c>
      <c r="H29" s="9" t="n">
        <v>0</v>
      </c>
      <c r="I29" s="8" t="n">
        <f aca="false">IF(F29="Inteira CBP",D29,IF(OR(F29="Aberta",F29="Avulso"),G29,0))</f>
        <v>14</v>
      </c>
      <c r="J29" s="8" t="n">
        <f aca="false">IF(F29="Inteira CBTBE",D29,IF(OR(F29="Aberta",F29="Avulso"),H29,0))</f>
        <v>0</v>
      </c>
      <c r="K29" s="8" t="n">
        <f aca="false">D29-I29-J29</f>
        <v>0</v>
      </c>
    </row>
    <row r="30" customFormat="false" ht="15" hidden="false" customHeight="false" outlineLevel="0" collapsed="false">
      <c r="A30" s="8" t="s">
        <v>443</v>
      </c>
      <c r="B30" s="8" t="s">
        <v>444</v>
      </c>
      <c r="C30" s="8" t="s">
        <v>58</v>
      </c>
      <c r="D30" s="8" t="n">
        <v>28</v>
      </c>
      <c r="E30" s="8" t="n">
        <v>476043</v>
      </c>
      <c r="F30" s="11" t="str">
        <f aca="false">INDEX(Caixas!$C:$C,MATCH(C30,Caixas!$A:$A,0))</f>
        <v>Inteira CBP</v>
      </c>
      <c r="G30" s="9" t="n">
        <v>0</v>
      </c>
      <c r="H30" s="9" t="n">
        <v>0</v>
      </c>
      <c r="I30" s="8" t="n">
        <f aca="false">IF(F30="Inteira CBP",D30,IF(OR(F30="Aberta",F30="Avulso"),G30,0))</f>
        <v>28</v>
      </c>
      <c r="J30" s="8" t="n">
        <f aca="false">IF(F30="Inteira CBTBE",D30,IF(OR(F30="Aberta",F30="Avulso"),H30,0))</f>
        <v>0</v>
      </c>
      <c r="K30" s="8" t="n">
        <f aca="false">D30-I30-J30</f>
        <v>0</v>
      </c>
    </row>
    <row r="31" customFormat="false" ht="15" hidden="false" customHeight="false" outlineLevel="0" collapsed="false">
      <c r="A31" s="8" t="s">
        <v>445</v>
      </c>
      <c r="B31" s="8" t="s">
        <v>446</v>
      </c>
      <c r="C31" s="8" t="s">
        <v>60</v>
      </c>
      <c r="D31" s="8" t="n">
        <v>22</v>
      </c>
      <c r="E31" s="8" t="n">
        <v>476062</v>
      </c>
      <c r="F31" s="11" t="str">
        <f aca="false">INDEX(Caixas!$C:$C,MATCH(C31,Caixas!$A:$A,0))</f>
        <v>Inteira CBP</v>
      </c>
      <c r="G31" s="9" t="n">
        <v>0</v>
      </c>
      <c r="H31" s="9" t="n">
        <v>0</v>
      </c>
      <c r="I31" s="8" t="n">
        <f aca="false">IF(F31="Inteira CBP",D31,IF(OR(F31="Aberta",F31="Avulso"),G31,0))</f>
        <v>22</v>
      </c>
      <c r="J31" s="8" t="n">
        <f aca="false">IF(F31="Inteira CBTBE",D31,IF(OR(F31="Aberta",F31="Avulso"),H31,0))</f>
        <v>0</v>
      </c>
      <c r="K31" s="8" t="n">
        <f aca="false">D31-I31-J31</f>
        <v>0</v>
      </c>
    </row>
    <row r="32" customFormat="false" ht="15" hidden="false" customHeight="false" outlineLevel="0" collapsed="false">
      <c r="A32" s="8" t="s">
        <v>441</v>
      </c>
      <c r="B32" s="8" t="s">
        <v>442</v>
      </c>
      <c r="C32" s="8" t="s">
        <v>60</v>
      </c>
      <c r="D32" s="8" t="n">
        <v>14</v>
      </c>
      <c r="E32" s="8" t="n">
        <v>476061</v>
      </c>
      <c r="F32" s="11" t="str">
        <f aca="false">INDEX(Caixas!$C:$C,MATCH(C32,Caixas!$A:$A,0))</f>
        <v>Inteira CBP</v>
      </c>
      <c r="G32" s="9" t="n">
        <v>0</v>
      </c>
      <c r="H32" s="9" t="n">
        <v>0</v>
      </c>
      <c r="I32" s="8" t="n">
        <f aca="false">IF(F32="Inteira CBP",D32,IF(OR(F32="Aberta",F32="Avulso"),G32,0))</f>
        <v>14</v>
      </c>
      <c r="J32" s="8" t="n">
        <f aca="false">IF(F32="Inteira CBTBE",D32,IF(OR(F32="Aberta",F32="Avulso"),H32,0))</f>
        <v>0</v>
      </c>
      <c r="K32" s="8" t="n">
        <f aca="false">D32-I32-J32</f>
        <v>0</v>
      </c>
    </row>
    <row r="33" customFormat="false" ht="15" hidden="false" customHeight="false" outlineLevel="0" collapsed="false">
      <c r="A33" s="8" t="s">
        <v>437</v>
      </c>
      <c r="B33" s="8" t="s">
        <v>438</v>
      </c>
      <c r="C33" s="8" t="s">
        <v>60</v>
      </c>
      <c r="D33" s="8" t="n">
        <v>36</v>
      </c>
      <c r="E33" s="8" t="n">
        <v>476065</v>
      </c>
      <c r="F33" s="11" t="str">
        <f aca="false">INDEX(Caixas!$C:$C,MATCH(C33,Caixas!$A:$A,0))</f>
        <v>Inteira CBP</v>
      </c>
      <c r="G33" s="9" t="n">
        <v>0</v>
      </c>
      <c r="H33" s="9" t="n">
        <v>0</v>
      </c>
      <c r="I33" s="8" t="n">
        <f aca="false">IF(F33="Inteira CBP",D33,IF(OR(F33="Aberta",F33="Avulso"),G33,0))</f>
        <v>36</v>
      </c>
      <c r="J33" s="8" t="n">
        <f aca="false">IF(F33="Inteira CBTBE",D33,IF(OR(F33="Aberta",F33="Avulso"),H33,0))</f>
        <v>0</v>
      </c>
      <c r="K33" s="8" t="n">
        <f aca="false">D33-I33-J33</f>
        <v>0</v>
      </c>
    </row>
    <row r="34" customFormat="false" ht="15" hidden="false" customHeight="false" outlineLevel="0" collapsed="false">
      <c r="A34" s="8" t="s">
        <v>443</v>
      </c>
      <c r="B34" s="8" t="s">
        <v>444</v>
      </c>
      <c r="C34" s="8" t="s">
        <v>60</v>
      </c>
      <c r="D34" s="8" t="n">
        <v>28</v>
      </c>
      <c r="E34" s="8" t="n">
        <v>476043</v>
      </c>
      <c r="F34" s="11" t="str">
        <f aca="false">INDEX(Caixas!$C:$C,MATCH(C34,Caixas!$A:$A,0))</f>
        <v>Inteira CBP</v>
      </c>
      <c r="G34" s="9" t="n">
        <v>0</v>
      </c>
      <c r="H34" s="9" t="n">
        <v>0</v>
      </c>
      <c r="I34" s="8" t="n">
        <f aca="false">IF(F34="Inteira CBP",D34,IF(OR(F34="Aberta",F34="Avulso"),G34,0))</f>
        <v>28</v>
      </c>
      <c r="J34" s="8" t="n">
        <f aca="false">IF(F34="Inteira CBTBE",D34,IF(OR(F34="Aberta",F34="Avulso"),H34,0))</f>
        <v>0</v>
      </c>
      <c r="K34" s="8" t="n">
        <f aca="false">D34-I34-J34</f>
        <v>0</v>
      </c>
    </row>
    <row r="35" customFormat="false" ht="15" hidden="false" customHeight="false" outlineLevel="0" collapsed="false">
      <c r="A35" s="8" t="s">
        <v>447</v>
      </c>
      <c r="B35" s="8" t="s">
        <v>448</v>
      </c>
      <c r="C35" s="8" t="s">
        <v>63</v>
      </c>
      <c r="D35" s="8" t="n">
        <v>40</v>
      </c>
      <c r="E35" s="8" t="n">
        <v>476065</v>
      </c>
      <c r="F35" s="11" t="str">
        <f aca="false">INDEX(Caixas!$C:$C,MATCH(C35,Caixas!$A:$A,0))</f>
        <v>Devolução fechada</v>
      </c>
      <c r="G35" s="9" t="n">
        <v>0</v>
      </c>
      <c r="H35" s="9" t="n">
        <v>0</v>
      </c>
      <c r="I35" s="8" t="n">
        <f aca="false">IF(F35="Inteira CBP",D35,IF(OR(F35="Aberta",F35="Avulso"),G35,0))</f>
        <v>0</v>
      </c>
      <c r="J35" s="8" t="n">
        <f aca="false">IF(F35="Inteira CBTBE",D35,IF(OR(F35="Aberta",F35="Avulso"),H35,0))</f>
        <v>0</v>
      </c>
      <c r="K35" s="8" t="n">
        <f aca="false">D35-I35-J35</f>
        <v>40</v>
      </c>
    </row>
    <row r="36" customFormat="false" ht="15" hidden="false" customHeight="false" outlineLevel="0" collapsed="false">
      <c r="A36" s="8" t="s">
        <v>449</v>
      </c>
      <c r="B36" s="8" t="s">
        <v>450</v>
      </c>
      <c r="C36" s="8" t="s">
        <v>65</v>
      </c>
      <c r="D36" s="8" t="n">
        <v>34</v>
      </c>
      <c r="E36" s="8" t="n">
        <v>476065</v>
      </c>
      <c r="F36" s="11" t="str">
        <f aca="false">INDEX(Caixas!$C:$C,MATCH(C36,Caixas!$A:$A,0))</f>
        <v>Devolução fechada</v>
      </c>
      <c r="G36" s="9" t="n">
        <v>0</v>
      </c>
      <c r="H36" s="9" t="n">
        <v>0</v>
      </c>
      <c r="I36" s="8" t="n">
        <f aca="false">IF(F36="Inteira CBP",D36,IF(OR(F36="Aberta",F36="Avulso"),G36,0))</f>
        <v>0</v>
      </c>
      <c r="J36" s="8" t="n">
        <f aca="false">IF(F36="Inteira CBTBE",D36,IF(OR(F36="Aberta",F36="Avulso"),H36,0))</f>
        <v>0</v>
      </c>
      <c r="K36" s="8" t="n">
        <f aca="false">D36-I36-J36</f>
        <v>34</v>
      </c>
    </row>
    <row r="37" customFormat="false" ht="15" hidden="false" customHeight="false" outlineLevel="0" collapsed="false">
      <c r="A37" s="8" t="s">
        <v>451</v>
      </c>
      <c r="B37" s="8" t="s">
        <v>452</v>
      </c>
      <c r="C37" s="8" t="s">
        <v>66</v>
      </c>
      <c r="D37" s="8" t="n">
        <v>24</v>
      </c>
      <c r="E37" s="8" t="n">
        <v>476043</v>
      </c>
      <c r="F37" s="11" t="str">
        <f aca="false">INDEX(Caixas!$C:$C,MATCH(C37,Caixas!$A:$A,0))</f>
        <v>Inteira CBTBE</v>
      </c>
      <c r="G37" s="9" t="n">
        <v>0</v>
      </c>
      <c r="H37" s="9" t="n">
        <v>0</v>
      </c>
      <c r="I37" s="8" t="n">
        <f aca="false">IF(F37="Inteira CBP",D37,IF(OR(F37="Aberta",F37="Avulso"),G37,0))</f>
        <v>0</v>
      </c>
      <c r="J37" s="8" t="n">
        <f aca="false">IF(F37="Inteira CBTBE",D37,IF(OR(F37="Aberta",F37="Avulso"),H37,0))</f>
        <v>24</v>
      </c>
      <c r="K37" s="8" t="n">
        <f aca="false">D37-I37-J37</f>
        <v>0</v>
      </c>
    </row>
    <row r="38" customFormat="false" ht="15" hidden="false" customHeight="false" outlineLevel="0" collapsed="false">
      <c r="A38" s="8" t="s">
        <v>437</v>
      </c>
      <c r="B38" s="8" t="s">
        <v>438</v>
      </c>
      <c r="C38" s="8" t="s">
        <v>66</v>
      </c>
      <c r="D38" s="8" t="n">
        <v>36</v>
      </c>
      <c r="E38" s="8" t="n">
        <v>476065</v>
      </c>
      <c r="F38" s="11" t="str">
        <f aca="false">INDEX(Caixas!$C:$C,MATCH(C38,Caixas!$A:$A,0))</f>
        <v>Inteira CBTBE</v>
      </c>
      <c r="G38" s="9" t="n">
        <v>0</v>
      </c>
      <c r="H38" s="9" t="n">
        <v>0</v>
      </c>
      <c r="I38" s="8" t="n">
        <f aca="false">IF(F38="Inteira CBP",D38,IF(OR(F38="Aberta",F38="Avulso"),G38,0))</f>
        <v>0</v>
      </c>
      <c r="J38" s="8" t="n">
        <f aca="false">IF(F38="Inteira CBTBE",D38,IF(OR(F38="Aberta",F38="Avulso"),H38,0))</f>
        <v>36</v>
      </c>
      <c r="K38" s="8" t="n">
        <f aca="false">D38-I38-J38</f>
        <v>0</v>
      </c>
    </row>
    <row r="39" customFormat="false" ht="15" hidden="false" customHeight="false" outlineLevel="0" collapsed="false">
      <c r="A39" s="8" t="s">
        <v>453</v>
      </c>
      <c r="B39" s="8" t="s">
        <v>454</v>
      </c>
      <c r="C39" s="8" t="s">
        <v>68</v>
      </c>
      <c r="D39" s="8" t="n">
        <v>28</v>
      </c>
      <c r="E39" s="8" t="n">
        <v>476065</v>
      </c>
      <c r="F39" s="11" t="str">
        <f aca="false">INDEX(Caixas!$C:$C,MATCH(C39,Caixas!$A:$A,0))</f>
        <v>Inteira CBTBE</v>
      </c>
      <c r="G39" s="9" t="n">
        <v>0</v>
      </c>
      <c r="H39" s="9" t="n">
        <v>0</v>
      </c>
      <c r="I39" s="8" t="n">
        <f aca="false">IF(F39="Inteira CBP",D39,IF(OR(F39="Aberta",F39="Avulso"),G39,0))</f>
        <v>0</v>
      </c>
      <c r="J39" s="8" t="n">
        <f aca="false">IF(F39="Inteira CBTBE",D39,IF(OR(F39="Aberta",F39="Avulso"),H39,0))</f>
        <v>28</v>
      </c>
      <c r="K39" s="8" t="n">
        <f aca="false">D39-I39-J39</f>
        <v>0</v>
      </c>
    </row>
    <row r="40" customFormat="false" ht="15" hidden="false" customHeight="false" outlineLevel="0" collapsed="false">
      <c r="A40" s="8" t="s">
        <v>451</v>
      </c>
      <c r="B40" s="8" t="s">
        <v>452</v>
      </c>
      <c r="C40" s="8" t="s">
        <v>68</v>
      </c>
      <c r="D40" s="8" t="n">
        <v>24</v>
      </c>
      <c r="E40" s="8" t="n">
        <v>476043</v>
      </c>
      <c r="F40" s="11" t="str">
        <f aca="false">INDEX(Caixas!$C:$C,MATCH(C40,Caixas!$A:$A,0))</f>
        <v>Inteira CBTBE</v>
      </c>
      <c r="G40" s="9" t="n">
        <v>0</v>
      </c>
      <c r="H40" s="9" t="n">
        <v>0</v>
      </c>
      <c r="I40" s="8" t="n">
        <f aca="false">IF(F40="Inteira CBP",D40,IF(OR(F40="Aberta",F40="Avulso"),G40,0))</f>
        <v>0</v>
      </c>
      <c r="J40" s="8" t="n">
        <f aca="false">IF(F40="Inteira CBTBE",D40,IF(OR(F40="Aberta",F40="Avulso"),H40,0))</f>
        <v>24</v>
      </c>
      <c r="K40" s="8" t="n">
        <f aca="false">D40-I40-J40</f>
        <v>0</v>
      </c>
    </row>
    <row r="41" customFormat="false" ht="15" hidden="false" customHeight="false" outlineLevel="0" collapsed="false">
      <c r="A41" s="8" t="s">
        <v>429</v>
      </c>
      <c r="B41" s="8" t="s">
        <v>430</v>
      </c>
      <c r="C41" s="8" t="s">
        <v>69</v>
      </c>
      <c r="D41" s="8" t="n">
        <v>30</v>
      </c>
      <c r="E41" s="8" t="n">
        <v>476065</v>
      </c>
      <c r="F41" s="11" t="str">
        <f aca="false">INDEX(Caixas!$C:$C,MATCH(C41,Caixas!$A:$A,0))</f>
        <v>Aberta</v>
      </c>
      <c r="G41" s="9" t="n">
        <v>10</v>
      </c>
      <c r="H41" s="9" t="n">
        <v>0</v>
      </c>
      <c r="I41" s="8" t="n">
        <f aca="false">IF(F41="Inteira CBP",D41,IF(OR(F41="Aberta",F41="Avulso"),G41,0))</f>
        <v>10</v>
      </c>
      <c r="J41" s="8" t="n">
        <f aca="false">IF(F41="Inteira CBTBE",D41,IF(OR(F41="Aberta",F41="Avulso"),H41,0))</f>
        <v>0</v>
      </c>
      <c r="K41" s="8" t="n">
        <f aca="false">D41-I41-J41</f>
        <v>20</v>
      </c>
    </row>
    <row r="42" customFormat="false" ht="15" hidden="false" customHeight="false" outlineLevel="0" collapsed="false">
      <c r="A42" s="8" t="s">
        <v>451</v>
      </c>
      <c r="B42" s="8" t="s">
        <v>452</v>
      </c>
      <c r="C42" s="8" t="s">
        <v>69</v>
      </c>
      <c r="D42" s="8" t="n">
        <v>24</v>
      </c>
      <c r="E42" s="8" t="n">
        <v>476043</v>
      </c>
      <c r="F42" s="11" t="str">
        <f aca="false">INDEX(Caixas!$C:$C,MATCH(C42,Caixas!$A:$A,0))</f>
        <v>Aberta</v>
      </c>
      <c r="G42" s="9" t="n">
        <v>0</v>
      </c>
      <c r="H42" s="9" t="n">
        <v>24</v>
      </c>
      <c r="I42" s="8" t="n">
        <f aca="false">IF(F42="Inteira CBP",D42,IF(OR(F42="Aberta",F42="Avulso"),G42,0))</f>
        <v>0</v>
      </c>
      <c r="J42" s="8" t="n">
        <f aca="false">IF(F42="Inteira CBTBE",D42,IF(OR(F42="Aberta",F42="Avulso"),H42,0))</f>
        <v>24</v>
      </c>
      <c r="K42" s="8" t="n">
        <f aca="false">D42-I42-J42</f>
        <v>0</v>
      </c>
    </row>
    <row r="43" customFormat="false" ht="15" hidden="false" customHeight="false" outlineLevel="0" collapsed="false">
      <c r="A43" s="8" t="s">
        <v>455</v>
      </c>
      <c r="B43" s="8" t="s">
        <v>456</v>
      </c>
      <c r="C43" s="8" t="s">
        <v>69</v>
      </c>
      <c r="D43" s="8" t="n">
        <v>30</v>
      </c>
      <c r="E43" s="8" t="n">
        <v>476061</v>
      </c>
      <c r="F43" s="11" t="str">
        <f aca="false">INDEX(Caixas!$C:$C,MATCH(C43,Caixas!$A:$A,0))</f>
        <v>Aberta</v>
      </c>
      <c r="G43" s="9" t="n">
        <v>30</v>
      </c>
      <c r="H43" s="9" t="n">
        <v>0</v>
      </c>
      <c r="I43" s="8" t="n">
        <f aca="false">IF(F43="Inteira CBP",D43,IF(OR(F43="Aberta",F43="Avulso"),G43,0))</f>
        <v>30</v>
      </c>
      <c r="J43" s="8" t="n">
        <f aca="false">IF(F43="Inteira CBTBE",D43,IF(OR(F43="Aberta",F43="Avulso"),H43,0))</f>
        <v>0</v>
      </c>
      <c r="K43" s="8" t="n">
        <f aca="false">D43-I43-J43</f>
        <v>0</v>
      </c>
    </row>
    <row r="44" customFormat="false" ht="15" hidden="false" customHeight="false" outlineLevel="0" collapsed="false">
      <c r="A44" s="8" t="s">
        <v>435</v>
      </c>
      <c r="B44" s="8" t="s">
        <v>436</v>
      </c>
      <c r="C44" s="8" t="s">
        <v>71</v>
      </c>
      <c r="D44" s="8" t="n">
        <v>20</v>
      </c>
      <c r="E44" s="8" t="n">
        <v>476065</v>
      </c>
      <c r="F44" s="11" t="str">
        <f aca="false">INDEX(Caixas!$C:$C,MATCH(C44,Caixas!$A:$A,0))</f>
        <v>Devolução fechada</v>
      </c>
      <c r="G44" s="9" t="n">
        <v>0</v>
      </c>
      <c r="H44" s="9" t="n">
        <v>0</v>
      </c>
      <c r="I44" s="8" t="n">
        <f aca="false">IF(F44="Inteira CBP",D44,IF(OR(F44="Aberta",F44="Avulso"),G44,0))</f>
        <v>0</v>
      </c>
      <c r="J44" s="8" t="n">
        <f aca="false">IF(F44="Inteira CBTBE",D44,IF(OR(F44="Aberta",F44="Avulso"),H44,0))</f>
        <v>0</v>
      </c>
      <c r="K44" s="8" t="n">
        <f aca="false">D44-I44-J44</f>
        <v>20</v>
      </c>
    </row>
    <row r="45" customFormat="false" ht="15" hidden="false" customHeight="false" outlineLevel="0" collapsed="false">
      <c r="A45" s="8" t="s">
        <v>455</v>
      </c>
      <c r="B45" s="8" t="s">
        <v>456</v>
      </c>
      <c r="C45" s="8" t="s">
        <v>71</v>
      </c>
      <c r="D45" s="8" t="n">
        <v>30</v>
      </c>
      <c r="E45" s="8" t="n">
        <v>476061</v>
      </c>
      <c r="F45" s="11" t="str">
        <f aca="false">INDEX(Caixas!$C:$C,MATCH(C45,Caixas!$A:$A,0))</f>
        <v>Devolução fechada</v>
      </c>
      <c r="G45" s="9" t="n">
        <v>0</v>
      </c>
      <c r="H45" s="9" t="n">
        <v>0</v>
      </c>
      <c r="I45" s="8" t="n">
        <f aca="false">IF(F45="Inteira CBP",D45,IF(OR(F45="Aberta",F45="Avulso"),G45,0))</f>
        <v>0</v>
      </c>
      <c r="J45" s="8" t="n">
        <f aca="false">IF(F45="Inteira CBTBE",D45,IF(OR(F45="Aberta",F45="Avulso"),H45,0))</f>
        <v>0</v>
      </c>
      <c r="K45" s="8" t="n">
        <f aca="false">D45-I45-J45</f>
        <v>30</v>
      </c>
    </row>
    <row r="46" customFormat="false" ht="15" hidden="false" customHeight="false" outlineLevel="0" collapsed="false">
      <c r="A46" s="8" t="s">
        <v>457</v>
      </c>
      <c r="B46" s="8" t="s">
        <v>458</v>
      </c>
      <c r="C46" s="8" t="s">
        <v>71</v>
      </c>
      <c r="D46" s="8" t="n">
        <v>18</v>
      </c>
      <c r="E46" s="8" t="n">
        <v>476043</v>
      </c>
      <c r="F46" s="11" t="str">
        <f aca="false">INDEX(Caixas!$C:$C,MATCH(C46,Caixas!$A:$A,0))</f>
        <v>Devolução fechada</v>
      </c>
      <c r="G46" s="9" t="n">
        <v>0</v>
      </c>
      <c r="H46" s="9" t="n">
        <v>0</v>
      </c>
      <c r="I46" s="8" t="n">
        <f aca="false">IF(F46="Inteira CBP",D46,IF(OR(F46="Aberta",F46="Avulso"),G46,0))</f>
        <v>0</v>
      </c>
      <c r="J46" s="8" t="n">
        <f aca="false">IF(F46="Inteira CBTBE",D46,IF(OR(F46="Aberta",F46="Avulso"),H46,0))</f>
        <v>0</v>
      </c>
      <c r="K46" s="8" t="n">
        <f aca="false">D46-I46-J46</f>
        <v>18</v>
      </c>
    </row>
    <row r="47" customFormat="false" ht="15" hidden="false" customHeight="false" outlineLevel="0" collapsed="false">
      <c r="A47" s="8" t="s">
        <v>453</v>
      </c>
      <c r="B47" s="8" t="s">
        <v>454</v>
      </c>
      <c r="C47" s="8" t="s">
        <v>72</v>
      </c>
      <c r="D47" s="8" t="n">
        <v>28</v>
      </c>
      <c r="E47" s="8" t="n">
        <v>476065</v>
      </c>
      <c r="F47" s="11" t="str">
        <f aca="false">INDEX(Caixas!$C:$C,MATCH(C47,Caixas!$A:$A,0))</f>
        <v>Aberta</v>
      </c>
      <c r="G47" s="9" t="n">
        <v>8</v>
      </c>
      <c r="H47" s="9" t="n">
        <v>11</v>
      </c>
      <c r="I47" s="8" t="n">
        <f aca="false">IF(F47="Inteira CBP",D47,IF(OR(F47="Aberta",F47="Avulso"),G47,0))</f>
        <v>8</v>
      </c>
      <c r="J47" s="8" t="n">
        <f aca="false">IF(F47="Inteira CBTBE",D47,IF(OR(F47="Aberta",F47="Avulso"),H47,0))</f>
        <v>11</v>
      </c>
      <c r="K47" s="8" t="n">
        <f aca="false">D47-I47-J47</f>
        <v>9</v>
      </c>
    </row>
    <row r="48" customFormat="false" ht="15" hidden="false" customHeight="false" outlineLevel="0" collapsed="false">
      <c r="A48" s="8" t="s">
        <v>455</v>
      </c>
      <c r="B48" s="8" t="s">
        <v>456</v>
      </c>
      <c r="C48" s="8" t="s">
        <v>72</v>
      </c>
      <c r="D48" s="8" t="n">
        <v>30</v>
      </c>
      <c r="E48" s="8" t="n">
        <v>476061</v>
      </c>
      <c r="F48" s="11" t="str">
        <f aca="false">INDEX(Caixas!$C:$C,MATCH(C48,Caixas!$A:$A,0))</f>
        <v>Aberta</v>
      </c>
      <c r="G48" s="9" t="n">
        <v>0</v>
      </c>
      <c r="H48" s="9" t="n">
        <v>30</v>
      </c>
      <c r="I48" s="8" t="n">
        <f aca="false">IF(F48="Inteira CBP",D48,IF(OR(F48="Aberta",F48="Avulso"),G48,0))</f>
        <v>0</v>
      </c>
      <c r="J48" s="8" t="n">
        <f aca="false">IF(F48="Inteira CBTBE",D48,IF(OR(F48="Aberta",F48="Avulso"),H48,0))</f>
        <v>30</v>
      </c>
      <c r="K48" s="8" t="n">
        <f aca="false">D48-I48-J48</f>
        <v>0</v>
      </c>
    </row>
    <row r="49" customFormat="false" ht="15" hidden="false" customHeight="false" outlineLevel="0" collapsed="false">
      <c r="A49" s="8" t="s">
        <v>459</v>
      </c>
      <c r="B49" s="8" t="s">
        <v>460</v>
      </c>
      <c r="C49" s="8" t="s">
        <v>72</v>
      </c>
      <c r="D49" s="8" t="n">
        <v>38</v>
      </c>
      <c r="E49" s="8" t="n">
        <v>476043</v>
      </c>
      <c r="F49" s="11" t="str">
        <f aca="false">INDEX(Caixas!$C:$C,MATCH(C49,Caixas!$A:$A,0))</f>
        <v>Aberta</v>
      </c>
      <c r="G49" s="9" t="n">
        <v>4</v>
      </c>
      <c r="H49" s="9" t="n">
        <v>8</v>
      </c>
      <c r="I49" s="8" t="n">
        <f aca="false">IF(F49="Inteira CBP",D49,IF(OR(F49="Aberta",F49="Avulso"),G49,0))</f>
        <v>4</v>
      </c>
      <c r="J49" s="8" t="n">
        <f aca="false">IF(F49="Inteira CBTBE",D49,IF(OR(F49="Aberta",F49="Avulso"),H49,0))</f>
        <v>8</v>
      </c>
      <c r="K49" s="8" t="n">
        <f aca="false">D49-I49-J49</f>
        <v>26</v>
      </c>
    </row>
    <row r="50" customFormat="false" ht="15" hidden="false" customHeight="false" outlineLevel="0" collapsed="false">
      <c r="A50" s="8" t="s">
        <v>429</v>
      </c>
      <c r="B50" s="8" t="s">
        <v>430</v>
      </c>
      <c r="C50" s="8" t="s">
        <v>73</v>
      </c>
      <c r="D50" s="8" t="n">
        <v>30</v>
      </c>
      <c r="E50" s="8" t="n">
        <v>476065</v>
      </c>
      <c r="F50" s="11" t="str">
        <f aca="false">INDEX(Caixas!$C:$C,MATCH(C50,Caixas!$A:$A,0))</f>
        <v>Inteira CBP</v>
      </c>
      <c r="G50" s="9" t="n">
        <v>0</v>
      </c>
      <c r="H50" s="9" t="n">
        <v>0</v>
      </c>
      <c r="I50" s="8" t="n">
        <f aca="false">IF(F50="Inteira CBP",D50,IF(OR(F50="Aberta",F50="Avulso"),G50,0))</f>
        <v>30</v>
      </c>
      <c r="J50" s="8" t="n">
        <f aca="false">IF(F50="Inteira CBTBE",D50,IF(OR(F50="Aberta",F50="Avulso"),H50,0))</f>
        <v>0</v>
      </c>
      <c r="K50" s="8" t="n">
        <f aca="false">D50-I50-J50</f>
        <v>0</v>
      </c>
    </row>
    <row r="51" customFormat="false" ht="15" hidden="false" customHeight="false" outlineLevel="0" collapsed="false">
      <c r="A51" s="8" t="s">
        <v>455</v>
      </c>
      <c r="B51" s="8" t="s">
        <v>456</v>
      </c>
      <c r="C51" s="8" t="s">
        <v>73</v>
      </c>
      <c r="D51" s="8" t="n">
        <v>30</v>
      </c>
      <c r="E51" s="8" t="n">
        <v>476061</v>
      </c>
      <c r="F51" s="11" t="str">
        <f aca="false">INDEX(Caixas!$C:$C,MATCH(C51,Caixas!$A:$A,0))</f>
        <v>Inteira CBP</v>
      </c>
      <c r="G51" s="9" t="n">
        <v>0</v>
      </c>
      <c r="H51" s="9" t="n">
        <v>0</v>
      </c>
      <c r="I51" s="8" t="n">
        <f aca="false">IF(F51="Inteira CBP",D51,IF(OR(F51="Aberta",F51="Avulso"),G51,0))</f>
        <v>30</v>
      </c>
      <c r="J51" s="8" t="n">
        <f aca="false">IF(F51="Inteira CBTBE",D51,IF(OR(F51="Aberta",F51="Avulso"),H51,0))</f>
        <v>0</v>
      </c>
      <c r="K51" s="8" t="n">
        <f aca="false">D51-I51-J51</f>
        <v>0</v>
      </c>
    </row>
    <row r="52" customFormat="false" ht="15" hidden="false" customHeight="false" outlineLevel="0" collapsed="false">
      <c r="A52" s="8" t="s">
        <v>459</v>
      </c>
      <c r="B52" s="8" t="s">
        <v>460</v>
      </c>
      <c r="C52" s="8" t="s">
        <v>73</v>
      </c>
      <c r="D52" s="8" t="n">
        <v>38</v>
      </c>
      <c r="E52" s="8" t="n">
        <v>476043</v>
      </c>
      <c r="F52" s="11" t="str">
        <f aca="false">INDEX(Caixas!$C:$C,MATCH(C52,Caixas!$A:$A,0))</f>
        <v>Inteira CBP</v>
      </c>
      <c r="G52" s="9" t="n">
        <v>0</v>
      </c>
      <c r="H52" s="9" t="n">
        <v>0</v>
      </c>
      <c r="I52" s="8" t="n">
        <f aca="false">IF(F52="Inteira CBP",D52,IF(OR(F52="Aberta",F52="Avulso"),G52,0))</f>
        <v>38</v>
      </c>
      <c r="J52" s="8" t="n">
        <f aca="false">IF(F52="Inteira CBTBE",D52,IF(OR(F52="Aberta",F52="Avulso"),H52,0))</f>
        <v>0</v>
      </c>
      <c r="K52" s="8" t="n">
        <f aca="false">D52-I52-J52</f>
        <v>0</v>
      </c>
    </row>
    <row r="53" customFormat="false" ht="15" hidden="false" customHeight="false" outlineLevel="0" collapsed="false">
      <c r="A53" s="8" t="s">
        <v>435</v>
      </c>
      <c r="B53" s="8" t="s">
        <v>436</v>
      </c>
      <c r="C53" s="8" t="s">
        <v>74</v>
      </c>
      <c r="D53" s="8" t="n">
        <v>20</v>
      </c>
      <c r="E53" s="8" t="n">
        <v>476065</v>
      </c>
      <c r="F53" s="11" t="str">
        <f aca="false">INDEX(Caixas!$C:$C,MATCH(C53,Caixas!$A:$A,0))</f>
        <v>Inteira CBP</v>
      </c>
      <c r="G53" s="9" t="n">
        <v>0</v>
      </c>
      <c r="H53" s="9" t="n">
        <v>0</v>
      </c>
      <c r="I53" s="8" t="n">
        <f aca="false">IF(F53="Inteira CBP",D53,IF(OR(F53="Aberta",F53="Avulso"),G53,0))</f>
        <v>20</v>
      </c>
      <c r="J53" s="8" t="n">
        <f aca="false">IF(F53="Inteira CBTBE",D53,IF(OR(F53="Aberta",F53="Avulso"),H53,0))</f>
        <v>0</v>
      </c>
      <c r="K53" s="8" t="n">
        <f aca="false">D53-I53-J53</f>
        <v>0</v>
      </c>
    </row>
    <row r="54" customFormat="false" ht="15" hidden="false" customHeight="false" outlineLevel="0" collapsed="false">
      <c r="A54" s="8" t="s">
        <v>459</v>
      </c>
      <c r="B54" s="8" t="s">
        <v>460</v>
      </c>
      <c r="C54" s="8" t="s">
        <v>74</v>
      </c>
      <c r="D54" s="8" t="n">
        <v>38</v>
      </c>
      <c r="E54" s="8" t="n">
        <v>476043</v>
      </c>
      <c r="F54" s="11" t="str">
        <f aca="false">INDEX(Caixas!$C:$C,MATCH(C54,Caixas!$A:$A,0))</f>
        <v>Inteira CBP</v>
      </c>
      <c r="G54" s="9" t="n">
        <v>0</v>
      </c>
      <c r="H54" s="9" t="n">
        <v>0</v>
      </c>
      <c r="I54" s="8" t="n">
        <f aca="false">IF(F54="Inteira CBP",D54,IF(OR(F54="Aberta",F54="Avulso"),G54,0))</f>
        <v>38</v>
      </c>
      <c r="J54" s="8" t="n">
        <f aca="false">IF(F54="Inteira CBTBE",D54,IF(OR(F54="Aberta",F54="Avulso"),H54,0))</f>
        <v>0</v>
      </c>
      <c r="K54" s="8" t="n">
        <f aca="false">D54-I54-J54</f>
        <v>0</v>
      </c>
    </row>
    <row r="55" customFormat="false" ht="15" hidden="false" customHeight="false" outlineLevel="0" collapsed="false">
      <c r="A55" s="8" t="s">
        <v>453</v>
      </c>
      <c r="B55" s="8" t="s">
        <v>454</v>
      </c>
      <c r="C55" s="8" t="s">
        <v>75</v>
      </c>
      <c r="D55" s="8" t="n">
        <v>28</v>
      </c>
      <c r="E55" s="8" t="n">
        <v>476065</v>
      </c>
      <c r="F55" s="11" t="str">
        <f aca="false">INDEX(Caixas!$C:$C,MATCH(C55,Caixas!$A:$A,0))</f>
        <v>Devolução fechada</v>
      </c>
      <c r="G55" s="9" t="n">
        <v>0</v>
      </c>
      <c r="H55" s="9" t="n">
        <v>0</v>
      </c>
      <c r="I55" s="8" t="n">
        <f aca="false">IF(F55="Inteira CBP",D55,IF(OR(F55="Aberta",F55="Avulso"),G55,0))</f>
        <v>0</v>
      </c>
      <c r="J55" s="8" t="n">
        <f aca="false">IF(F55="Inteira CBTBE",D55,IF(OR(F55="Aberta",F55="Avulso"),H55,0))</f>
        <v>0</v>
      </c>
      <c r="K55" s="8" t="n">
        <f aca="false">D55-I55-J55</f>
        <v>28</v>
      </c>
    </row>
    <row r="56" customFormat="false" ht="15" hidden="false" customHeight="false" outlineLevel="0" collapsed="false">
      <c r="A56" s="8" t="s">
        <v>459</v>
      </c>
      <c r="B56" s="8" t="s">
        <v>460</v>
      </c>
      <c r="C56" s="8" t="s">
        <v>75</v>
      </c>
      <c r="D56" s="8" t="n">
        <v>38</v>
      </c>
      <c r="E56" s="8" t="n">
        <v>476043</v>
      </c>
      <c r="F56" s="11" t="str">
        <f aca="false">INDEX(Caixas!$C:$C,MATCH(C56,Caixas!$A:$A,0))</f>
        <v>Devolução fechada</v>
      </c>
      <c r="G56" s="9" t="n">
        <v>0</v>
      </c>
      <c r="H56" s="9" t="n">
        <v>0</v>
      </c>
      <c r="I56" s="8" t="n">
        <f aca="false">IF(F56="Inteira CBP",D56,IF(OR(F56="Aberta",F56="Avulso"),G56,0))</f>
        <v>0</v>
      </c>
      <c r="J56" s="8" t="n">
        <f aca="false">IF(F56="Inteira CBTBE",D56,IF(OR(F56="Aberta",F56="Avulso"),H56,0))</f>
        <v>0</v>
      </c>
      <c r="K56" s="8" t="n">
        <f aca="false">D56-I56-J56</f>
        <v>38</v>
      </c>
    </row>
    <row r="57" customFormat="false" ht="15" hidden="false" customHeight="false" outlineLevel="0" collapsed="false">
      <c r="A57" s="8" t="s">
        <v>461</v>
      </c>
      <c r="B57" s="8" t="s">
        <v>462</v>
      </c>
      <c r="C57" s="8" t="s">
        <v>76</v>
      </c>
      <c r="D57" s="8" t="n">
        <v>22</v>
      </c>
      <c r="E57" s="8" t="n">
        <v>476061</v>
      </c>
      <c r="F57" s="11" t="str">
        <f aca="false">INDEX(Caixas!$C:$C,MATCH(C57,Caixas!$A:$A,0))</f>
        <v>Inteira CBP</v>
      </c>
      <c r="G57" s="9" t="n">
        <v>0</v>
      </c>
      <c r="H57" s="9" t="n">
        <v>0</v>
      </c>
      <c r="I57" s="8" t="n">
        <f aca="false">IF(F57="Inteira CBP",D57,IF(OR(F57="Aberta",F57="Avulso"),G57,0))</f>
        <v>22</v>
      </c>
      <c r="J57" s="8" t="n">
        <f aca="false">IF(F57="Inteira CBTBE",D57,IF(OR(F57="Aberta",F57="Avulso"),H57,0))</f>
        <v>0</v>
      </c>
      <c r="K57" s="8" t="n">
        <f aca="false">D57-I57-J57</f>
        <v>0</v>
      </c>
    </row>
    <row r="58" customFormat="false" ht="15" hidden="false" customHeight="false" outlineLevel="0" collapsed="false">
      <c r="A58" s="8" t="s">
        <v>449</v>
      </c>
      <c r="B58" s="8" t="s">
        <v>450</v>
      </c>
      <c r="C58" s="8" t="s">
        <v>76</v>
      </c>
      <c r="D58" s="8" t="n">
        <v>34</v>
      </c>
      <c r="E58" s="8" t="n">
        <v>476065</v>
      </c>
      <c r="F58" s="11" t="str">
        <f aca="false">INDEX(Caixas!$C:$C,MATCH(C58,Caixas!$A:$A,0))</f>
        <v>Inteira CBP</v>
      </c>
      <c r="G58" s="9" t="n">
        <v>0</v>
      </c>
      <c r="H58" s="9" t="n">
        <v>0</v>
      </c>
      <c r="I58" s="8" t="n">
        <f aca="false">IF(F58="Inteira CBP",D58,IF(OR(F58="Aberta",F58="Avulso"),G58,0))</f>
        <v>34</v>
      </c>
      <c r="J58" s="8" t="n">
        <f aca="false">IF(F58="Inteira CBTBE",D58,IF(OR(F58="Aberta",F58="Avulso"),H58,0))</f>
        <v>0</v>
      </c>
      <c r="K58" s="8" t="n">
        <f aca="false">D58-I58-J58</f>
        <v>0</v>
      </c>
    </row>
    <row r="59" customFormat="false" ht="15" hidden="false" customHeight="false" outlineLevel="0" collapsed="false">
      <c r="A59" s="8" t="s">
        <v>463</v>
      </c>
      <c r="B59" s="8" t="s">
        <v>464</v>
      </c>
      <c r="C59" s="8" t="s">
        <v>76</v>
      </c>
      <c r="D59" s="8" t="n">
        <v>48</v>
      </c>
      <c r="E59" s="8" t="n">
        <v>476043</v>
      </c>
      <c r="F59" s="11" t="str">
        <f aca="false">INDEX(Caixas!$C:$C,MATCH(C59,Caixas!$A:$A,0))</f>
        <v>Inteira CBP</v>
      </c>
      <c r="G59" s="9" t="n">
        <v>0</v>
      </c>
      <c r="H59" s="9" t="n">
        <v>0</v>
      </c>
      <c r="I59" s="8" t="n">
        <f aca="false">IF(F59="Inteira CBP",D59,IF(OR(F59="Aberta",F59="Avulso"),G59,0))</f>
        <v>48</v>
      </c>
      <c r="J59" s="8" t="n">
        <f aca="false">IF(F59="Inteira CBTBE",D59,IF(OR(F59="Aberta",F59="Avulso"),H59,0))</f>
        <v>0</v>
      </c>
      <c r="K59" s="8" t="n">
        <f aca="false">D59-I59-J59</f>
        <v>0</v>
      </c>
    </row>
    <row r="60" customFormat="false" ht="15" hidden="false" customHeight="false" outlineLevel="0" collapsed="false">
      <c r="A60" s="8" t="s">
        <v>465</v>
      </c>
      <c r="B60" s="8" t="s">
        <v>466</v>
      </c>
      <c r="C60" s="8" t="s">
        <v>78</v>
      </c>
      <c r="D60" s="8" t="n">
        <v>30</v>
      </c>
      <c r="E60" s="8" t="n">
        <v>476043</v>
      </c>
      <c r="F60" s="11" t="str">
        <f aca="false">INDEX(Caixas!$C:$C,MATCH(C60,Caixas!$A:$A,0))</f>
        <v>Aberta</v>
      </c>
      <c r="G60" s="9" t="n">
        <v>0</v>
      </c>
      <c r="H60" s="9" t="n">
        <v>27</v>
      </c>
      <c r="I60" s="8" t="n">
        <f aca="false">IF(F60="Inteira CBP",D60,IF(OR(F60="Aberta",F60="Avulso"),G60,0))</f>
        <v>0</v>
      </c>
      <c r="J60" s="8" t="n">
        <f aca="false">IF(F60="Inteira CBTBE",D60,IF(OR(F60="Aberta",F60="Avulso"),H60,0))</f>
        <v>27</v>
      </c>
      <c r="K60" s="8" t="n">
        <f aca="false">D60-I60-J60</f>
        <v>3</v>
      </c>
    </row>
    <row r="61" customFormat="false" ht="15" hidden="false" customHeight="false" outlineLevel="0" collapsed="false">
      <c r="A61" s="8" t="s">
        <v>449</v>
      </c>
      <c r="B61" s="8" t="s">
        <v>450</v>
      </c>
      <c r="C61" s="8" t="s">
        <v>78</v>
      </c>
      <c r="D61" s="8" t="n">
        <v>34</v>
      </c>
      <c r="E61" s="8" t="n">
        <v>476065</v>
      </c>
      <c r="F61" s="11" t="str">
        <f aca="false">INDEX(Caixas!$C:$C,MATCH(C61,Caixas!$A:$A,0))</f>
        <v>Aberta</v>
      </c>
      <c r="G61" s="9" t="n">
        <v>0</v>
      </c>
      <c r="H61" s="9" t="n">
        <v>20</v>
      </c>
      <c r="I61" s="8" t="n">
        <f aca="false">IF(F61="Inteira CBP",D61,IF(OR(F61="Aberta",F61="Avulso"),G61,0))</f>
        <v>0</v>
      </c>
      <c r="J61" s="8" t="n">
        <f aca="false">IF(F61="Inteira CBTBE",D61,IF(OR(F61="Aberta",F61="Avulso"),H61,0))</f>
        <v>20</v>
      </c>
      <c r="K61" s="8" t="n">
        <f aca="false">D61-I61-J61</f>
        <v>14</v>
      </c>
    </row>
    <row r="62" customFormat="false" ht="15" hidden="false" customHeight="false" outlineLevel="0" collapsed="false">
      <c r="A62" s="8" t="s">
        <v>467</v>
      </c>
      <c r="B62" s="8" t="s">
        <v>468</v>
      </c>
      <c r="C62" s="8" t="s">
        <v>78</v>
      </c>
      <c r="D62" s="8" t="n">
        <v>82</v>
      </c>
      <c r="E62" s="8" t="n">
        <v>476061</v>
      </c>
      <c r="F62" s="11" t="str">
        <f aca="false">INDEX(Caixas!$C:$C,MATCH(C62,Caixas!$A:$A,0))</f>
        <v>Aberta</v>
      </c>
      <c r="G62" s="9" t="n">
        <v>25</v>
      </c>
      <c r="H62" s="9" t="n">
        <v>0</v>
      </c>
      <c r="I62" s="8" t="n">
        <f aca="false">IF(F62="Inteira CBP",D62,IF(OR(F62="Aberta",F62="Avulso"),G62,0))</f>
        <v>25</v>
      </c>
      <c r="J62" s="8" t="n">
        <f aca="false">IF(F62="Inteira CBTBE",D62,IF(OR(F62="Aberta",F62="Avulso"),H62,0))</f>
        <v>0</v>
      </c>
      <c r="K62" s="8" t="n">
        <f aca="false">D62-I62-J62</f>
        <v>57</v>
      </c>
    </row>
    <row r="63" customFormat="false" ht="15" hidden="false" customHeight="false" outlineLevel="0" collapsed="false">
      <c r="A63" s="8" t="s">
        <v>465</v>
      </c>
      <c r="B63" s="8" t="s">
        <v>466</v>
      </c>
      <c r="C63" s="8" t="s">
        <v>79</v>
      </c>
      <c r="D63" s="8" t="n">
        <v>30</v>
      </c>
      <c r="E63" s="8" t="n">
        <v>476043</v>
      </c>
      <c r="F63" s="11" t="str">
        <f aca="false">INDEX(Caixas!$C:$C,MATCH(C63,Caixas!$A:$A,0))</f>
        <v>Devolução fechada</v>
      </c>
      <c r="G63" s="9" t="n">
        <v>0</v>
      </c>
      <c r="H63" s="9" t="n">
        <v>0</v>
      </c>
      <c r="I63" s="8" t="n">
        <f aca="false">IF(F63="Inteira CBP",D63,IF(OR(F63="Aberta",F63="Avulso"),G63,0))</f>
        <v>0</v>
      </c>
      <c r="J63" s="8" t="n">
        <f aca="false">IF(F63="Inteira CBTBE",D63,IF(OR(F63="Aberta",F63="Avulso"),H63,0))</f>
        <v>0</v>
      </c>
      <c r="K63" s="8" t="n">
        <f aca="false">D63-I63-J63</f>
        <v>30</v>
      </c>
    </row>
    <row r="64" customFormat="false" ht="15" hidden="false" customHeight="false" outlineLevel="0" collapsed="false">
      <c r="A64" s="8" t="s">
        <v>429</v>
      </c>
      <c r="B64" s="8" t="s">
        <v>430</v>
      </c>
      <c r="C64" s="8" t="s">
        <v>79</v>
      </c>
      <c r="D64" s="8" t="n">
        <v>30</v>
      </c>
      <c r="E64" s="8" t="n">
        <v>476065</v>
      </c>
      <c r="F64" s="11" t="str">
        <f aca="false">INDEX(Caixas!$C:$C,MATCH(C64,Caixas!$A:$A,0))</f>
        <v>Devolução fechada</v>
      </c>
      <c r="G64" s="9" t="n">
        <v>0</v>
      </c>
      <c r="H64" s="9" t="n">
        <v>0</v>
      </c>
      <c r="I64" s="8" t="n">
        <f aca="false">IF(F64="Inteira CBP",D64,IF(OR(F64="Aberta",F64="Avulso"),G64,0))</f>
        <v>0</v>
      </c>
      <c r="J64" s="8" t="n">
        <f aca="false">IF(F64="Inteira CBTBE",D64,IF(OR(F64="Aberta",F64="Avulso"),H64,0))</f>
        <v>0</v>
      </c>
      <c r="K64" s="8" t="n">
        <f aca="false">D64-I64-J64</f>
        <v>30</v>
      </c>
    </row>
    <row r="65" customFormat="false" ht="15" hidden="false" customHeight="false" outlineLevel="0" collapsed="false">
      <c r="A65" s="8" t="s">
        <v>467</v>
      </c>
      <c r="B65" s="8" t="s">
        <v>468</v>
      </c>
      <c r="C65" s="8" t="s">
        <v>79</v>
      </c>
      <c r="D65" s="8" t="n">
        <v>82</v>
      </c>
      <c r="E65" s="8" t="n">
        <v>476061</v>
      </c>
      <c r="F65" s="11" t="str">
        <f aca="false">INDEX(Caixas!$C:$C,MATCH(C65,Caixas!$A:$A,0))</f>
        <v>Devolução fechada</v>
      </c>
      <c r="G65" s="9" t="n">
        <v>0</v>
      </c>
      <c r="H65" s="9" t="n">
        <v>0</v>
      </c>
      <c r="I65" s="8" t="n">
        <f aca="false">IF(F65="Inteira CBP",D65,IF(OR(F65="Aberta",F65="Avulso"),G65,0))</f>
        <v>0</v>
      </c>
      <c r="J65" s="8" t="n">
        <f aca="false">IF(F65="Inteira CBTBE",D65,IF(OR(F65="Aberta",F65="Avulso"),H65,0))</f>
        <v>0</v>
      </c>
      <c r="K65" s="8" t="n">
        <f aca="false">D65-I65-J65</f>
        <v>82</v>
      </c>
    </row>
    <row r="66" customFormat="false" ht="15" hidden="false" customHeight="false" outlineLevel="0" collapsed="false">
      <c r="A66" s="8" t="s">
        <v>439</v>
      </c>
      <c r="B66" s="8" t="s">
        <v>440</v>
      </c>
      <c r="C66" s="8" t="s">
        <v>80</v>
      </c>
      <c r="D66" s="8" t="n">
        <v>42</v>
      </c>
      <c r="E66" s="8" t="n">
        <v>476065</v>
      </c>
      <c r="F66" s="11" t="str">
        <f aca="false">INDEX(Caixas!$C:$C,MATCH(C66,Caixas!$A:$A,0))</f>
        <v>Aberta</v>
      </c>
      <c r="G66" s="9" t="n">
        <v>0</v>
      </c>
      <c r="H66" s="9" t="n">
        <v>30</v>
      </c>
      <c r="I66" s="8" t="n">
        <f aca="false">IF(F66="Inteira CBP",D66,IF(OR(F66="Aberta",F66="Avulso"),G66,0))</f>
        <v>0</v>
      </c>
      <c r="J66" s="8" t="n">
        <f aca="false">IF(F66="Inteira CBTBE",D66,IF(OR(F66="Aberta",F66="Avulso"),H66,0))</f>
        <v>30</v>
      </c>
      <c r="K66" s="8" t="n">
        <f aca="false">D66-I66-J66</f>
        <v>12</v>
      </c>
    </row>
    <row r="67" customFormat="false" ht="15" hidden="false" customHeight="false" outlineLevel="0" collapsed="false">
      <c r="A67" s="8" t="s">
        <v>469</v>
      </c>
      <c r="B67" s="8" t="s">
        <v>470</v>
      </c>
      <c r="C67" s="8" t="s">
        <v>80</v>
      </c>
      <c r="D67" s="8" t="n">
        <v>36</v>
      </c>
      <c r="E67" s="8" t="n">
        <v>476043</v>
      </c>
      <c r="F67" s="11" t="str">
        <f aca="false">INDEX(Caixas!$C:$C,MATCH(C67,Caixas!$A:$A,0))</f>
        <v>Aberta</v>
      </c>
      <c r="G67" s="9" t="n">
        <v>0</v>
      </c>
      <c r="H67" s="9" t="n">
        <v>14</v>
      </c>
      <c r="I67" s="8" t="n">
        <f aca="false">IF(F67="Inteira CBP",D67,IF(OR(F67="Aberta",F67="Avulso"),G67,0))</f>
        <v>0</v>
      </c>
      <c r="J67" s="8" t="n">
        <f aca="false">IF(F67="Inteira CBTBE",D67,IF(OR(F67="Aberta",F67="Avulso"),H67,0))</f>
        <v>14</v>
      </c>
      <c r="K67" s="8" t="n">
        <f aca="false">D67-I67-J67</f>
        <v>22</v>
      </c>
    </row>
    <row r="68" customFormat="false" ht="15" hidden="false" customHeight="false" outlineLevel="0" collapsed="false">
      <c r="A68" s="8" t="s">
        <v>435</v>
      </c>
      <c r="B68" s="8" t="s">
        <v>436</v>
      </c>
      <c r="C68" s="8" t="s">
        <v>81</v>
      </c>
      <c r="D68" s="8" t="n">
        <v>20</v>
      </c>
      <c r="E68" s="8" t="n">
        <v>476065</v>
      </c>
      <c r="F68" s="11" t="str">
        <f aca="false">INDEX(Caixas!$C:$C,MATCH(C68,Caixas!$A:$A,0))</f>
        <v>Devolução fechada</v>
      </c>
      <c r="G68" s="9" t="n">
        <v>0</v>
      </c>
      <c r="H68" s="9" t="n">
        <v>0</v>
      </c>
      <c r="I68" s="8" t="n">
        <f aca="false">IF(F68="Inteira CBP",D68,IF(OR(F68="Aberta",F68="Avulso"),G68,0))</f>
        <v>0</v>
      </c>
      <c r="J68" s="8" t="n">
        <f aca="false">IF(F68="Inteira CBTBE",D68,IF(OR(F68="Aberta",F68="Avulso"),H68,0))</f>
        <v>0</v>
      </c>
      <c r="K68" s="8" t="n">
        <f aca="false">D68-I68-J68</f>
        <v>20</v>
      </c>
    </row>
    <row r="69" customFormat="false" ht="15" hidden="false" customHeight="false" outlineLevel="0" collapsed="false">
      <c r="A69" s="8" t="s">
        <v>469</v>
      </c>
      <c r="B69" s="8" t="s">
        <v>470</v>
      </c>
      <c r="C69" s="8" t="s">
        <v>81</v>
      </c>
      <c r="D69" s="8" t="n">
        <v>36</v>
      </c>
      <c r="E69" s="8" t="n">
        <v>476043</v>
      </c>
      <c r="F69" s="11" t="str">
        <f aca="false">INDEX(Caixas!$C:$C,MATCH(C69,Caixas!$A:$A,0))</f>
        <v>Devolução fechada</v>
      </c>
      <c r="G69" s="9" t="n">
        <v>0</v>
      </c>
      <c r="H69" s="9" t="n">
        <v>0</v>
      </c>
      <c r="I69" s="8" t="n">
        <f aca="false">IF(F69="Inteira CBP",D69,IF(OR(F69="Aberta",F69="Avulso"),G69,0))</f>
        <v>0</v>
      </c>
      <c r="J69" s="8" t="n">
        <f aca="false">IF(F69="Inteira CBTBE",D69,IF(OR(F69="Aberta",F69="Avulso"),H69,0))</f>
        <v>0</v>
      </c>
      <c r="K69" s="8" t="n">
        <f aca="false">D69-I69-J69</f>
        <v>36</v>
      </c>
    </row>
    <row r="70" customFormat="false" ht="15" hidden="false" customHeight="false" outlineLevel="0" collapsed="false">
      <c r="A70" s="8" t="s">
        <v>471</v>
      </c>
      <c r="B70" s="8" t="s">
        <v>472</v>
      </c>
      <c r="C70" s="8" t="s">
        <v>82</v>
      </c>
      <c r="D70" s="8" t="n">
        <v>22</v>
      </c>
      <c r="E70" s="8" t="n">
        <v>476061</v>
      </c>
      <c r="F70" s="11" t="str">
        <f aca="false">INDEX(Caixas!$C:$C,MATCH(C70,Caixas!$A:$A,0))</f>
        <v>Aberta</v>
      </c>
      <c r="G70" s="9" t="n">
        <v>10</v>
      </c>
      <c r="H70" s="9" t="n">
        <v>0</v>
      </c>
      <c r="I70" s="8" t="n">
        <f aca="false">IF(F70="Inteira CBP",D70,IF(OR(F70="Aberta",F70="Avulso"),G70,0))</f>
        <v>10</v>
      </c>
      <c r="J70" s="8" t="n">
        <f aca="false">IF(F70="Inteira CBTBE",D70,IF(OR(F70="Aberta",F70="Avulso"),H70,0))</f>
        <v>0</v>
      </c>
      <c r="K70" s="8" t="n">
        <f aca="false">D70-I70-J70</f>
        <v>12</v>
      </c>
    </row>
    <row r="71" customFormat="false" ht="15" hidden="false" customHeight="false" outlineLevel="0" collapsed="false">
      <c r="A71" s="8" t="s">
        <v>435</v>
      </c>
      <c r="B71" s="8" t="s">
        <v>436</v>
      </c>
      <c r="C71" s="8" t="s">
        <v>82</v>
      </c>
      <c r="D71" s="8" t="n">
        <v>20</v>
      </c>
      <c r="E71" s="8" t="n">
        <v>476065</v>
      </c>
      <c r="F71" s="11" t="str">
        <f aca="false">INDEX(Caixas!$C:$C,MATCH(C71,Caixas!$A:$A,0))</f>
        <v>Aberta</v>
      </c>
      <c r="G71" s="9" t="n">
        <v>0</v>
      </c>
      <c r="H71" s="9" t="n">
        <v>0</v>
      </c>
      <c r="I71" s="8" t="n">
        <f aca="false">IF(F71="Inteira CBP",D71,IF(OR(F71="Aberta",F71="Avulso"),G71,0))</f>
        <v>0</v>
      </c>
      <c r="J71" s="8" t="n">
        <f aca="false">IF(F71="Inteira CBTBE",D71,IF(OR(F71="Aberta",F71="Avulso"),H71,0))</f>
        <v>0</v>
      </c>
      <c r="K71" s="8" t="n">
        <f aca="false">D71-I71-J71</f>
        <v>20</v>
      </c>
    </row>
    <row r="72" customFormat="false" ht="15" hidden="false" customHeight="false" outlineLevel="0" collapsed="false">
      <c r="A72" s="8" t="s">
        <v>469</v>
      </c>
      <c r="B72" s="8" t="s">
        <v>470</v>
      </c>
      <c r="C72" s="8" t="s">
        <v>82</v>
      </c>
      <c r="D72" s="8" t="n">
        <v>36</v>
      </c>
      <c r="E72" s="8" t="n">
        <v>476043</v>
      </c>
      <c r="F72" s="11" t="str">
        <f aca="false">INDEX(Caixas!$C:$C,MATCH(C72,Caixas!$A:$A,0))</f>
        <v>Aberta</v>
      </c>
      <c r="G72" s="9" t="n">
        <v>0</v>
      </c>
      <c r="H72" s="9" t="n">
        <v>36</v>
      </c>
      <c r="I72" s="8" t="n">
        <f aca="false">IF(F72="Inteira CBP",D72,IF(OR(F72="Aberta",F72="Avulso"),G72,0))</f>
        <v>0</v>
      </c>
      <c r="J72" s="8" t="n">
        <f aca="false">IF(F72="Inteira CBTBE",D72,IF(OR(F72="Aberta",F72="Avulso"),H72,0))</f>
        <v>36</v>
      </c>
      <c r="K72" s="8" t="n">
        <f aca="false">D72-I72-J72</f>
        <v>0</v>
      </c>
    </row>
    <row r="73" customFormat="false" ht="15" hidden="false" customHeight="false" outlineLevel="0" collapsed="false">
      <c r="A73" s="8" t="s">
        <v>471</v>
      </c>
      <c r="B73" s="8" t="s">
        <v>472</v>
      </c>
      <c r="C73" s="8" t="s">
        <v>83</v>
      </c>
      <c r="D73" s="8" t="n">
        <v>22</v>
      </c>
      <c r="E73" s="8" t="n">
        <v>476061</v>
      </c>
      <c r="F73" s="11" t="str">
        <f aca="false">INDEX(Caixas!$C:$C,MATCH(C73,Caixas!$A:$A,0))</f>
        <v>Aberta</v>
      </c>
      <c r="G73" s="9" t="n">
        <v>22</v>
      </c>
      <c r="H73" s="9" t="n">
        <v>0</v>
      </c>
      <c r="I73" s="8" t="n">
        <f aca="false">IF(F73="Inteira CBP",D73,IF(OR(F73="Aberta",F73="Avulso"),G73,0))</f>
        <v>22</v>
      </c>
      <c r="J73" s="8" t="n">
        <f aca="false">IF(F73="Inteira CBTBE",D73,IF(OR(F73="Aberta",F73="Avulso"),H73,0))</f>
        <v>0</v>
      </c>
      <c r="K73" s="8" t="n">
        <f aca="false">D73-I73-J73</f>
        <v>0</v>
      </c>
    </row>
    <row r="74" customFormat="false" ht="15" hidden="false" customHeight="false" outlineLevel="0" collapsed="false">
      <c r="A74" s="8" t="s">
        <v>435</v>
      </c>
      <c r="B74" s="8" t="s">
        <v>436</v>
      </c>
      <c r="C74" s="8" t="s">
        <v>83</v>
      </c>
      <c r="D74" s="8" t="n">
        <v>20</v>
      </c>
      <c r="E74" s="8" t="n">
        <v>476065</v>
      </c>
      <c r="F74" s="11" t="str">
        <f aca="false">INDEX(Caixas!$C:$C,MATCH(C74,Caixas!$A:$A,0))</f>
        <v>Aberta</v>
      </c>
      <c r="G74" s="9" t="n">
        <v>0</v>
      </c>
      <c r="H74" s="9" t="n">
        <v>0</v>
      </c>
      <c r="I74" s="8" t="n">
        <f aca="false">IF(F74="Inteira CBP",D74,IF(OR(F74="Aberta",F74="Avulso"),G74,0))</f>
        <v>0</v>
      </c>
      <c r="J74" s="8" t="n">
        <f aca="false">IF(F74="Inteira CBTBE",D74,IF(OR(F74="Aberta",F74="Avulso"),H74,0))</f>
        <v>0</v>
      </c>
      <c r="K74" s="8" t="n">
        <f aca="false">D74-I74-J74</f>
        <v>20</v>
      </c>
    </row>
    <row r="75" customFormat="false" ht="15" hidden="false" customHeight="false" outlineLevel="0" collapsed="false">
      <c r="A75" s="8" t="s">
        <v>433</v>
      </c>
      <c r="B75" s="8" t="s">
        <v>434</v>
      </c>
      <c r="C75" s="8" t="s">
        <v>83</v>
      </c>
      <c r="D75" s="8" t="n">
        <v>24</v>
      </c>
      <c r="E75" s="8" t="n">
        <v>476043</v>
      </c>
      <c r="F75" s="11" t="str">
        <f aca="false">INDEX(Caixas!$C:$C,MATCH(C75,Caixas!$A:$A,0))</f>
        <v>Aberta</v>
      </c>
      <c r="G75" s="9" t="n">
        <v>0</v>
      </c>
      <c r="H75" s="9" t="n">
        <v>0</v>
      </c>
      <c r="I75" s="8" t="n">
        <f aca="false">IF(F75="Inteira CBP",D75,IF(OR(F75="Aberta",F75="Avulso"),G75,0))</f>
        <v>0</v>
      </c>
      <c r="J75" s="8" t="n">
        <f aca="false">IF(F75="Inteira CBTBE",D75,IF(OR(F75="Aberta",F75="Avulso"),H75,0))</f>
        <v>0</v>
      </c>
      <c r="K75" s="8" t="n">
        <f aca="false">D75-I75-J75</f>
        <v>24</v>
      </c>
    </row>
    <row r="76" customFormat="false" ht="15" hidden="false" customHeight="false" outlineLevel="0" collapsed="false">
      <c r="A76" s="8" t="s">
        <v>471</v>
      </c>
      <c r="B76" s="8" t="s">
        <v>472</v>
      </c>
      <c r="C76" s="8" t="s">
        <v>84</v>
      </c>
      <c r="D76" s="8" t="n">
        <v>22</v>
      </c>
      <c r="E76" s="8" t="n">
        <v>476061</v>
      </c>
      <c r="F76" s="11" t="str">
        <f aca="false">INDEX(Caixas!$C:$C,MATCH(C76,Caixas!$A:$A,0))</f>
        <v>Aberta</v>
      </c>
      <c r="G76" s="9" t="n">
        <v>22</v>
      </c>
      <c r="H76" s="9" t="n">
        <v>0</v>
      </c>
      <c r="I76" s="8" t="n">
        <f aca="false">IF(F76="Inteira CBP",D76,IF(OR(F76="Aberta",F76="Avulso"),G76,0))</f>
        <v>22</v>
      </c>
      <c r="J76" s="8" t="n">
        <f aca="false">IF(F76="Inteira CBTBE",D76,IF(OR(F76="Aberta",F76="Avulso"),H76,0))</f>
        <v>0</v>
      </c>
      <c r="K76" s="8" t="n">
        <f aca="false">D76-I76-J76</f>
        <v>0</v>
      </c>
    </row>
    <row r="77" customFormat="false" ht="15" hidden="false" customHeight="false" outlineLevel="0" collapsed="false">
      <c r="A77" s="8" t="s">
        <v>435</v>
      </c>
      <c r="B77" s="8" t="s">
        <v>436</v>
      </c>
      <c r="C77" s="8" t="s">
        <v>84</v>
      </c>
      <c r="D77" s="8" t="n">
        <v>20</v>
      </c>
      <c r="E77" s="8" t="n">
        <v>476065</v>
      </c>
      <c r="F77" s="11" t="str">
        <f aca="false">INDEX(Caixas!$C:$C,MATCH(C77,Caixas!$A:$A,0))</f>
        <v>Aberta</v>
      </c>
      <c r="G77" s="9" t="n">
        <v>0</v>
      </c>
      <c r="H77" s="9" t="n">
        <v>0</v>
      </c>
      <c r="I77" s="8" t="n">
        <f aca="false">IF(F77="Inteira CBP",D77,IF(OR(F77="Aberta",F77="Avulso"),G77,0))</f>
        <v>0</v>
      </c>
      <c r="J77" s="8" t="n">
        <f aca="false">IF(F77="Inteira CBTBE",D77,IF(OR(F77="Aberta",F77="Avulso"),H77,0))</f>
        <v>0</v>
      </c>
      <c r="K77" s="8" t="n">
        <f aca="false">D77-I77-J77</f>
        <v>20</v>
      </c>
    </row>
    <row r="78" customFormat="false" ht="15" hidden="false" customHeight="false" outlineLevel="0" collapsed="false">
      <c r="A78" s="8" t="s">
        <v>433</v>
      </c>
      <c r="B78" s="8" t="s">
        <v>434</v>
      </c>
      <c r="C78" s="8" t="s">
        <v>84</v>
      </c>
      <c r="D78" s="8" t="n">
        <v>24</v>
      </c>
      <c r="E78" s="8" t="n">
        <v>476043</v>
      </c>
      <c r="F78" s="11" t="str">
        <f aca="false">INDEX(Caixas!$C:$C,MATCH(C78,Caixas!$A:$A,0))</f>
        <v>Aberta</v>
      </c>
      <c r="G78" s="9" t="n">
        <v>0</v>
      </c>
      <c r="H78" s="9" t="n">
        <v>23</v>
      </c>
      <c r="I78" s="8" t="n">
        <f aca="false">IF(F78="Inteira CBP",D78,IF(OR(F78="Aberta",F78="Avulso"),G78,0))</f>
        <v>0</v>
      </c>
      <c r="J78" s="8" t="n">
        <f aca="false">IF(F78="Inteira CBTBE",D78,IF(OR(F78="Aberta",F78="Avulso"),H78,0))</f>
        <v>23</v>
      </c>
      <c r="K78" s="8" t="n">
        <f aca="false">D78-I78-J78</f>
        <v>1</v>
      </c>
    </row>
    <row r="79" customFormat="false" ht="15" hidden="false" customHeight="false" outlineLevel="0" collapsed="false">
      <c r="A79" s="8" t="s">
        <v>471</v>
      </c>
      <c r="B79" s="8" t="s">
        <v>472</v>
      </c>
      <c r="C79" s="8" t="s">
        <v>85</v>
      </c>
      <c r="D79" s="8" t="n">
        <v>39</v>
      </c>
      <c r="E79" s="8" t="n">
        <v>476061</v>
      </c>
      <c r="F79" s="11" t="str">
        <f aca="false">INDEX(Caixas!$C:$C,MATCH(C79,Caixas!$A:$A,0))</f>
        <v>Aberta</v>
      </c>
      <c r="G79" s="9" t="n">
        <v>39</v>
      </c>
      <c r="H79" s="9" t="n">
        <v>0</v>
      </c>
      <c r="I79" s="8" t="n">
        <f aca="false">IF(F79="Inteira CBP",D79,IF(OR(F79="Aberta",F79="Avulso"),G79,0))</f>
        <v>39</v>
      </c>
      <c r="J79" s="8" t="n">
        <f aca="false">IF(F79="Inteira CBTBE",D79,IF(OR(F79="Aberta",F79="Avulso"),H79,0))</f>
        <v>0</v>
      </c>
      <c r="K79" s="8" t="n">
        <f aca="false">D79-I79-J79</f>
        <v>0</v>
      </c>
    </row>
    <row r="80" customFormat="false" ht="15" hidden="false" customHeight="false" outlineLevel="0" collapsed="false">
      <c r="A80" s="8" t="s">
        <v>435</v>
      </c>
      <c r="B80" s="8" t="s">
        <v>436</v>
      </c>
      <c r="C80" s="8" t="s">
        <v>85</v>
      </c>
      <c r="D80" s="8" t="n">
        <v>20</v>
      </c>
      <c r="E80" s="8" t="n">
        <v>476065</v>
      </c>
      <c r="F80" s="11" t="str">
        <f aca="false">INDEX(Caixas!$C:$C,MATCH(C80,Caixas!$A:$A,0))</f>
        <v>Aberta</v>
      </c>
      <c r="G80" s="9" t="n">
        <v>0</v>
      </c>
      <c r="H80" s="9" t="n">
        <v>0</v>
      </c>
      <c r="I80" s="8" t="n">
        <f aca="false">IF(F80="Inteira CBP",D80,IF(OR(F80="Aberta",F80="Avulso"),G80,0))</f>
        <v>0</v>
      </c>
      <c r="J80" s="8" t="n">
        <f aca="false">IF(F80="Inteira CBTBE",D80,IF(OR(F80="Aberta",F80="Avulso"),H80,0))</f>
        <v>0</v>
      </c>
      <c r="K80" s="8" t="n">
        <f aca="false">D80-I80-J80</f>
        <v>20</v>
      </c>
    </row>
    <row r="81" customFormat="false" ht="15" hidden="false" customHeight="false" outlineLevel="0" collapsed="false">
      <c r="A81" s="8" t="s">
        <v>433</v>
      </c>
      <c r="B81" s="8" t="s">
        <v>434</v>
      </c>
      <c r="C81" s="8" t="s">
        <v>85</v>
      </c>
      <c r="D81" s="8" t="n">
        <v>24</v>
      </c>
      <c r="E81" s="8" t="n">
        <v>476043</v>
      </c>
      <c r="F81" s="11" t="str">
        <f aca="false">INDEX(Caixas!$C:$C,MATCH(C81,Caixas!$A:$A,0))</f>
        <v>Aberta</v>
      </c>
      <c r="G81" s="9" t="n">
        <v>0</v>
      </c>
      <c r="H81" s="9" t="n">
        <v>24</v>
      </c>
      <c r="I81" s="8" t="n">
        <f aca="false">IF(F81="Inteira CBP",D81,IF(OR(F81="Aberta",F81="Avulso"),G81,0))</f>
        <v>0</v>
      </c>
      <c r="J81" s="8" t="n">
        <f aca="false">IF(F81="Inteira CBTBE",D81,IF(OR(F81="Aberta",F81="Avulso"),H81,0))</f>
        <v>24</v>
      </c>
      <c r="K81" s="8" t="n">
        <f aca="false">D81-I81-J81</f>
        <v>0</v>
      </c>
    </row>
    <row r="82" customFormat="false" ht="15" hidden="false" customHeight="false" outlineLevel="0" collapsed="false">
      <c r="A82" s="8" t="s">
        <v>465</v>
      </c>
      <c r="B82" s="8" t="s">
        <v>466</v>
      </c>
      <c r="C82" s="8" t="s">
        <v>86</v>
      </c>
      <c r="D82" s="8" t="n">
        <v>6</v>
      </c>
      <c r="E82" s="8" t="n">
        <v>476043</v>
      </c>
      <c r="F82" s="11" t="str">
        <f aca="false">INDEX(Caixas!$C:$C,MATCH(C82,Caixas!$A:$A,0))</f>
        <v>Aberta</v>
      </c>
      <c r="G82" s="9" t="n">
        <v>0</v>
      </c>
      <c r="H82" s="9" t="n">
        <v>0</v>
      </c>
      <c r="I82" s="8" t="n">
        <f aca="false">IF(F82="Inteira CBP",D82,IF(OR(F82="Aberta",F82="Avulso"),G82,0))</f>
        <v>0</v>
      </c>
      <c r="J82" s="8" t="n">
        <f aca="false">IF(F82="Inteira CBTBE",D82,IF(OR(F82="Aberta",F82="Avulso"),H82,0))</f>
        <v>0</v>
      </c>
      <c r="K82" s="8" t="n">
        <f aca="false">D82-I82-J82</f>
        <v>6</v>
      </c>
    </row>
    <row r="83" customFormat="false" ht="15" hidden="false" customHeight="false" outlineLevel="0" collapsed="false">
      <c r="A83" s="8" t="s">
        <v>461</v>
      </c>
      <c r="B83" s="8" t="s">
        <v>462</v>
      </c>
      <c r="C83" s="8" t="s">
        <v>86</v>
      </c>
      <c r="D83" s="8" t="n">
        <v>4</v>
      </c>
      <c r="E83" s="8" t="n">
        <v>476061</v>
      </c>
      <c r="F83" s="11" t="str">
        <f aca="false">INDEX(Caixas!$C:$C,MATCH(C83,Caixas!$A:$A,0))</f>
        <v>Aberta</v>
      </c>
      <c r="G83" s="9" t="n">
        <v>4</v>
      </c>
      <c r="H83" s="9" t="n">
        <v>0</v>
      </c>
      <c r="I83" s="8" t="n">
        <f aca="false">IF(F83="Inteira CBP",D83,IF(OR(F83="Aberta",F83="Avulso"),G83,0))</f>
        <v>4</v>
      </c>
      <c r="J83" s="8" t="n">
        <f aca="false">IF(F83="Inteira CBTBE",D83,IF(OR(F83="Aberta",F83="Avulso"),H83,0))</f>
        <v>0</v>
      </c>
      <c r="K83" s="8" t="n">
        <f aca="false">D83-I83-J83</f>
        <v>0</v>
      </c>
    </row>
    <row r="84" customFormat="false" ht="15" hidden="false" customHeight="false" outlineLevel="0" collapsed="false">
      <c r="A84" s="8" t="s">
        <v>467</v>
      </c>
      <c r="B84" s="8" t="s">
        <v>468</v>
      </c>
      <c r="C84" s="8" t="s">
        <v>86</v>
      </c>
      <c r="D84" s="8" t="n">
        <v>36</v>
      </c>
      <c r="E84" s="8" t="n">
        <v>476061</v>
      </c>
      <c r="F84" s="11" t="str">
        <f aca="false">INDEX(Caixas!$C:$C,MATCH(C84,Caixas!$A:$A,0))</f>
        <v>Aberta</v>
      </c>
      <c r="G84" s="9" t="n">
        <v>0</v>
      </c>
      <c r="H84" s="9" t="n">
        <v>22</v>
      </c>
      <c r="I84" s="8" t="n">
        <f aca="false">IF(F84="Inteira CBP",D84,IF(OR(F84="Aberta",F84="Avulso"),G84,0))</f>
        <v>0</v>
      </c>
      <c r="J84" s="8" t="n">
        <f aca="false">IF(F84="Inteira CBTBE",D84,IF(OR(F84="Aberta",F84="Avulso"),H84,0))</f>
        <v>22</v>
      </c>
      <c r="K84" s="8" t="n">
        <f aca="false">D84-I84-J84</f>
        <v>14</v>
      </c>
    </row>
    <row r="85" customFormat="false" ht="15" hidden="false" customHeight="false" outlineLevel="0" collapsed="false">
      <c r="A85" s="8" t="s">
        <v>431</v>
      </c>
      <c r="B85" s="8" t="s">
        <v>432</v>
      </c>
      <c r="C85" s="8" t="s">
        <v>86</v>
      </c>
      <c r="D85" s="8" t="n">
        <v>10</v>
      </c>
      <c r="E85" s="8" t="n">
        <v>476061</v>
      </c>
      <c r="F85" s="11" t="str">
        <f aca="false">INDEX(Caixas!$C:$C,MATCH(C85,Caixas!$A:$A,0))</f>
        <v>Aberta</v>
      </c>
      <c r="G85" s="9" t="n">
        <v>0</v>
      </c>
      <c r="H85" s="9" t="n">
        <v>0</v>
      </c>
      <c r="I85" s="8" t="n">
        <f aca="false">IF(F85="Inteira CBP",D85,IF(OR(F85="Aberta",F85="Avulso"),G85,0))</f>
        <v>0</v>
      </c>
      <c r="J85" s="8" t="n">
        <f aca="false">IF(F85="Inteira CBTBE",D85,IF(OR(F85="Aberta",F85="Avulso"),H85,0))</f>
        <v>0</v>
      </c>
      <c r="K85" s="8" t="n">
        <f aca="false">D85-I85-J85</f>
        <v>10</v>
      </c>
    </row>
    <row r="86" customFormat="false" ht="15" hidden="false" customHeight="false" outlineLevel="0" collapsed="false">
      <c r="A86" s="8" t="s">
        <v>435</v>
      </c>
      <c r="B86" s="8" t="s">
        <v>436</v>
      </c>
      <c r="C86" s="8" t="s">
        <v>86</v>
      </c>
      <c r="D86" s="8" t="n">
        <v>20</v>
      </c>
      <c r="E86" s="8" t="n">
        <v>476065</v>
      </c>
      <c r="F86" s="11" t="str">
        <f aca="false">INDEX(Caixas!$C:$C,MATCH(C86,Caixas!$A:$A,0))</f>
        <v>Aberta</v>
      </c>
      <c r="G86" s="9" t="n">
        <v>0</v>
      </c>
      <c r="H86" s="9" t="n">
        <v>0</v>
      </c>
      <c r="I86" s="8" t="n">
        <f aca="false">IF(F86="Inteira CBP",D86,IF(OR(F86="Aberta",F86="Avulso"),G86,0))</f>
        <v>0</v>
      </c>
      <c r="J86" s="8" t="n">
        <f aca="false">IF(F86="Inteira CBTBE",D86,IF(OR(F86="Aberta",F86="Avulso"),H86,0))</f>
        <v>0</v>
      </c>
      <c r="K86" s="8" t="n">
        <f aca="false">D86-I86-J86</f>
        <v>20</v>
      </c>
    </row>
    <row r="87" customFormat="false" ht="15" hidden="false" customHeight="false" outlineLevel="0" collapsed="false">
      <c r="A87" s="8" t="s">
        <v>441</v>
      </c>
      <c r="B87" s="8" t="s">
        <v>442</v>
      </c>
      <c r="C87" s="8" t="s">
        <v>86</v>
      </c>
      <c r="D87" s="8" t="n">
        <v>63</v>
      </c>
      <c r="E87" s="8" t="n">
        <v>476061</v>
      </c>
      <c r="F87" s="11" t="str">
        <f aca="false">INDEX(Caixas!$C:$C,MATCH(C87,Caixas!$A:$A,0))</f>
        <v>Aberta</v>
      </c>
      <c r="G87" s="9" t="n">
        <v>42</v>
      </c>
      <c r="H87" s="9" t="n">
        <v>0</v>
      </c>
      <c r="I87" s="8" t="n">
        <f aca="false">IF(F87="Inteira CBP",D87,IF(OR(F87="Aberta",F87="Avulso"),G87,0))</f>
        <v>42</v>
      </c>
      <c r="J87" s="8" t="n">
        <f aca="false">IF(F87="Inteira CBTBE",D87,IF(OR(F87="Aberta",F87="Avulso"),H87,0))</f>
        <v>0</v>
      </c>
      <c r="K87" s="8" t="n">
        <f aca="false">D87-I87-J87</f>
        <v>21</v>
      </c>
    </row>
    <row r="88" customFormat="false" ht="15" hidden="false" customHeight="false" outlineLevel="0" collapsed="false">
      <c r="A88" s="8" t="s">
        <v>469</v>
      </c>
      <c r="B88" s="8" t="s">
        <v>470</v>
      </c>
      <c r="C88" s="8" t="s">
        <v>86</v>
      </c>
      <c r="D88" s="8" t="n">
        <v>32</v>
      </c>
      <c r="E88" s="8" t="n">
        <v>476043</v>
      </c>
      <c r="F88" s="11" t="str">
        <f aca="false">INDEX(Caixas!$C:$C,MATCH(C88,Caixas!$A:$A,0))</f>
        <v>Aberta</v>
      </c>
      <c r="G88" s="9" t="n">
        <v>0</v>
      </c>
      <c r="H88" s="9" t="n">
        <v>0</v>
      </c>
      <c r="I88" s="8" t="n">
        <f aca="false">IF(F88="Inteira CBP",D88,IF(OR(F88="Aberta",F88="Avulso"),G88,0))</f>
        <v>0</v>
      </c>
      <c r="J88" s="8" t="n">
        <f aca="false">IF(F88="Inteira CBTBE",D88,IF(OR(F88="Aberta",F88="Avulso"),H88,0))</f>
        <v>0</v>
      </c>
      <c r="K88" s="8" t="n">
        <f aca="false">D88-I88-J88</f>
        <v>32</v>
      </c>
    </row>
    <row r="89" customFormat="false" ht="15" hidden="false" customHeight="false" outlineLevel="0" collapsed="false">
      <c r="A89" s="8" t="s">
        <v>457</v>
      </c>
      <c r="B89" s="8" t="s">
        <v>458</v>
      </c>
      <c r="C89" s="8" t="s">
        <v>86</v>
      </c>
      <c r="D89" s="8" t="n">
        <v>2</v>
      </c>
      <c r="E89" s="8" t="n">
        <v>476043</v>
      </c>
      <c r="F89" s="11" t="str">
        <f aca="false">INDEX(Caixas!$C:$C,MATCH(C89,Caixas!$A:$A,0))</f>
        <v>Aberta</v>
      </c>
      <c r="G89" s="9" t="n">
        <v>0</v>
      </c>
      <c r="H89" s="9" t="n">
        <v>0</v>
      </c>
      <c r="I89" s="8" t="n">
        <f aca="false">IF(F89="Inteira CBP",D89,IF(OR(F89="Aberta",F89="Avulso"),G89,0))</f>
        <v>0</v>
      </c>
      <c r="J89" s="8" t="n">
        <f aca="false">IF(F89="Inteira CBTBE",D89,IF(OR(F89="Aberta",F89="Avulso"),H89,0))</f>
        <v>0</v>
      </c>
      <c r="K89" s="8" t="n">
        <f aca="false">D89-I89-J89</f>
        <v>2</v>
      </c>
    </row>
    <row r="90" customFormat="false" ht="15" hidden="false" customHeight="false" outlineLevel="0" collapsed="false">
      <c r="A90" s="8" t="s">
        <v>465</v>
      </c>
      <c r="B90" s="8" t="s">
        <v>466</v>
      </c>
      <c r="C90" s="8" t="s">
        <v>87</v>
      </c>
      <c r="D90" s="8" t="n">
        <v>4</v>
      </c>
      <c r="E90" s="8" t="n">
        <v>476043</v>
      </c>
      <c r="F90" s="11" t="str">
        <f aca="false">INDEX(Caixas!$C:$C,MATCH(C90,Caixas!$A:$A,0))</f>
        <v>Aberta</v>
      </c>
      <c r="G90" s="9" t="n">
        <v>0</v>
      </c>
      <c r="H90" s="9" t="n">
        <v>0</v>
      </c>
      <c r="I90" s="8" t="n">
        <f aca="false">IF(F90="Inteira CBP",D90,IF(OR(F90="Aberta",F90="Avulso"),G90,0))</f>
        <v>0</v>
      </c>
      <c r="J90" s="8" t="n">
        <f aca="false">IF(F90="Inteira CBTBE",D90,IF(OR(F90="Aberta",F90="Avulso"),H90,0))</f>
        <v>0</v>
      </c>
      <c r="K90" s="8" t="n">
        <f aca="false">D90-I90-J90</f>
        <v>4</v>
      </c>
    </row>
    <row r="91" customFormat="false" ht="15" hidden="false" customHeight="false" outlineLevel="0" collapsed="false">
      <c r="A91" s="8" t="s">
        <v>473</v>
      </c>
      <c r="B91" s="8" t="s">
        <v>474</v>
      </c>
      <c r="C91" s="8" t="s">
        <v>87</v>
      </c>
      <c r="D91" s="8" t="n">
        <v>29</v>
      </c>
      <c r="E91" s="8" t="n">
        <v>476061</v>
      </c>
      <c r="F91" s="11" t="str">
        <f aca="false">INDEX(Caixas!$C:$C,MATCH(C91,Caixas!$A:$A,0))</f>
        <v>Aberta</v>
      </c>
      <c r="G91" s="9" t="n">
        <v>25</v>
      </c>
      <c r="H91" s="9" t="n">
        <v>4</v>
      </c>
      <c r="I91" s="8" t="n">
        <f aca="false">IF(F91="Inteira CBP",D91,IF(OR(F91="Aberta",F91="Avulso"),G91,0))</f>
        <v>25</v>
      </c>
      <c r="J91" s="8" t="n">
        <f aca="false">IF(F91="Inteira CBTBE",D91,IF(OR(F91="Aberta",F91="Avulso"),H91,0))</f>
        <v>4</v>
      </c>
      <c r="K91" s="8" t="n">
        <f aca="false">D91-I91-J91</f>
        <v>0</v>
      </c>
    </row>
    <row r="92" customFormat="false" ht="15" hidden="false" customHeight="false" outlineLevel="0" collapsed="false">
      <c r="A92" s="8" t="s">
        <v>451</v>
      </c>
      <c r="B92" s="8" t="s">
        <v>452</v>
      </c>
      <c r="C92" s="8" t="s">
        <v>87</v>
      </c>
      <c r="D92" s="8" t="n">
        <v>14</v>
      </c>
      <c r="E92" s="8" t="n">
        <v>476043</v>
      </c>
      <c r="F92" s="11" t="str">
        <f aca="false">INDEX(Caixas!$C:$C,MATCH(C92,Caixas!$A:$A,0))</f>
        <v>Aberta</v>
      </c>
      <c r="G92" s="9" t="n">
        <v>0</v>
      </c>
      <c r="H92" s="9" t="n">
        <v>14</v>
      </c>
      <c r="I92" s="8" t="n">
        <f aca="false">IF(F92="Inteira CBP",D92,IF(OR(F92="Aberta",F92="Avulso"),G92,0))</f>
        <v>0</v>
      </c>
      <c r="J92" s="8" t="n">
        <f aca="false">IF(F92="Inteira CBTBE",D92,IF(OR(F92="Aberta",F92="Avulso"),H92,0))</f>
        <v>14</v>
      </c>
      <c r="K92" s="8" t="n">
        <f aca="false">D92-I92-J92</f>
        <v>0</v>
      </c>
    </row>
    <row r="93" customFormat="false" ht="15" hidden="false" customHeight="false" outlineLevel="0" collapsed="false">
      <c r="A93" s="8" t="s">
        <v>467</v>
      </c>
      <c r="B93" s="8" t="s">
        <v>468</v>
      </c>
      <c r="C93" s="8" t="s">
        <v>87</v>
      </c>
      <c r="D93" s="8" t="n">
        <v>10</v>
      </c>
      <c r="E93" s="8" t="n">
        <v>476061</v>
      </c>
      <c r="F93" s="11" t="str">
        <f aca="false">INDEX(Caixas!$C:$C,MATCH(C93,Caixas!$A:$A,0))</f>
        <v>Aberta</v>
      </c>
      <c r="G93" s="9" t="n">
        <v>0</v>
      </c>
      <c r="H93" s="9" t="n">
        <v>0</v>
      </c>
      <c r="I93" s="8" t="n">
        <f aca="false">IF(F93="Inteira CBP",D93,IF(OR(F93="Aberta",F93="Avulso"),G93,0))</f>
        <v>0</v>
      </c>
      <c r="J93" s="8" t="n">
        <f aca="false">IF(F93="Inteira CBTBE",D93,IF(OR(F93="Aberta",F93="Avulso"),H93,0))</f>
        <v>0</v>
      </c>
      <c r="K93" s="8" t="n">
        <f aca="false">D93-I93-J93</f>
        <v>10</v>
      </c>
    </row>
    <row r="94" customFormat="false" ht="15" hidden="false" customHeight="false" outlineLevel="0" collapsed="false">
      <c r="A94" s="8" t="s">
        <v>435</v>
      </c>
      <c r="B94" s="8" t="s">
        <v>436</v>
      </c>
      <c r="C94" s="8" t="s">
        <v>87</v>
      </c>
      <c r="D94" s="8" t="n">
        <v>20</v>
      </c>
      <c r="E94" s="8" t="n">
        <v>476065</v>
      </c>
      <c r="F94" s="11" t="str">
        <f aca="false">INDEX(Caixas!$C:$C,MATCH(C94,Caixas!$A:$A,0))</f>
        <v>Aberta</v>
      </c>
      <c r="G94" s="9" t="n">
        <v>0</v>
      </c>
      <c r="H94" s="9" t="n">
        <v>10</v>
      </c>
      <c r="I94" s="8" t="n">
        <f aca="false">IF(F94="Inteira CBP",D94,IF(OR(F94="Aberta",F94="Avulso"),G94,0))</f>
        <v>0</v>
      </c>
      <c r="J94" s="8" t="n">
        <f aca="false">IF(F94="Inteira CBTBE",D94,IF(OR(F94="Aberta",F94="Avulso"),H94,0))</f>
        <v>10</v>
      </c>
      <c r="K94" s="8" t="n">
        <f aca="false">D94-I94-J94</f>
        <v>10</v>
      </c>
    </row>
    <row r="95" customFormat="false" ht="15" hidden="false" customHeight="false" outlineLevel="0" collapsed="false">
      <c r="A95" s="8" t="s">
        <v>455</v>
      </c>
      <c r="B95" s="8" t="s">
        <v>456</v>
      </c>
      <c r="C95" s="8" t="s">
        <v>87</v>
      </c>
      <c r="D95" s="8" t="n">
        <v>10</v>
      </c>
      <c r="E95" s="8" t="n">
        <v>476061</v>
      </c>
      <c r="F95" s="11" t="str">
        <f aca="false">INDEX(Caixas!$C:$C,MATCH(C95,Caixas!$A:$A,0))</f>
        <v>Aberta</v>
      </c>
      <c r="G95" s="9" t="n">
        <v>10</v>
      </c>
      <c r="H95" s="9" t="n">
        <v>0</v>
      </c>
      <c r="I95" s="8" t="n">
        <f aca="false">IF(F95="Inteira CBP",D95,IF(OR(F95="Aberta",F95="Avulso"),G95,0))</f>
        <v>10</v>
      </c>
      <c r="J95" s="8" t="n">
        <f aca="false">IF(F95="Inteira CBTBE",D95,IF(OR(F95="Aberta",F95="Avulso"),H95,0))</f>
        <v>0</v>
      </c>
      <c r="K95" s="8" t="n">
        <f aca="false">D95-I95-J95</f>
        <v>0</v>
      </c>
    </row>
    <row r="96" customFormat="false" ht="15" hidden="false" customHeight="false" outlineLevel="0" collapsed="false">
      <c r="A96" s="8" t="s">
        <v>463</v>
      </c>
      <c r="B96" s="8" t="s">
        <v>464</v>
      </c>
      <c r="C96" s="8" t="s">
        <v>87</v>
      </c>
      <c r="D96" s="8" t="n">
        <v>22</v>
      </c>
      <c r="E96" s="8" t="n">
        <v>476043</v>
      </c>
      <c r="F96" s="11" t="str">
        <f aca="false">INDEX(Caixas!$C:$C,MATCH(C96,Caixas!$A:$A,0))</f>
        <v>Aberta</v>
      </c>
      <c r="G96" s="9" t="n">
        <v>22</v>
      </c>
      <c r="H96" s="9" t="n">
        <v>0</v>
      </c>
      <c r="I96" s="8" t="n">
        <f aca="false">IF(F96="Inteira CBP",D96,IF(OR(F96="Aberta",F96="Avulso"),G96,0))</f>
        <v>22</v>
      </c>
      <c r="J96" s="8" t="n">
        <f aca="false">IF(F96="Inteira CBTBE",D96,IF(OR(F96="Aberta",F96="Avulso"),H96,0))</f>
        <v>0</v>
      </c>
      <c r="K96" s="8" t="n">
        <f aca="false">D96-I96-J96</f>
        <v>0</v>
      </c>
    </row>
    <row r="97" customFormat="false" ht="15" hidden="false" customHeight="false" outlineLevel="0" collapsed="false">
      <c r="A97" s="8" t="s">
        <v>475</v>
      </c>
      <c r="B97" s="8" t="s">
        <v>476</v>
      </c>
      <c r="C97" s="8" t="s">
        <v>88</v>
      </c>
      <c r="D97" s="8" t="n">
        <v>31</v>
      </c>
      <c r="E97" s="8" t="n">
        <v>476061</v>
      </c>
      <c r="F97" s="11" t="str">
        <f aca="false">INDEX(Caixas!$C:$C,MATCH(C97,Caixas!$A:$A,0))</f>
        <v>Aberta</v>
      </c>
      <c r="G97" s="9" t="n">
        <v>4</v>
      </c>
      <c r="H97" s="9" t="n">
        <v>27</v>
      </c>
      <c r="I97" s="8" t="n">
        <f aca="false">IF(F97="Inteira CBP",D97,IF(OR(F97="Aberta",F97="Avulso"),G97,0))</f>
        <v>4</v>
      </c>
      <c r="J97" s="8" t="n">
        <f aca="false">IF(F97="Inteira CBTBE",D97,IF(OR(F97="Aberta",F97="Avulso"),H97,0))</f>
        <v>27</v>
      </c>
      <c r="K97" s="8" t="n">
        <f aca="false">D97-I97-J97</f>
        <v>0</v>
      </c>
    </row>
    <row r="98" customFormat="false" ht="15" hidden="false" customHeight="false" outlineLevel="0" collapsed="false">
      <c r="A98" s="8" t="s">
        <v>449</v>
      </c>
      <c r="B98" s="8" t="s">
        <v>450</v>
      </c>
      <c r="C98" s="8" t="s">
        <v>88</v>
      </c>
      <c r="D98" s="8" t="n">
        <v>3</v>
      </c>
      <c r="E98" s="8" t="n">
        <v>476065</v>
      </c>
      <c r="F98" s="11" t="str">
        <f aca="false">INDEX(Caixas!$C:$C,MATCH(C98,Caixas!$A:$A,0))</f>
        <v>Aberta</v>
      </c>
      <c r="G98" s="9" t="n">
        <v>0</v>
      </c>
      <c r="H98" s="9" t="n">
        <v>0</v>
      </c>
      <c r="I98" s="8" t="n">
        <f aca="false">IF(F98="Inteira CBP",D98,IF(OR(F98="Aberta",F98="Avulso"),G98,0))</f>
        <v>0</v>
      </c>
      <c r="J98" s="8" t="n">
        <f aca="false">IF(F98="Inteira CBTBE",D98,IF(OR(F98="Aberta",F98="Avulso"),H98,0))</f>
        <v>0</v>
      </c>
      <c r="K98" s="8" t="n">
        <f aca="false">D98-I98-J98</f>
        <v>3</v>
      </c>
    </row>
    <row r="99" customFormat="false" ht="15" hidden="false" customHeight="false" outlineLevel="0" collapsed="false">
      <c r="A99" s="8" t="s">
        <v>455</v>
      </c>
      <c r="B99" s="8" t="s">
        <v>456</v>
      </c>
      <c r="C99" s="8" t="s">
        <v>88</v>
      </c>
      <c r="D99" s="8" t="n">
        <v>10</v>
      </c>
      <c r="E99" s="8" t="n">
        <v>476061</v>
      </c>
      <c r="F99" s="11" t="str">
        <f aca="false">INDEX(Caixas!$C:$C,MATCH(C99,Caixas!$A:$A,0))</f>
        <v>Aberta</v>
      </c>
      <c r="G99" s="9" t="n">
        <v>10</v>
      </c>
      <c r="H99" s="9" t="n">
        <v>0</v>
      </c>
      <c r="I99" s="8" t="n">
        <f aca="false">IF(F99="Inteira CBP",D99,IF(OR(F99="Aberta",F99="Avulso"),G99,0))</f>
        <v>10</v>
      </c>
      <c r="J99" s="8" t="n">
        <f aca="false">IF(F99="Inteira CBTBE",D99,IF(OR(F99="Aberta",F99="Avulso"),H99,0))</f>
        <v>0</v>
      </c>
      <c r="K99" s="8" t="n">
        <f aca="false">D99-I99-J99</f>
        <v>0</v>
      </c>
    </row>
    <row r="100" customFormat="false" ht="15" hidden="false" customHeight="false" outlineLevel="0" collapsed="false">
      <c r="A100" s="8" t="s">
        <v>439</v>
      </c>
      <c r="B100" s="8" t="s">
        <v>440</v>
      </c>
      <c r="C100" s="8" t="s">
        <v>88</v>
      </c>
      <c r="D100" s="8" t="n">
        <v>14</v>
      </c>
      <c r="E100" s="8" t="n">
        <v>476065</v>
      </c>
      <c r="F100" s="11" t="str">
        <f aca="false">INDEX(Caixas!$C:$C,MATCH(C100,Caixas!$A:$A,0))</f>
        <v>Aberta</v>
      </c>
      <c r="G100" s="9" t="n">
        <v>0</v>
      </c>
      <c r="H100" s="9" t="n">
        <v>0</v>
      </c>
      <c r="I100" s="8" t="n">
        <f aca="false">IF(F100="Inteira CBP",D100,IF(OR(F100="Aberta",F100="Avulso"),G100,0))</f>
        <v>0</v>
      </c>
      <c r="J100" s="8" t="n">
        <f aca="false">IF(F100="Inteira CBTBE",D100,IF(OR(F100="Aberta",F100="Avulso"),H100,0))</f>
        <v>0</v>
      </c>
      <c r="K100" s="8" t="n">
        <f aca="false">D100-I100-J100</f>
        <v>14</v>
      </c>
    </row>
    <row r="101" customFormat="false" ht="15" hidden="false" customHeight="false" outlineLevel="0" collapsed="false">
      <c r="A101" s="8" t="s">
        <v>459</v>
      </c>
      <c r="B101" s="8" t="s">
        <v>460</v>
      </c>
      <c r="C101" s="8" t="s">
        <v>88</v>
      </c>
      <c r="D101" s="8" t="n">
        <v>23</v>
      </c>
      <c r="E101" s="8" t="n">
        <v>476043</v>
      </c>
      <c r="F101" s="11" t="str">
        <f aca="false">INDEX(Caixas!$C:$C,MATCH(C101,Caixas!$A:$A,0))</f>
        <v>Aberta</v>
      </c>
      <c r="G101" s="9" t="n">
        <v>0</v>
      </c>
      <c r="H101" s="9" t="n">
        <v>23</v>
      </c>
      <c r="I101" s="8" t="n">
        <f aca="false">IF(F101="Inteira CBP",D101,IF(OR(F101="Aberta",F101="Avulso"),G101,0))</f>
        <v>0</v>
      </c>
      <c r="J101" s="8" t="n">
        <f aca="false">IF(F101="Inteira CBTBE",D101,IF(OR(F101="Aberta",F101="Avulso"),H101,0))</f>
        <v>23</v>
      </c>
      <c r="K101" s="8" t="n">
        <f aca="false">D101-I101-J101</f>
        <v>0</v>
      </c>
    </row>
    <row r="102" customFormat="false" ht="15" hidden="false" customHeight="false" outlineLevel="0" collapsed="false">
      <c r="A102" s="8" t="s">
        <v>437</v>
      </c>
      <c r="B102" s="8" t="s">
        <v>438</v>
      </c>
      <c r="C102" s="8" t="s">
        <v>88</v>
      </c>
      <c r="D102" s="8" t="n">
        <v>30</v>
      </c>
      <c r="E102" s="8" t="n">
        <v>476065</v>
      </c>
      <c r="F102" s="11" t="str">
        <f aca="false">INDEX(Caixas!$C:$C,MATCH(C102,Caixas!$A:$A,0))</f>
        <v>Aberta</v>
      </c>
      <c r="G102" s="9" t="n">
        <v>0</v>
      </c>
      <c r="H102" s="9" t="n">
        <v>30</v>
      </c>
      <c r="I102" s="8" t="n">
        <f aca="false">IF(F102="Inteira CBP",D102,IF(OR(F102="Aberta",F102="Avulso"),G102,0))</f>
        <v>0</v>
      </c>
      <c r="J102" s="8" t="n">
        <f aca="false">IF(F102="Inteira CBTBE",D102,IF(OR(F102="Aberta",F102="Avulso"),H102,0))</f>
        <v>30</v>
      </c>
      <c r="K102" s="8" t="n">
        <f aca="false">D102-I102-J102</f>
        <v>0</v>
      </c>
    </row>
    <row r="103" customFormat="false" ht="15" hidden="false" customHeight="false" outlineLevel="0" collapsed="false">
      <c r="A103" s="8" t="s">
        <v>433</v>
      </c>
      <c r="B103" s="8" t="s">
        <v>434</v>
      </c>
      <c r="C103" s="8" t="s">
        <v>88</v>
      </c>
      <c r="D103" s="8" t="n">
        <v>18</v>
      </c>
      <c r="E103" s="8" t="n">
        <v>476043</v>
      </c>
      <c r="F103" s="11" t="str">
        <f aca="false">INDEX(Caixas!$C:$C,MATCH(C103,Caixas!$A:$A,0))</f>
        <v>Aberta</v>
      </c>
      <c r="G103" s="9" t="n">
        <v>0</v>
      </c>
      <c r="H103" s="9" t="n">
        <v>18</v>
      </c>
      <c r="I103" s="8" t="n">
        <f aca="false">IF(F103="Inteira CBP",D103,IF(OR(F103="Aberta",F103="Avulso"),G103,0))</f>
        <v>0</v>
      </c>
      <c r="J103" s="8" t="n">
        <f aca="false">IF(F103="Inteira CBTBE",D103,IF(OR(F103="Aberta",F103="Avulso"),H103,0))</f>
        <v>18</v>
      </c>
      <c r="K103" s="8" t="n">
        <f aca="false">D103-I103-J103</f>
        <v>0</v>
      </c>
    </row>
    <row r="104" customFormat="false" ht="15" hidden="false" customHeight="false" outlineLevel="0" collapsed="false">
      <c r="A104" s="8" t="s">
        <v>429</v>
      </c>
      <c r="B104" s="8" t="s">
        <v>430</v>
      </c>
      <c r="C104" s="8" t="s">
        <v>89</v>
      </c>
      <c r="D104" s="8" t="n">
        <v>12</v>
      </c>
      <c r="E104" s="8" t="n">
        <v>476065</v>
      </c>
      <c r="F104" s="11" t="str">
        <f aca="false">INDEX(Caixas!$C:$C,MATCH(C104,Caixas!$A:$A,0))</f>
        <v>Devolução fechada</v>
      </c>
      <c r="G104" s="9" t="n">
        <v>0</v>
      </c>
      <c r="H104" s="9" t="n">
        <v>0</v>
      </c>
      <c r="I104" s="8" t="n">
        <f aca="false">IF(F104="Inteira CBP",D104,IF(OR(F104="Aberta",F104="Avulso"),G104,0))</f>
        <v>0</v>
      </c>
      <c r="J104" s="8" t="n">
        <f aca="false">IF(F104="Inteira CBTBE",D104,IF(OR(F104="Aberta",F104="Avulso"),H104,0))</f>
        <v>0</v>
      </c>
      <c r="K104" s="8" t="n">
        <f aca="false">D104-I104-J104</f>
        <v>12</v>
      </c>
    </row>
    <row r="105" customFormat="false" ht="15" hidden="false" customHeight="false" outlineLevel="0" collapsed="false">
      <c r="A105" s="8" t="s">
        <v>477</v>
      </c>
      <c r="B105" s="8" t="s">
        <v>478</v>
      </c>
      <c r="C105" s="8" t="s">
        <v>89</v>
      </c>
      <c r="D105" s="8" t="n">
        <v>44</v>
      </c>
      <c r="E105" s="8" t="n">
        <v>476061</v>
      </c>
      <c r="F105" s="11" t="str">
        <f aca="false">INDEX(Caixas!$C:$C,MATCH(C105,Caixas!$A:$A,0))</f>
        <v>Devolução fechada</v>
      </c>
      <c r="G105" s="9" t="n">
        <v>0</v>
      </c>
      <c r="H105" s="9" t="n">
        <v>0</v>
      </c>
      <c r="I105" s="8" t="n">
        <f aca="false">IF(F105="Inteira CBP",D105,IF(OR(F105="Aberta",F105="Avulso"),G105,0))</f>
        <v>0</v>
      </c>
      <c r="J105" s="8" t="n">
        <f aca="false">IF(F105="Inteira CBTBE",D105,IF(OR(F105="Aberta",F105="Avulso"),H105,0))</f>
        <v>0</v>
      </c>
      <c r="K105" s="8" t="n">
        <f aca="false">D105-I105-J105</f>
        <v>44</v>
      </c>
    </row>
    <row r="106" customFormat="false" ht="15" hidden="false" customHeight="false" outlineLevel="0" collapsed="false">
      <c r="A106" s="8" t="s">
        <v>447</v>
      </c>
      <c r="B106" s="8" t="s">
        <v>448</v>
      </c>
      <c r="C106" s="8" t="s">
        <v>89</v>
      </c>
      <c r="D106" s="8" t="n">
        <v>30</v>
      </c>
      <c r="E106" s="8" t="n">
        <v>476065</v>
      </c>
      <c r="F106" s="11" t="str">
        <f aca="false">INDEX(Caixas!$C:$C,MATCH(C106,Caixas!$A:$A,0))</f>
        <v>Devolução fechada</v>
      </c>
      <c r="G106" s="9" t="n">
        <v>0</v>
      </c>
      <c r="H106" s="9" t="n">
        <v>0</v>
      </c>
      <c r="I106" s="8" t="n">
        <f aca="false">IF(F106="Inteira CBP",D106,IF(OR(F106="Aberta",F106="Avulso"),G106,0))</f>
        <v>0</v>
      </c>
      <c r="J106" s="8" t="n">
        <f aca="false">IF(F106="Inteira CBTBE",D106,IF(OR(F106="Aberta",F106="Avulso"),H106,0))</f>
        <v>0</v>
      </c>
      <c r="K106" s="8" t="n">
        <f aca="false">D106-I106-J106</f>
        <v>30</v>
      </c>
    </row>
    <row r="107" customFormat="false" ht="15" hidden="false" customHeight="false" outlineLevel="0" collapsed="false">
      <c r="A107" s="8" t="s">
        <v>443</v>
      </c>
      <c r="B107" s="8" t="s">
        <v>444</v>
      </c>
      <c r="C107" s="8" t="s">
        <v>89</v>
      </c>
      <c r="D107" s="8" t="n">
        <v>21</v>
      </c>
      <c r="E107" s="8" t="n">
        <v>476043</v>
      </c>
      <c r="F107" s="11" t="str">
        <f aca="false">INDEX(Caixas!$C:$C,MATCH(C107,Caixas!$A:$A,0))</f>
        <v>Devolução fechada</v>
      </c>
      <c r="G107" s="9" t="n">
        <v>0</v>
      </c>
      <c r="H107" s="9" t="n">
        <v>0</v>
      </c>
      <c r="I107" s="8" t="n">
        <f aca="false">IF(F107="Inteira CBP",D107,IF(OR(F107="Aberta",F107="Avulso"),G107,0))</f>
        <v>0</v>
      </c>
      <c r="J107" s="8" t="n">
        <f aca="false">IF(F107="Inteira CBTBE",D107,IF(OR(F107="Aberta",F107="Avulso"),H107,0))</f>
        <v>0</v>
      </c>
      <c r="K107" s="8" t="n">
        <f aca="false">D107-I107-J107</f>
        <v>21</v>
      </c>
    </row>
    <row r="108" customFormat="false" ht="15" hidden="false" customHeight="false" outlineLevel="0" collapsed="false">
      <c r="A108" s="8" t="s">
        <v>429</v>
      </c>
      <c r="B108" s="8" t="s">
        <v>430</v>
      </c>
      <c r="C108" s="8" t="s">
        <v>90</v>
      </c>
      <c r="D108" s="8" t="n">
        <v>8</v>
      </c>
      <c r="E108" s="8" t="n">
        <v>476065</v>
      </c>
      <c r="F108" s="11" t="str">
        <f aca="false">INDEX(Caixas!$C:$C,MATCH(C108,Caixas!$A:$A,0))</f>
        <v>Aberta</v>
      </c>
      <c r="G108" s="9" t="n">
        <v>0</v>
      </c>
      <c r="H108" s="9" t="n">
        <v>0</v>
      </c>
      <c r="I108" s="8" t="n">
        <f aca="false">IF(F108="Inteira CBP",D108,IF(OR(F108="Aberta",F108="Avulso"),G108,0))</f>
        <v>0</v>
      </c>
      <c r="J108" s="8" t="n">
        <f aca="false">IF(F108="Inteira CBTBE",D108,IF(OR(F108="Aberta",F108="Avulso"),H108,0))</f>
        <v>0</v>
      </c>
      <c r="K108" s="8" t="n">
        <f aca="false">D108-I108-J108</f>
        <v>8</v>
      </c>
    </row>
    <row r="109" customFormat="false" ht="15" hidden="false" customHeight="false" outlineLevel="0" collapsed="false">
      <c r="A109" s="8" t="s">
        <v>477</v>
      </c>
      <c r="B109" s="8" t="s">
        <v>478</v>
      </c>
      <c r="C109" s="8" t="s">
        <v>90</v>
      </c>
      <c r="D109" s="8" t="n">
        <v>44</v>
      </c>
      <c r="E109" s="8" t="n">
        <v>476061</v>
      </c>
      <c r="F109" s="11" t="str">
        <f aca="false">INDEX(Caixas!$C:$C,MATCH(C109,Caixas!$A:$A,0))</f>
        <v>Aberta</v>
      </c>
      <c r="G109" s="9" t="n">
        <v>0</v>
      </c>
      <c r="H109" s="9" t="n">
        <v>10</v>
      </c>
      <c r="I109" s="8" t="n">
        <f aca="false">IF(F109="Inteira CBP",D109,IF(OR(F109="Aberta",F109="Avulso"),G109,0))</f>
        <v>0</v>
      </c>
      <c r="J109" s="8" t="n">
        <f aca="false">IF(F109="Inteira CBTBE",D109,IF(OR(F109="Aberta",F109="Avulso"),H109,0))</f>
        <v>10</v>
      </c>
      <c r="K109" s="8" t="n">
        <f aca="false">D109-I109-J109</f>
        <v>34</v>
      </c>
    </row>
    <row r="110" customFormat="false" ht="15" hidden="false" customHeight="false" outlineLevel="0" collapsed="false">
      <c r="A110" s="8" t="s">
        <v>453</v>
      </c>
      <c r="B110" s="8" t="s">
        <v>454</v>
      </c>
      <c r="C110" s="8" t="s">
        <v>90</v>
      </c>
      <c r="D110" s="8" t="n">
        <v>21</v>
      </c>
      <c r="E110" s="8" t="n">
        <v>476065</v>
      </c>
      <c r="F110" s="11" t="str">
        <f aca="false">INDEX(Caixas!$C:$C,MATCH(C110,Caixas!$A:$A,0))</f>
        <v>Aberta</v>
      </c>
      <c r="G110" s="9" t="n">
        <v>0</v>
      </c>
      <c r="H110" s="9" t="n">
        <v>0</v>
      </c>
      <c r="I110" s="8" t="n">
        <f aca="false">IF(F110="Inteira CBP",D110,IF(OR(F110="Aberta",F110="Avulso"),G110,0))</f>
        <v>0</v>
      </c>
      <c r="J110" s="8" t="n">
        <f aca="false">IF(F110="Inteira CBTBE",D110,IF(OR(F110="Aberta",F110="Avulso"),H110,0))</f>
        <v>0</v>
      </c>
      <c r="K110" s="8" t="n">
        <f aca="false">D110-I110-J110</f>
        <v>21</v>
      </c>
    </row>
    <row r="111" customFormat="false" ht="15" hidden="false" customHeight="false" outlineLevel="0" collapsed="false">
      <c r="A111" s="8" t="s">
        <v>479</v>
      </c>
      <c r="B111" s="8" t="s">
        <v>480</v>
      </c>
      <c r="C111" s="8" t="s">
        <v>90</v>
      </c>
      <c r="D111" s="8" t="n">
        <v>36</v>
      </c>
      <c r="E111" s="8" t="n">
        <v>476043</v>
      </c>
      <c r="F111" s="11" t="str">
        <f aca="false">INDEX(Caixas!$C:$C,MATCH(C111,Caixas!$A:$A,0))</f>
        <v>Aberta</v>
      </c>
      <c r="G111" s="9" t="n">
        <v>0</v>
      </c>
      <c r="H111" s="9" t="n">
        <v>20</v>
      </c>
      <c r="I111" s="8" t="n">
        <f aca="false">IF(F111="Inteira CBP",D111,IF(OR(F111="Aberta",F111="Avulso"),G111,0))</f>
        <v>0</v>
      </c>
      <c r="J111" s="8" t="n">
        <f aca="false">IF(F111="Inteira CBTBE",D111,IF(OR(F111="Aberta",F111="Avulso"),H111,0))</f>
        <v>20</v>
      </c>
      <c r="K111" s="8" t="n">
        <f aca="false">D111-I111-J111</f>
        <v>16</v>
      </c>
    </row>
    <row r="112" customFormat="false" ht="15" hidden="false" customHeight="false" outlineLevel="0" collapsed="false">
      <c r="A112" s="8" t="s">
        <v>445</v>
      </c>
      <c r="B112" s="8" t="s">
        <v>446</v>
      </c>
      <c r="C112" s="8" t="s">
        <v>90</v>
      </c>
      <c r="D112" s="8" t="n">
        <v>10</v>
      </c>
      <c r="E112" s="8" t="n">
        <v>476065</v>
      </c>
      <c r="F112" s="11" t="str">
        <f aca="false">INDEX(Caixas!$C:$C,MATCH(C112,Caixas!$A:$A,0))</f>
        <v>Aberta</v>
      </c>
      <c r="G112" s="9" t="n">
        <v>10</v>
      </c>
      <c r="H112" s="9" t="n">
        <v>0</v>
      </c>
      <c r="I112" s="8" t="n">
        <f aca="false">IF(F112="Inteira CBP",D112,IF(OR(F112="Aberta",F112="Avulso"),G112,0))</f>
        <v>10</v>
      </c>
      <c r="J112" s="8" t="n">
        <f aca="false">IF(F112="Inteira CBTBE",D112,IF(OR(F112="Aberta",F112="Avulso"),H112,0))</f>
        <v>0</v>
      </c>
      <c r="K112" s="8" t="n">
        <f aca="false">D112-I112-J112</f>
        <v>0</v>
      </c>
    </row>
    <row r="113" customFormat="false" ht="15" hidden="false" customHeight="false" outlineLevel="0" collapsed="false">
      <c r="A113" s="8" t="s">
        <v>481</v>
      </c>
      <c r="B113" s="8" t="s">
        <v>482</v>
      </c>
      <c r="C113" s="8" t="s">
        <v>92</v>
      </c>
      <c r="D113" s="8" t="n">
        <v>7</v>
      </c>
      <c r="E113" s="8" t="n">
        <v>476065</v>
      </c>
      <c r="F113" s="11" t="str">
        <f aca="false">INDEX(Caixas!$C:$C,MATCH(C113,Caixas!$A:$A,0))</f>
        <v>Devolução fechada</v>
      </c>
      <c r="G113" s="9" t="n">
        <v>0</v>
      </c>
      <c r="H113" s="9" t="n">
        <v>0</v>
      </c>
      <c r="I113" s="8" t="n">
        <f aca="false">IF(F113="Inteira CBP",D113,IF(OR(F113="Aberta",F113="Avulso"),G113,0))</f>
        <v>0</v>
      </c>
      <c r="J113" s="8" t="n">
        <f aca="false">IF(F113="Inteira CBTBE",D113,IF(OR(F113="Aberta",F113="Avulso"),H113,0))</f>
        <v>0</v>
      </c>
      <c r="K113" s="8" t="n">
        <f aca="false">D113-I113-J113</f>
        <v>7</v>
      </c>
    </row>
    <row r="114" customFormat="false" ht="15" hidden="false" customHeight="false" outlineLevel="0" collapsed="false">
      <c r="A114" s="8" t="s">
        <v>477</v>
      </c>
      <c r="B114" s="8" t="s">
        <v>478</v>
      </c>
      <c r="C114" s="8" t="s">
        <v>92</v>
      </c>
      <c r="D114" s="8" t="n">
        <v>44</v>
      </c>
      <c r="E114" s="8" t="n">
        <v>476061</v>
      </c>
      <c r="F114" s="11" t="str">
        <f aca="false">INDEX(Caixas!$C:$C,MATCH(C114,Caixas!$A:$A,0))</f>
        <v>Devolução fechada</v>
      </c>
      <c r="G114" s="9" t="n">
        <v>0</v>
      </c>
      <c r="H114" s="9" t="n">
        <v>0</v>
      </c>
      <c r="I114" s="8" t="n">
        <f aca="false">IF(F114="Inteira CBP",D114,IF(OR(F114="Aberta",F114="Avulso"),G114,0))</f>
        <v>0</v>
      </c>
      <c r="J114" s="8" t="n">
        <f aca="false">IF(F114="Inteira CBTBE",D114,IF(OR(F114="Aberta",F114="Avulso"),H114,0))</f>
        <v>0</v>
      </c>
      <c r="K114" s="8" t="n">
        <f aca="false">D114-I114-J114</f>
        <v>44</v>
      </c>
    </row>
    <row r="115" customFormat="false" ht="15" hidden="false" customHeight="false" outlineLevel="0" collapsed="false">
      <c r="A115" s="8" t="s">
        <v>479</v>
      </c>
      <c r="B115" s="8" t="s">
        <v>480</v>
      </c>
      <c r="C115" s="8" t="s">
        <v>92</v>
      </c>
      <c r="D115" s="8" t="n">
        <v>36</v>
      </c>
      <c r="E115" s="8" t="n">
        <v>476043</v>
      </c>
      <c r="F115" s="11" t="str">
        <f aca="false">INDEX(Caixas!$C:$C,MATCH(C115,Caixas!$A:$A,0))</f>
        <v>Devolução fechada</v>
      </c>
      <c r="G115" s="9" t="n">
        <v>0</v>
      </c>
      <c r="H115" s="9" t="n">
        <v>0</v>
      </c>
      <c r="I115" s="8" t="n">
        <f aca="false">IF(F115="Inteira CBP",D115,IF(OR(F115="Aberta",F115="Avulso"),G115,0))</f>
        <v>0</v>
      </c>
      <c r="J115" s="8" t="n">
        <f aca="false">IF(F115="Inteira CBTBE",D115,IF(OR(F115="Aberta",F115="Avulso"),H115,0))</f>
        <v>0</v>
      </c>
      <c r="K115" s="8" t="n">
        <f aca="false">D115-I115-J115</f>
        <v>36</v>
      </c>
    </row>
    <row r="116" customFormat="false" ht="15" hidden="false" customHeight="false" outlineLevel="0" collapsed="false">
      <c r="A116" s="8" t="s">
        <v>481</v>
      </c>
      <c r="B116" s="8" t="s">
        <v>482</v>
      </c>
      <c r="C116" s="8" t="s">
        <v>93</v>
      </c>
      <c r="D116" s="8" t="n">
        <v>7</v>
      </c>
      <c r="E116" s="8" t="n">
        <v>476065</v>
      </c>
      <c r="F116" s="11" t="str">
        <f aca="false">INDEX(Caixas!$C:$C,MATCH(C116,Caixas!$A:$A,0))</f>
        <v>Devolução fechada</v>
      </c>
      <c r="G116" s="9" t="n">
        <v>0</v>
      </c>
      <c r="H116" s="9" t="n">
        <v>0</v>
      </c>
      <c r="I116" s="8" t="n">
        <f aca="false">IF(F116="Inteira CBP",D116,IF(OR(F116="Aberta",F116="Avulso"),G116,0))</f>
        <v>0</v>
      </c>
      <c r="J116" s="8" t="n">
        <f aca="false">IF(F116="Inteira CBTBE",D116,IF(OR(F116="Aberta",F116="Avulso"),H116,0))</f>
        <v>0</v>
      </c>
      <c r="K116" s="8" t="n">
        <f aca="false">D116-I116-J116</f>
        <v>7</v>
      </c>
    </row>
    <row r="117" customFormat="false" ht="15" hidden="false" customHeight="false" outlineLevel="0" collapsed="false">
      <c r="A117" s="8" t="s">
        <v>477</v>
      </c>
      <c r="B117" s="8" t="s">
        <v>478</v>
      </c>
      <c r="C117" s="8" t="s">
        <v>93</v>
      </c>
      <c r="D117" s="8" t="n">
        <v>44</v>
      </c>
      <c r="E117" s="8" t="n">
        <v>476061</v>
      </c>
      <c r="F117" s="11" t="str">
        <f aca="false">INDEX(Caixas!$C:$C,MATCH(C117,Caixas!$A:$A,0))</f>
        <v>Devolução fechada</v>
      </c>
      <c r="G117" s="9" t="n">
        <v>0</v>
      </c>
      <c r="H117" s="9" t="n">
        <v>0</v>
      </c>
      <c r="I117" s="8" t="n">
        <f aca="false">IF(F117="Inteira CBP",D117,IF(OR(F117="Aberta",F117="Avulso"),G117,0))</f>
        <v>0</v>
      </c>
      <c r="J117" s="8" t="n">
        <f aca="false">IF(F117="Inteira CBTBE",D117,IF(OR(F117="Aberta",F117="Avulso"),H117,0))</f>
        <v>0</v>
      </c>
      <c r="K117" s="8" t="n">
        <f aca="false">D117-I117-J117</f>
        <v>44</v>
      </c>
    </row>
    <row r="118" customFormat="false" ht="15" hidden="false" customHeight="false" outlineLevel="0" collapsed="false">
      <c r="A118" s="8" t="s">
        <v>483</v>
      </c>
      <c r="B118" s="8" t="s">
        <v>484</v>
      </c>
      <c r="C118" s="8" t="s">
        <v>93</v>
      </c>
      <c r="D118" s="8" t="n">
        <v>30</v>
      </c>
      <c r="E118" s="8" t="n">
        <v>476043</v>
      </c>
      <c r="F118" s="11" t="str">
        <f aca="false">INDEX(Caixas!$C:$C,MATCH(C118,Caixas!$A:$A,0))</f>
        <v>Devolução fechada</v>
      </c>
      <c r="G118" s="9" t="n">
        <v>0</v>
      </c>
      <c r="H118" s="9" t="n">
        <v>0</v>
      </c>
      <c r="I118" s="8" t="n">
        <f aca="false">IF(F118="Inteira CBP",D118,IF(OR(F118="Aberta",F118="Avulso"),G118,0))</f>
        <v>0</v>
      </c>
      <c r="J118" s="8" t="n">
        <f aca="false">IF(F118="Inteira CBTBE",D118,IF(OR(F118="Aberta",F118="Avulso"),H118,0))</f>
        <v>0</v>
      </c>
      <c r="K118" s="8" t="n">
        <f aca="false">D118-I118-J118</f>
        <v>30</v>
      </c>
    </row>
    <row r="119" customFormat="false" ht="15" hidden="false" customHeight="false" outlineLevel="0" collapsed="false">
      <c r="A119" s="8" t="s">
        <v>481</v>
      </c>
      <c r="B119" s="8" t="s">
        <v>482</v>
      </c>
      <c r="C119" s="8" t="s">
        <v>94</v>
      </c>
      <c r="D119" s="8" t="n">
        <v>7</v>
      </c>
      <c r="E119" s="8" t="n">
        <v>476065</v>
      </c>
      <c r="F119" s="11" t="str">
        <f aca="false">INDEX(Caixas!$C:$C,MATCH(C119,Caixas!$A:$A,0))</f>
        <v>Devolução fechada</v>
      </c>
      <c r="G119" s="9" t="n">
        <v>0</v>
      </c>
      <c r="H119" s="9" t="n">
        <v>0</v>
      </c>
      <c r="I119" s="8" t="n">
        <f aca="false">IF(F119="Inteira CBP",D119,IF(OR(F119="Aberta",F119="Avulso"),G119,0))</f>
        <v>0</v>
      </c>
      <c r="J119" s="8" t="n">
        <f aca="false">IF(F119="Inteira CBTBE",D119,IF(OR(F119="Aberta",F119="Avulso"),H119,0))</f>
        <v>0</v>
      </c>
      <c r="K119" s="8" t="n">
        <f aca="false">D119-I119-J119</f>
        <v>7</v>
      </c>
    </row>
    <row r="120" customFormat="false" ht="15" hidden="false" customHeight="false" outlineLevel="0" collapsed="false">
      <c r="A120" s="8" t="s">
        <v>477</v>
      </c>
      <c r="B120" s="8" t="s">
        <v>478</v>
      </c>
      <c r="C120" s="8" t="s">
        <v>94</v>
      </c>
      <c r="D120" s="8" t="n">
        <v>44</v>
      </c>
      <c r="E120" s="8" t="n">
        <v>476061</v>
      </c>
      <c r="F120" s="11" t="str">
        <f aca="false">INDEX(Caixas!$C:$C,MATCH(C120,Caixas!$A:$A,0))</f>
        <v>Devolução fechada</v>
      </c>
      <c r="G120" s="9" t="n">
        <v>0</v>
      </c>
      <c r="H120" s="9" t="n">
        <v>0</v>
      </c>
      <c r="I120" s="8" t="n">
        <f aca="false">IF(F120="Inteira CBP",D120,IF(OR(F120="Aberta",F120="Avulso"),G120,0))</f>
        <v>0</v>
      </c>
      <c r="J120" s="8" t="n">
        <f aca="false">IF(F120="Inteira CBTBE",D120,IF(OR(F120="Aberta",F120="Avulso"),H120,0))</f>
        <v>0</v>
      </c>
      <c r="K120" s="8" t="n">
        <f aca="false">D120-I120-J120</f>
        <v>44</v>
      </c>
    </row>
    <row r="121" customFormat="false" ht="15" hidden="false" customHeight="false" outlineLevel="0" collapsed="false">
      <c r="A121" s="8" t="s">
        <v>479</v>
      </c>
      <c r="B121" s="8" t="s">
        <v>480</v>
      </c>
      <c r="C121" s="8" t="s">
        <v>94</v>
      </c>
      <c r="D121" s="8" t="n">
        <v>36</v>
      </c>
      <c r="E121" s="8" t="n">
        <v>476043</v>
      </c>
      <c r="F121" s="11" t="str">
        <f aca="false">INDEX(Caixas!$C:$C,MATCH(C121,Caixas!$A:$A,0))</f>
        <v>Devolução fechada</v>
      </c>
      <c r="G121" s="9" t="n">
        <v>0</v>
      </c>
      <c r="H121" s="9" t="n">
        <v>0</v>
      </c>
      <c r="I121" s="8" t="n">
        <f aca="false">IF(F121="Inteira CBP",D121,IF(OR(F121="Aberta",F121="Avulso"),G121,0))</f>
        <v>0</v>
      </c>
      <c r="J121" s="8" t="n">
        <f aca="false">IF(F121="Inteira CBTBE",D121,IF(OR(F121="Aberta",F121="Avulso"),H121,0))</f>
        <v>0</v>
      </c>
      <c r="K121" s="8" t="n">
        <f aca="false">D121-I121-J121</f>
        <v>36</v>
      </c>
    </row>
    <row r="122" customFormat="false" ht="15" hidden="false" customHeight="false" outlineLevel="0" collapsed="false">
      <c r="A122" s="8" t="s">
        <v>481</v>
      </c>
      <c r="B122" s="8" t="s">
        <v>482</v>
      </c>
      <c r="C122" s="8" t="s">
        <v>95</v>
      </c>
      <c r="D122" s="8" t="n">
        <v>7</v>
      </c>
      <c r="E122" s="8" t="n">
        <v>476065</v>
      </c>
      <c r="F122" s="11" t="str">
        <f aca="false">INDEX(Caixas!$C:$C,MATCH(C122,Caixas!$A:$A,0))</f>
        <v>Inteira CBP</v>
      </c>
      <c r="G122" s="9" t="n">
        <v>0</v>
      </c>
      <c r="H122" s="9" t="n">
        <v>0</v>
      </c>
      <c r="I122" s="8" t="n">
        <f aca="false">IF(F122="Inteira CBP",D122,IF(OR(F122="Aberta",F122="Avulso"),G122,0))</f>
        <v>7</v>
      </c>
      <c r="J122" s="8" t="n">
        <f aca="false">IF(F122="Inteira CBTBE",D122,IF(OR(F122="Aberta",F122="Avulso"),H122,0))</f>
        <v>0</v>
      </c>
      <c r="K122" s="8" t="n">
        <f aca="false">D122-I122-J122</f>
        <v>0</v>
      </c>
    </row>
    <row r="123" customFormat="false" ht="15" hidden="false" customHeight="false" outlineLevel="0" collapsed="false">
      <c r="A123" s="8" t="s">
        <v>477</v>
      </c>
      <c r="B123" s="8" t="s">
        <v>478</v>
      </c>
      <c r="C123" s="8" t="s">
        <v>95</v>
      </c>
      <c r="D123" s="8" t="n">
        <v>44</v>
      </c>
      <c r="E123" s="8" t="n">
        <v>476061</v>
      </c>
      <c r="F123" s="11" t="str">
        <f aca="false">INDEX(Caixas!$C:$C,MATCH(C123,Caixas!$A:$A,0))</f>
        <v>Inteira CBP</v>
      </c>
      <c r="G123" s="9" t="n">
        <v>0</v>
      </c>
      <c r="H123" s="9" t="n">
        <v>0</v>
      </c>
      <c r="I123" s="8" t="n">
        <f aca="false">IF(F123="Inteira CBP",D123,IF(OR(F123="Aberta",F123="Avulso"),G123,0))</f>
        <v>44</v>
      </c>
      <c r="J123" s="8" t="n">
        <f aca="false">IF(F123="Inteira CBTBE",D123,IF(OR(F123="Aberta",F123="Avulso"),H123,0))</f>
        <v>0</v>
      </c>
      <c r="K123" s="8" t="n">
        <f aca="false">D123-I123-J123</f>
        <v>0</v>
      </c>
    </row>
    <row r="124" customFormat="false" ht="15" hidden="false" customHeight="false" outlineLevel="0" collapsed="false">
      <c r="A124" s="8" t="s">
        <v>479</v>
      </c>
      <c r="B124" s="8" t="s">
        <v>480</v>
      </c>
      <c r="C124" s="8" t="s">
        <v>95</v>
      </c>
      <c r="D124" s="8" t="n">
        <v>36</v>
      </c>
      <c r="E124" s="8" t="n">
        <v>476043</v>
      </c>
      <c r="F124" s="11" t="str">
        <f aca="false">INDEX(Caixas!$C:$C,MATCH(C124,Caixas!$A:$A,0))</f>
        <v>Inteira CBP</v>
      </c>
      <c r="G124" s="9" t="n">
        <v>0</v>
      </c>
      <c r="H124" s="9" t="n">
        <v>0</v>
      </c>
      <c r="I124" s="8" t="n">
        <f aca="false">IF(F124="Inteira CBP",D124,IF(OR(F124="Aberta",F124="Avulso"),G124,0))</f>
        <v>36</v>
      </c>
      <c r="J124" s="8" t="n">
        <f aca="false">IF(F124="Inteira CBTBE",D124,IF(OR(F124="Aberta",F124="Avulso"),H124,0))</f>
        <v>0</v>
      </c>
      <c r="K124" s="8" t="n">
        <f aca="false">D124-I124-J124</f>
        <v>0</v>
      </c>
    </row>
    <row r="125" customFormat="false" ht="15" hidden="false" customHeight="false" outlineLevel="0" collapsed="false">
      <c r="A125" s="8" t="s">
        <v>481</v>
      </c>
      <c r="B125" s="8" t="s">
        <v>482</v>
      </c>
      <c r="C125" s="8" t="s">
        <v>97</v>
      </c>
      <c r="D125" s="8" t="n">
        <v>7</v>
      </c>
      <c r="E125" s="8" t="n">
        <v>476065</v>
      </c>
      <c r="F125" s="11" t="str">
        <f aca="false">INDEX(Caixas!$C:$C,MATCH(C125,Caixas!$A:$A,0))</f>
        <v>Inteira CBP</v>
      </c>
      <c r="G125" s="9" t="n">
        <v>0</v>
      </c>
      <c r="H125" s="9" t="n">
        <v>0</v>
      </c>
      <c r="I125" s="8" t="n">
        <f aca="false">IF(F125="Inteira CBP",D125,IF(OR(F125="Aberta",F125="Avulso"),G125,0))</f>
        <v>7</v>
      </c>
      <c r="J125" s="8" t="n">
        <f aca="false">IF(F125="Inteira CBTBE",D125,IF(OR(F125="Aberta",F125="Avulso"),H125,0))</f>
        <v>0</v>
      </c>
      <c r="K125" s="8" t="n">
        <f aca="false">D125-I125-J125</f>
        <v>0</v>
      </c>
    </row>
    <row r="126" customFormat="false" ht="15" hidden="false" customHeight="false" outlineLevel="0" collapsed="false">
      <c r="A126" s="8" t="s">
        <v>485</v>
      </c>
      <c r="B126" s="8" t="s">
        <v>486</v>
      </c>
      <c r="C126" s="8" t="s">
        <v>97</v>
      </c>
      <c r="D126" s="8" t="n">
        <v>20</v>
      </c>
      <c r="E126" s="8" t="n">
        <v>476043</v>
      </c>
      <c r="F126" s="11" t="str">
        <f aca="false">INDEX(Caixas!$C:$C,MATCH(C126,Caixas!$A:$A,0))</f>
        <v>Inteira CBP</v>
      </c>
      <c r="G126" s="9" t="n">
        <v>0</v>
      </c>
      <c r="H126" s="9" t="n">
        <v>0</v>
      </c>
      <c r="I126" s="8" t="n">
        <f aca="false">IF(F126="Inteira CBP",D126,IF(OR(F126="Aberta",F126="Avulso"),G126,0))</f>
        <v>20</v>
      </c>
      <c r="J126" s="8" t="n">
        <f aca="false">IF(F126="Inteira CBTBE",D126,IF(OR(F126="Aberta",F126="Avulso"),H126,0))</f>
        <v>0</v>
      </c>
      <c r="K126" s="8" t="n">
        <f aca="false">D126-I126-J126</f>
        <v>0</v>
      </c>
    </row>
    <row r="127" customFormat="false" ht="15" hidden="false" customHeight="false" outlineLevel="0" collapsed="false">
      <c r="A127" s="8" t="s">
        <v>487</v>
      </c>
      <c r="B127" s="8" t="s">
        <v>488</v>
      </c>
      <c r="C127" s="8" t="s">
        <v>97</v>
      </c>
      <c r="D127" s="8" t="n">
        <v>20</v>
      </c>
      <c r="E127" s="8" t="n">
        <v>476061</v>
      </c>
      <c r="F127" s="11" t="str">
        <f aca="false">INDEX(Caixas!$C:$C,MATCH(C127,Caixas!$A:$A,0))</f>
        <v>Inteira CBP</v>
      </c>
      <c r="G127" s="9" t="n">
        <v>0</v>
      </c>
      <c r="H127" s="9" t="n">
        <v>0</v>
      </c>
      <c r="I127" s="8" t="n">
        <f aca="false">IF(F127="Inteira CBP",D127,IF(OR(F127="Aberta",F127="Avulso"),G127,0))</f>
        <v>20</v>
      </c>
      <c r="J127" s="8" t="n">
        <f aca="false">IF(F127="Inteira CBTBE",D127,IF(OR(F127="Aberta",F127="Avulso"),H127,0))</f>
        <v>0</v>
      </c>
      <c r="K127" s="8" t="n">
        <f aca="false">D127-I127-J127</f>
        <v>0</v>
      </c>
    </row>
    <row r="128" customFormat="false" ht="15" hidden="false" customHeight="false" outlineLevel="0" collapsed="false">
      <c r="A128" s="8" t="s">
        <v>481</v>
      </c>
      <c r="B128" s="8" t="s">
        <v>482</v>
      </c>
      <c r="C128" s="8" t="s">
        <v>99</v>
      </c>
      <c r="D128" s="8" t="n">
        <v>7</v>
      </c>
      <c r="E128" s="8" t="n">
        <v>476065</v>
      </c>
      <c r="F128" s="11" t="str">
        <f aca="false">INDEX(Caixas!$C:$C,MATCH(C128,Caixas!$A:$A,0))</f>
        <v>Inteira CBP</v>
      </c>
      <c r="G128" s="9" t="n">
        <v>0</v>
      </c>
      <c r="H128" s="9" t="n">
        <v>0</v>
      </c>
      <c r="I128" s="8" t="n">
        <f aca="false">IF(F128="Inteira CBP",D128,IF(OR(F128="Aberta",F128="Avulso"),G128,0))</f>
        <v>7</v>
      </c>
      <c r="J128" s="8" t="n">
        <f aca="false">IF(F128="Inteira CBTBE",D128,IF(OR(F128="Aberta",F128="Avulso"),H128,0))</f>
        <v>0</v>
      </c>
      <c r="K128" s="8" t="n">
        <f aca="false">D128-I128-J128</f>
        <v>0</v>
      </c>
    </row>
    <row r="129" customFormat="false" ht="15" hidden="false" customHeight="false" outlineLevel="0" collapsed="false">
      <c r="A129" s="8" t="s">
        <v>487</v>
      </c>
      <c r="B129" s="8" t="s">
        <v>488</v>
      </c>
      <c r="C129" s="8" t="s">
        <v>99</v>
      </c>
      <c r="D129" s="8" t="n">
        <v>20</v>
      </c>
      <c r="E129" s="8" t="n">
        <v>476061</v>
      </c>
      <c r="F129" s="11" t="str">
        <f aca="false">INDEX(Caixas!$C:$C,MATCH(C129,Caixas!$A:$A,0))</f>
        <v>Inteira CBP</v>
      </c>
      <c r="G129" s="9" t="n">
        <v>0</v>
      </c>
      <c r="H129" s="9" t="n">
        <v>0</v>
      </c>
      <c r="I129" s="8" t="n">
        <f aca="false">IF(F129="Inteira CBP",D129,IF(OR(F129="Aberta",F129="Avulso"),G129,0))</f>
        <v>20</v>
      </c>
      <c r="J129" s="8" t="n">
        <f aca="false">IF(F129="Inteira CBTBE",D129,IF(OR(F129="Aberta",F129="Avulso"),H129,0))</f>
        <v>0</v>
      </c>
      <c r="K129" s="8" t="n">
        <f aca="false">D129-I129-J129</f>
        <v>0</v>
      </c>
    </row>
    <row r="130" customFormat="false" ht="15" hidden="false" customHeight="false" outlineLevel="0" collapsed="false">
      <c r="A130" s="8" t="s">
        <v>489</v>
      </c>
      <c r="B130" s="8" t="s">
        <v>490</v>
      </c>
      <c r="C130" s="8" t="s">
        <v>99</v>
      </c>
      <c r="D130" s="8" t="n">
        <v>26</v>
      </c>
      <c r="E130" s="8" t="n">
        <v>476043</v>
      </c>
      <c r="F130" s="11" t="str">
        <f aca="false">INDEX(Caixas!$C:$C,MATCH(C130,Caixas!$A:$A,0))</f>
        <v>Inteira CBP</v>
      </c>
      <c r="G130" s="9" t="n">
        <v>0</v>
      </c>
      <c r="H130" s="9" t="n">
        <v>0</v>
      </c>
      <c r="I130" s="8" t="n">
        <f aca="false">IF(F130="Inteira CBP",D130,IF(OR(F130="Aberta",F130="Avulso"),G130,0))</f>
        <v>26</v>
      </c>
      <c r="J130" s="8" t="n">
        <f aca="false">IF(F130="Inteira CBTBE",D130,IF(OR(F130="Aberta",F130="Avulso"),H130,0))</f>
        <v>0</v>
      </c>
      <c r="K130" s="8" t="n">
        <f aca="false">D130-I130-J130</f>
        <v>0</v>
      </c>
    </row>
    <row r="131" customFormat="false" ht="15" hidden="false" customHeight="false" outlineLevel="0" collapsed="false">
      <c r="A131" s="8" t="s">
        <v>481</v>
      </c>
      <c r="B131" s="8" t="s">
        <v>482</v>
      </c>
      <c r="C131" s="8" t="s">
        <v>101</v>
      </c>
      <c r="D131" s="8" t="n">
        <v>7</v>
      </c>
      <c r="E131" s="8" t="n">
        <v>476065</v>
      </c>
      <c r="F131" s="11" t="str">
        <f aca="false">INDEX(Caixas!$C:$C,MATCH(C131,Caixas!$A:$A,0))</f>
        <v>Inteira CBP</v>
      </c>
      <c r="G131" s="9" t="n">
        <v>0</v>
      </c>
      <c r="H131" s="9" t="n">
        <v>0</v>
      </c>
      <c r="I131" s="8" t="n">
        <f aca="false">IF(F131="Inteira CBP",D131,IF(OR(F131="Aberta",F131="Avulso"),G131,0))</f>
        <v>7</v>
      </c>
      <c r="J131" s="8" t="n">
        <f aca="false">IF(F131="Inteira CBTBE",D131,IF(OR(F131="Aberta",F131="Avulso"),H131,0))</f>
        <v>0</v>
      </c>
      <c r="K131" s="8" t="n">
        <f aca="false">D131-I131-J131</f>
        <v>0</v>
      </c>
    </row>
    <row r="132" customFormat="false" ht="15" hidden="false" customHeight="false" outlineLevel="0" collapsed="false">
      <c r="A132" s="8" t="s">
        <v>487</v>
      </c>
      <c r="B132" s="8" t="s">
        <v>488</v>
      </c>
      <c r="C132" s="8" t="s">
        <v>101</v>
      </c>
      <c r="D132" s="8" t="n">
        <v>20</v>
      </c>
      <c r="E132" s="8" t="n">
        <v>476061</v>
      </c>
      <c r="F132" s="11" t="str">
        <f aca="false">INDEX(Caixas!$C:$C,MATCH(C132,Caixas!$A:$A,0))</f>
        <v>Inteira CBP</v>
      </c>
      <c r="G132" s="9" t="n">
        <v>0</v>
      </c>
      <c r="H132" s="9" t="n">
        <v>0</v>
      </c>
      <c r="I132" s="8" t="n">
        <f aca="false">IF(F132="Inteira CBP",D132,IF(OR(F132="Aberta",F132="Avulso"),G132,0))</f>
        <v>20</v>
      </c>
      <c r="J132" s="8" t="n">
        <f aca="false">IF(F132="Inteira CBTBE",D132,IF(OR(F132="Aberta",F132="Avulso"),H132,0))</f>
        <v>0</v>
      </c>
      <c r="K132" s="8" t="n">
        <f aca="false">D132-I132-J132</f>
        <v>0</v>
      </c>
    </row>
    <row r="133" customFormat="false" ht="15" hidden="false" customHeight="false" outlineLevel="0" collapsed="false">
      <c r="A133" s="8" t="s">
        <v>489</v>
      </c>
      <c r="B133" s="8" t="s">
        <v>490</v>
      </c>
      <c r="C133" s="8" t="s">
        <v>101</v>
      </c>
      <c r="D133" s="8" t="n">
        <v>26</v>
      </c>
      <c r="E133" s="8" t="n">
        <v>476043</v>
      </c>
      <c r="F133" s="11" t="str">
        <f aca="false">INDEX(Caixas!$C:$C,MATCH(C133,Caixas!$A:$A,0))</f>
        <v>Inteira CBP</v>
      </c>
      <c r="G133" s="9" t="n">
        <v>0</v>
      </c>
      <c r="H133" s="9" t="n">
        <v>0</v>
      </c>
      <c r="I133" s="8" t="n">
        <f aca="false">IF(F133="Inteira CBP",D133,IF(OR(F133="Aberta",F133="Avulso"),G133,0))</f>
        <v>26</v>
      </c>
      <c r="J133" s="8" t="n">
        <f aca="false">IF(F133="Inteira CBTBE",D133,IF(OR(F133="Aberta",F133="Avulso"),H133,0))</f>
        <v>0</v>
      </c>
      <c r="K133" s="8" t="n">
        <f aca="false">D133-I133-J133</f>
        <v>0</v>
      </c>
    </row>
    <row r="134" customFormat="false" ht="15" hidden="false" customHeight="false" outlineLevel="0" collapsed="false">
      <c r="A134" s="8" t="s">
        <v>481</v>
      </c>
      <c r="B134" s="8" t="s">
        <v>482</v>
      </c>
      <c r="C134" s="8" t="s">
        <v>103</v>
      </c>
      <c r="D134" s="8" t="n">
        <v>7</v>
      </c>
      <c r="E134" s="8" t="n">
        <v>476065</v>
      </c>
      <c r="F134" s="11" t="str">
        <f aca="false">INDEX(Caixas!$C:$C,MATCH(C134,Caixas!$A:$A,0))</f>
        <v>Devolução fechada</v>
      </c>
      <c r="G134" s="9" t="n">
        <v>0</v>
      </c>
      <c r="H134" s="9" t="n">
        <v>0</v>
      </c>
      <c r="I134" s="8" t="n">
        <f aca="false">IF(F134="Inteira CBP",D134,IF(OR(F134="Aberta",F134="Avulso"),G134,0))</f>
        <v>0</v>
      </c>
      <c r="J134" s="8" t="n">
        <f aca="false">IF(F134="Inteira CBTBE",D134,IF(OR(F134="Aberta",F134="Avulso"),H134,0))</f>
        <v>0</v>
      </c>
      <c r="K134" s="8" t="n">
        <f aca="false">D134-I134-J134</f>
        <v>7</v>
      </c>
    </row>
    <row r="135" customFormat="false" ht="15" hidden="false" customHeight="false" outlineLevel="0" collapsed="false">
      <c r="A135" s="8" t="s">
        <v>485</v>
      </c>
      <c r="B135" s="8" t="s">
        <v>486</v>
      </c>
      <c r="C135" s="8" t="s">
        <v>103</v>
      </c>
      <c r="D135" s="8" t="n">
        <v>20</v>
      </c>
      <c r="E135" s="8" t="n">
        <v>476043</v>
      </c>
      <c r="F135" s="11" t="str">
        <f aca="false">INDEX(Caixas!$C:$C,MATCH(C135,Caixas!$A:$A,0))</f>
        <v>Devolução fechada</v>
      </c>
      <c r="G135" s="9" t="n">
        <v>0</v>
      </c>
      <c r="H135" s="9" t="n">
        <v>0</v>
      </c>
      <c r="I135" s="8" t="n">
        <f aca="false">IF(F135="Inteira CBP",D135,IF(OR(F135="Aberta",F135="Avulso"),G135,0))</f>
        <v>0</v>
      </c>
      <c r="J135" s="8" t="n">
        <f aca="false">IF(F135="Inteira CBTBE",D135,IF(OR(F135="Aberta",F135="Avulso"),H135,0))</f>
        <v>0</v>
      </c>
      <c r="K135" s="8" t="n">
        <f aca="false">D135-I135-J135</f>
        <v>20</v>
      </c>
    </row>
    <row r="136" customFormat="false" ht="15" hidden="false" customHeight="false" outlineLevel="0" collapsed="false">
      <c r="A136" s="8" t="s">
        <v>491</v>
      </c>
      <c r="B136" s="8" t="s">
        <v>492</v>
      </c>
      <c r="C136" s="8" t="s">
        <v>103</v>
      </c>
      <c r="D136" s="8" t="n">
        <v>40</v>
      </c>
      <c r="E136" s="8" t="n">
        <v>476061</v>
      </c>
      <c r="F136" s="11" t="str">
        <f aca="false">INDEX(Caixas!$C:$C,MATCH(C136,Caixas!$A:$A,0))</f>
        <v>Devolução fechada</v>
      </c>
      <c r="G136" s="9" t="n">
        <v>0</v>
      </c>
      <c r="H136" s="9" t="n">
        <v>0</v>
      </c>
      <c r="I136" s="8" t="n">
        <f aca="false">IF(F136="Inteira CBP",D136,IF(OR(F136="Aberta",F136="Avulso"),G136,0))</f>
        <v>0</v>
      </c>
      <c r="J136" s="8" t="n">
        <f aca="false">IF(F136="Inteira CBTBE",D136,IF(OR(F136="Aberta",F136="Avulso"),H136,0))</f>
        <v>0</v>
      </c>
      <c r="K136" s="8" t="n">
        <f aca="false">D136-I136-J136</f>
        <v>40</v>
      </c>
    </row>
    <row r="137" customFormat="false" ht="15" hidden="false" customHeight="false" outlineLevel="0" collapsed="false">
      <c r="A137" s="8" t="s">
        <v>481</v>
      </c>
      <c r="B137" s="8" t="s">
        <v>482</v>
      </c>
      <c r="C137" s="8" t="s">
        <v>104</v>
      </c>
      <c r="D137" s="8" t="n">
        <v>7</v>
      </c>
      <c r="E137" s="8" t="n">
        <v>476065</v>
      </c>
      <c r="F137" s="11" t="str">
        <f aca="false">INDEX(Caixas!$C:$C,MATCH(C137,Caixas!$A:$A,0))</f>
        <v>Aberta</v>
      </c>
      <c r="G137" s="9" t="n">
        <v>0</v>
      </c>
      <c r="H137" s="9" t="n">
        <v>0</v>
      </c>
      <c r="I137" s="8" t="n">
        <f aca="false">IF(F137="Inteira CBP",D137,IF(OR(F137="Aberta",F137="Avulso"),G137,0))</f>
        <v>0</v>
      </c>
      <c r="J137" s="8" t="n">
        <f aca="false">IF(F137="Inteira CBTBE",D137,IF(OR(F137="Aberta",F137="Avulso"),H137,0))</f>
        <v>0</v>
      </c>
      <c r="K137" s="8" t="n">
        <f aca="false">D137-I137-J137</f>
        <v>7</v>
      </c>
    </row>
    <row r="138" customFormat="false" ht="15" hidden="false" customHeight="false" outlineLevel="0" collapsed="false">
      <c r="A138" s="8" t="s">
        <v>485</v>
      </c>
      <c r="B138" s="8" t="s">
        <v>486</v>
      </c>
      <c r="C138" s="8" t="s">
        <v>104</v>
      </c>
      <c r="D138" s="8" t="n">
        <v>20</v>
      </c>
      <c r="E138" s="8" t="n">
        <v>476043</v>
      </c>
      <c r="F138" s="11" t="str">
        <f aca="false">INDEX(Caixas!$C:$C,MATCH(C138,Caixas!$A:$A,0))</f>
        <v>Aberta</v>
      </c>
      <c r="G138" s="9" t="n">
        <v>0</v>
      </c>
      <c r="H138" s="9" t="n">
        <v>12</v>
      </c>
      <c r="I138" s="8" t="n">
        <f aca="false">IF(F138="Inteira CBP",D138,IF(OR(F138="Aberta",F138="Avulso"),G138,0))</f>
        <v>0</v>
      </c>
      <c r="J138" s="8" t="n">
        <f aca="false">IF(F138="Inteira CBTBE",D138,IF(OR(F138="Aberta",F138="Avulso"),H138,0))</f>
        <v>12</v>
      </c>
      <c r="K138" s="8" t="n">
        <f aca="false">D138-I138-J138</f>
        <v>8</v>
      </c>
    </row>
    <row r="139" customFormat="false" ht="15" hidden="false" customHeight="false" outlineLevel="0" collapsed="false">
      <c r="A139" s="8" t="s">
        <v>491</v>
      </c>
      <c r="B139" s="8" t="s">
        <v>492</v>
      </c>
      <c r="C139" s="8" t="s">
        <v>104</v>
      </c>
      <c r="D139" s="8" t="n">
        <v>40</v>
      </c>
      <c r="E139" s="8" t="n">
        <v>476061</v>
      </c>
      <c r="F139" s="11" t="str">
        <f aca="false">INDEX(Caixas!$C:$C,MATCH(C139,Caixas!$A:$A,0))</f>
        <v>Aberta</v>
      </c>
      <c r="G139" s="9" t="n">
        <v>0</v>
      </c>
      <c r="H139" s="9" t="n">
        <v>40</v>
      </c>
      <c r="I139" s="8" t="n">
        <f aca="false">IF(F139="Inteira CBP",D139,IF(OR(F139="Aberta",F139="Avulso"),G139,0))</f>
        <v>0</v>
      </c>
      <c r="J139" s="8" t="n">
        <f aca="false">IF(F139="Inteira CBTBE",D139,IF(OR(F139="Aberta",F139="Avulso"),H139,0))</f>
        <v>40</v>
      </c>
      <c r="K139" s="8" t="n">
        <f aca="false">D139-I139-J139</f>
        <v>0</v>
      </c>
    </row>
    <row r="140" customFormat="false" ht="15" hidden="false" customHeight="false" outlineLevel="0" collapsed="false">
      <c r="A140" s="8" t="s">
        <v>481</v>
      </c>
      <c r="B140" s="8" t="s">
        <v>482</v>
      </c>
      <c r="C140" s="8" t="s">
        <v>105</v>
      </c>
      <c r="D140" s="8" t="n">
        <v>7</v>
      </c>
      <c r="E140" s="8" t="n">
        <v>476065</v>
      </c>
      <c r="F140" s="11" t="str">
        <f aca="false">INDEX(Caixas!$C:$C,MATCH(C140,Caixas!$A:$A,0))</f>
        <v>Devolução fechada</v>
      </c>
      <c r="G140" s="9" t="n">
        <v>0</v>
      </c>
      <c r="H140" s="9" t="n">
        <v>0</v>
      </c>
      <c r="I140" s="8" t="n">
        <f aca="false">IF(F140="Inteira CBP",D140,IF(OR(F140="Aberta",F140="Avulso"),G140,0))</f>
        <v>0</v>
      </c>
      <c r="J140" s="8" t="n">
        <f aca="false">IF(F140="Inteira CBTBE",D140,IF(OR(F140="Aberta",F140="Avulso"),H140,0))</f>
        <v>0</v>
      </c>
      <c r="K140" s="8" t="n">
        <f aca="false">D140-I140-J140</f>
        <v>7</v>
      </c>
    </row>
    <row r="141" customFormat="false" ht="15" hidden="false" customHeight="false" outlineLevel="0" collapsed="false">
      <c r="A141" s="8" t="s">
        <v>485</v>
      </c>
      <c r="B141" s="8" t="s">
        <v>486</v>
      </c>
      <c r="C141" s="8" t="s">
        <v>105</v>
      </c>
      <c r="D141" s="8" t="n">
        <v>20</v>
      </c>
      <c r="E141" s="8" t="n">
        <v>476043</v>
      </c>
      <c r="F141" s="11" t="str">
        <f aca="false">INDEX(Caixas!$C:$C,MATCH(C141,Caixas!$A:$A,0))</f>
        <v>Devolução fechada</v>
      </c>
      <c r="G141" s="9" t="n">
        <v>0</v>
      </c>
      <c r="H141" s="9" t="n">
        <v>0</v>
      </c>
      <c r="I141" s="8" t="n">
        <f aca="false">IF(F141="Inteira CBP",D141,IF(OR(F141="Aberta",F141="Avulso"),G141,0))</f>
        <v>0</v>
      </c>
      <c r="J141" s="8" t="n">
        <f aca="false">IF(F141="Inteira CBTBE",D141,IF(OR(F141="Aberta",F141="Avulso"),H141,0))</f>
        <v>0</v>
      </c>
      <c r="K141" s="8" t="n">
        <f aca="false">D141-I141-J141</f>
        <v>20</v>
      </c>
    </row>
    <row r="142" customFormat="false" ht="15" hidden="false" customHeight="false" outlineLevel="0" collapsed="false">
      <c r="A142" s="8" t="s">
        <v>491</v>
      </c>
      <c r="B142" s="8" t="s">
        <v>492</v>
      </c>
      <c r="C142" s="8" t="s">
        <v>105</v>
      </c>
      <c r="D142" s="8" t="n">
        <v>40</v>
      </c>
      <c r="E142" s="8" t="n">
        <v>476061</v>
      </c>
      <c r="F142" s="11" t="str">
        <f aca="false">INDEX(Caixas!$C:$C,MATCH(C142,Caixas!$A:$A,0))</f>
        <v>Devolução fechada</v>
      </c>
      <c r="G142" s="9" t="n">
        <v>0</v>
      </c>
      <c r="H142" s="9" t="n">
        <v>0</v>
      </c>
      <c r="I142" s="8" t="n">
        <f aca="false">IF(F142="Inteira CBP",D142,IF(OR(F142="Aberta",F142="Avulso"),G142,0))</f>
        <v>0</v>
      </c>
      <c r="J142" s="8" t="n">
        <f aca="false">IF(F142="Inteira CBTBE",D142,IF(OR(F142="Aberta",F142="Avulso"),H142,0))</f>
        <v>0</v>
      </c>
      <c r="K142" s="8" t="n">
        <f aca="false">D142-I142-J142</f>
        <v>40</v>
      </c>
    </row>
    <row r="143" customFormat="false" ht="15" hidden="false" customHeight="false" outlineLevel="0" collapsed="false">
      <c r="A143" s="8" t="s">
        <v>481</v>
      </c>
      <c r="B143" s="8" t="s">
        <v>482</v>
      </c>
      <c r="C143" s="8" t="s">
        <v>106</v>
      </c>
      <c r="D143" s="8" t="n">
        <v>7</v>
      </c>
      <c r="E143" s="8" t="n">
        <v>476065</v>
      </c>
      <c r="F143" s="11" t="str">
        <f aca="false">INDEX(Caixas!$C:$C,MATCH(C143,Caixas!$A:$A,0))</f>
        <v>Inteira CBTBE</v>
      </c>
      <c r="G143" s="9" t="n">
        <v>0</v>
      </c>
      <c r="H143" s="9" t="n">
        <v>0</v>
      </c>
      <c r="I143" s="8" t="n">
        <f aca="false">IF(F143="Inteira CBP",D143,IF(OR(F143="Aberta",F143="Avulso"),G143,0))</f>
        <v>0</v>
      </c>
      <c r="J143" s="8" t="n">
        <f aca="false">IF(F143="Inteira CBTBE",D143,IF(OR(F143="Aberta",F143="Avulso"),H143,0))</f>
        <v>7</v>
      </c>
      <c r="K143" s="8" t="n">
        <f aca="false">D143-I143-J143</f>
        <v>0</v>
      </c>
    </row>
    <row r="144" customFormat="false" ht="15" hidden="false" customHeight="false" outlineLevel="0" collapsed="false">
      <c r="A144" s="8" t="s">
        <v>485</v>
      </c>
      <c r="B144" s="8" t="s">
        <v>486</v>
      </c>
      <c r="C144" s="8" t="s">
        <v>106</v>
      </c>
      <c r="D144" s="8" t="n">
        <v>20</v>
      </c>
      <c r="E144" s="8" t="n">
        <v>476043</v>
      </c>
      <c r="F144" s="11" t="str">
        <f aca="false">INDEX(Caixas!$C:$C,MATCH(C144,Caixas!$A:$A,0))</f>
        <v>Inteira CBTBE</v>
      </c>
      <c r="G144" s="9" t="n">
        <v>0</v>
      </c>
      <c r="H144" s="9" t="n">
        <v>0</v>
      </c>
      <c r="I144" s="8" t="n">
        <f aca="false">IF(F144="Inteira CBP",D144,IF(OR(F144="Aberta",F144="Avulso"),G144,0))</f>
        <v>0</v>
      </c>
      <c r="J144" s="8" t="n">
        <f aca="false">IF(F144="Inteira CBTBE",D144,IF(OR(F144="Aberta",F144="Avulso"),H144,0))</f>
        <v>20</v>
      </c>
      <c r="K144" s="8" t="n">
        <f aca="false">D144-I144-J144</f>
        <v>0</v>
      </c>
    </row>
    <row r="145" customFormat="false" ht="15" hidden="false" customHeight="false" outlineLevel="0" collapsed="false">
      <c r="A145" s="8" t="s">
        <v>491</v>
      </c>
      <c r="B145" s="8" t="s">
        <v>492</v>
      </c>
      <c r="C145" s="8" t="s">
        <v>106</v>
      </c>
      <c r="D145" s="8" t="n">
        <v>40</v>
      </c>
      <c r="E145" s="8" t="n">
        <v>476061</v>
      </c>
      <c r="F145" s="11" t="str">
        <f aca="false">INDEX(Caixas!$C:$C,MATCH(C145,Caixas!$A:$A,0))</f>
        <v>Inteira CBTBE</v>
      </c>
      <c r="G145" s="9" t="n">
        <v>0</v>
      </c>
      <c r="H145" s="9" t="n">
        <v>0</v>
      </c>
      <c r="I145" s="8" t="n">
        <f aca="false">IF(F145="Inteira CBP",D145,IF(OR(F145="Aberta",F145="Avulso"),G145,0))</f>
        <v>0</v>
      </c>
      <c r="J145" s="8" t="n">
        <f aca="false">IF(F145="Inteira CBTBE",D145,IF(OR(F145="Aberta",F145="Avulso"),H145,0))</f>
        <v>40</v>
      </c>
      <c r="K145" s="8" t="n">
        <f aca="false">D145-I145-J145</f>
        <v>0</v>
      </c>
    </row>
    <row r="146" customFormat="false" ht="15" hidden="false" customHeight="false" outlineLevel="0" collapsed="false">
      <c r="A146" s="8" t="s">
        <v>481</v>
      </c>
      <c r="B146" s="8" t="s">
        <v>482</v>
      </c>
      <c r="C146" s="8" t="s">
        <v>107</v>
      </c>
      <c r="D146" s="8" t="n">
        <v>7</v>
      </c>
      <c r="E146" s="8" t="n">
        <v>476065</v>
      </c>
      <c r="F146" s="11" t="str">
        <f aca="false">INDEX(Caixas!$C:$C,MATCH(C146,Caixas!$A:$A,0))</f>
        <v>Aberta</v>
      </c>
      <c r="G146" s="9" t="n">
        <v>0</v>
      </c>
      <c r="H146" s="9" t="n">
        <v>0</v>
      </c>
      <c r="I146" s="8" t="n">
        <f aca="false">IF(F146="Inteira CBP",D146,IF(OR(F146="Aberta",F146="Avulso"),G146,0))</f>
        <v>0</v>
      </c>
      <c r="J146" s="8" t="n">
        <f aca="false">IF(F146="Inteira CBTBE",D146,IF(OR(F146="Aberta",F146="Avulso"),H146,0))</f>
        <v>0</v>
      </c>
      <c r="K146" s="8" t="n">
        <f aca="false">D146-I146-J146</f>
        <v>7</v>
      </c>
    </row>
    <row r="147" customFormat="false" ht="15" hidden="false" customHeight="false" outlineLevel="0" collapsed="false">
      <c r="A147" s="8" t="s">
        <v>485</v>
      </c>
      <c r="B147" s="8" t="s">
        <v>486</v>
      </c>
      <c r="C147" s="8" t="s">
        <v>107</v>
      </c>
      <c r="D147" s="8" t="n">
        <v>20</v>
      </c>
      <c r="E147" s="8" t="n">
        <v>476043</v>
      </c>
      <c r="F147" s="11" t="str">
        <f aca="false">INDEX(Caixas!$C:$C,MATCH(C147,Caixas!$A:$A,0))</f>
        <v>Aberta</v>
      </c>
      <c r="G147" s="9" t="n">
        <v>0</v>
      </c>
      <c r="H147" s="9" t="n">
        <v>0</v>
      </c>
      <c r="I147" s="8" t="n">
        <f aca="false">IF(F147="Inteira CBP",D147,IF(OR(F147="Aberta",F147="Avulso"),G147,0))</f>
        <v>0</v>
      </c>
      <c r="J147" s="8" t="n">
        <f aca="false">IF(F147="Inteira CBTBE",D147,IF(OR(F147="Aberta",F147="Avulso"),H147,0))</f>
        <v>0</v>
      </c>
      <c r="K147" s="8" t="n">
        <f aca="false">D147-I147-J147</f>
        <v>20</v>
      </c>
    </row>
    <row r="148" customFormat="false" ht="15" hidden="false" customHeight="false" outlineLevel="0" collapsed="false">
      <c r="A148" s="8" t="s">
        <v>491</v>
      </c>
      <c r="B148" s="8" t="s">
        <v>492</v>
      </c>
      <c r="C148" s="8" t="s">
        <v>107</v>
      </c>
      <c r="D148" s="8" t="n">
        <v>40</v>
      </c>
      <c r="E148" s="8" t="n">
        <v>476061</v>
      </c>
      <c r="F148" s="11" t="str">
        <f aca="false">INDEX(Caixas!$C:$C,MATCH(C148,Caixas!$A:$A,0))</f>
        <v>Aberta</v>
      </c>
      <c r="G148" s="9" t="n">
        <v>0</v>
      </c>
      <c r="H148" s="9" t="n">
        <v>40</v>
      </c>
      <c r="I148" s="8" t="n">
        <f aca="false">IF(F148="Inteira CBP",D148,IF(OR(F148="Aberta",F148="Avulso"),G148,0))</f>
        <v>0</v>
      </c>
      <c r="J148" s="8" t="n">
        <f aca="false">IF(F148="Inteira CBTBE",D148,IF(OR(F148="Aberta",F148="Avulso"),H148,0))</f>
        <v>40</v>
      </c>
      <c r="K148" s="8" t="n">
        <f aca="false">D148-I148-J148</f>
        <v>0</v>
      </c>
    </row>
    <row r="149" customFormat="false" ht="15" hidden="false" customHeight="false" outlineLevel="0" collapsed="false">
      <c r="A149" s="8" t="s">
        <v>481</v>
      </c>
      <c r="B149" s="8" t="s">
        <v>482</v>
      </c>
      <c r="C149" s="8" t="s">
        <v>108</v>
      </c>
      <c r="D149" s="8" t="n">
        <v>7</v>
      </c>
      <c r="E149" s="8" t="n">
        <v>476065</v>
      </c>
      <c r="F149" s="11" t="str">
        <f aca="false">INDEX(Caixas!$C:$C,MATCH(C149,Caixas!$A:$A,0))</f>
        <v>Aberta</v>
      </c>
      <c r="G149" s="9" t="n">
        <v>0</v>
      </c>
      <c r="H149" s="9" t="n">
        <v>7</v>
      </c>
      <c r="I149" s="8" t="n">
        <f aca="false">IF(F149="Inteira CBP",D149,IF(OR(F149="Aberta",F149="Avulso"),G149,0))</f>
        <v>0</v>
      </c>
      <c r="J149" s="8" t="n">
        <f aca="false">IF(F149="Inteira CBTBE",D149,IF(OR(F149="Aberta",F149="Avulso"),H149,0))</f>
        <v>7</v>
      </c>
      <c r="K149" s="8" t="n">
        <f aca="false">D149-I149-J149</f>
        <v>0</v>
      </c>
    </row>
    <row r="150" customFormat="false" ht="15" hidden="false" customHeight="false" outlineLevel="0" collapsed="false">
      <c r="A150" s="8" t="s">
        <v>491</v>
      </c>
      <c r="B150" s="8" t="s">
        <v>492</v>
      </c>
      <c r="C150" s="8" t="s">
        <v>108</v>
      </c>
      <c r="D150" s="8" t="n">
        <v>40</v>
      </c>
      <c r="E150" s="8" t="n">
        <v>476061</v>
      </c>
      <c r="F150" s="11" t="str">
        <f aca="false">INDEX(Caixas!$C:$C,MATCH(C150,Caixas!$A:$A,0))</f>
        <v>Aberta</v>
      </c>
      <c r="G150" s="9" t="n">
        <v>13</v>
      </c>
      <c r="H150" s="9" t="n">
        <v>10</v>
      </c>
      <c r="I150" s="8" t="n">
        <f aca="false">IF(F150="Inteira CBP",D150,IF(OR(F150="Aberta",F150="Avulso"),G150,0))</f>
        <v>13</v>
      </c>
      <c r="J150" s="8" t="n">
        <f aca="false">IF(F150="Inteira CBTBE",D150,IF(OR(F150="Aberta",F150="Avulso"),H150,0))</f>
        <v>10</v>
      </c>
      <c r="K150" s="8" t="n">
        <f aca="false">D150-I150-J150</f>
        <v>17</v>
      </c>
    </row>
    <row r="151" customFormat="false" ht="15" hidden="false" customHeight="false" outlineLevel="0" collapsed="false">
      <c r="A151" s="8" t="s">
        <v>493</v>
      </c>
      <c r="B151" s="8" t="s">
        <v>494</v>
      </c>
      <c r="C151" s="8" t="s">
        <v>108</v>
      </c>
      <c r="D151" s="8" t="n">
        <v>32</v>
      </c>
      <c r="E151" s="8" t="n">
        <v>476043</v>
      </c>
      <c r="F151" s="11" t="str">
        <f aca="false">INDEX(Caixas!$C:$C,MATCH(C151,Caixas!$A:$A,0))</f>
        <v>Aberta</v>
      </c>
      <c r="G151" s="9" t="n">
        <v>0</v>
      </c>
      <c r="H151" s="9" t="n">
        <v>30</v>
      </c>
      <c r="I151" s="8" t="n">
        <f aca="false">IF(F151="Inteira CBP",D151,IF(OR(F151="Aberta",F151="Avulso"),G151,0))</f>
        <v>0</v>
      </c>
      <c r="J151" s="8" t="n">
        <f aca="false">IF(F151="Inteira CBTBE",D151,IF(OR(F151="Aberta",F151="Avulso"),H151,0))</f>
        <v>30</v>
      </c>
      <c r="K151" s="8" t="n">
        <f aca="false">D151-I151-J151</f>
        <v>2</v>
      </c>
    </row>
    <row r="152" customFormat="false" ht="15" hidden="false" customHeight="false" outlineLevel="0" collapsed="false">
      <c r="A152" s="8" t="s">
        <v>481</v>
      </c>
      <c r="B152" s="8" t="s">
        <v>482</v>
      </c>
      <c r="C152" s="8" t="s">
        <v>109</v>
      </c>
      <c r="D152" s="8" t="n">
        <v>7</v>
      </c>
      <c r="E152" s="8" t="n">
        <v>476065</v>
      </c>
      <c r="F152" s="11" t="str">
        <f aca="false">INDEX(Caixas!$C:$C,MATCH(C152,Caixas!$A:$A,0))</f>
        <v>Inteira CBP</v>
      </c>
      <c r="G152" s="9" t="n">
        <v>0</v>
      </c>
      <c r="H152" s="9" t="n">
        <v>0</v>
      </c>
      <c r="I152" s="8" t="n">
        <f aca="false">IF(F152="Inteira CBP",D152,IF(OR(F152="Aberta",F152="Avulso"),G152,0))</f>
        <v>7</v>
      </c>
      <c r="J152" s="8" t="n">
        <f aca="false">IF(F152="Inteira CBTBE",D152,IF(OR(F152="Aberta",F152="Avulso"),H152,0))</f>
        <v>0</v>
      </c>
      <c r="K152" s="8" t="n">
        <f aca="false">D152-I152-J152</f>
        <v>0</v>
      </c>
    </row>
    <row r="153" customFormat="false" ht="15" hidden="false" customHeight="false" outlineLevel="0" collapsed="false">
      <c r="A153" s="8" t="s">
        <v>495</v>
      </c>
      <c r="B153" s="8" t="s">
        <v>496</v>
      </c>
      <c r="C153" s="8" t="s">
        <v>109</v>
      </c>
      <c r="D153" s="8" t="n">
        <v>22</v>
      </c>
      <c r="E153" s="8" t="n">
        <v>476061</v>
      </c>
      <c r="F153" s="11" t="str">
        <f aca="false">INDEX(Caixas!$C:$C,MATCH(C153,Caixas!$A:$A,0))</f>
        <v>Inteira CBP</v>
      </c>
      <c r="G153" s="9" t="n">
        <v>0</v>
      </c>
      <c r="H153" s="9" t="n">
        <v>0</v>
      </c>
      <c r="I153" s="8" t="n">
        <f aca="false">IF(F153="Inteira CBP",D153,IF(OR(F153="Aberta",F153="Avulso"),G153,0))</f>
        <v>22</v>
      </c>
      <c r="J153" s="8" t="n">
        <f aca="false">IF(F153="Inteira CBTBE",D153,IF(OR(F153="Aberta",F153="Avulso"),H153,0))</f>
        <v>0</v>
      </c>
      <c r="K153" s="8" t="n">
        <f aca="false">D153-I153-J153</f>
        <v>0</v>
      </c>
    </row>
    <row r="154" customFormat="false" ht="15" hidden="false" customHeight="false" outlineLevel="0" collapsed="false">
      <c r="A154" s="8" t="s">
        <v>493</v>
      </c>
      <c r="B154" s="8" t="s">
        <v>494</v>
      </c>
      <c r="C154" s="8" t="s">
        <v>109</v>
      </c>
      <c r="D154" s="8" t="n">
        <v>32</v>
      </c>
      <c r="E154" s="8" t="n">
        <v>476043</v>
      </c>
      <c r="F154" s="11" t="str">
        <f aca="false">INDEX(Caixas!$C:$C,MATCH(C154,Caixas!$A:$A,0))</f>
        <v>Inteira CBP</v>
      </c>
      <c r="G154" s="9" t="n">
        <v>0</v>
      </c>
      <c r="H154" s="9" t="n">
        <v>0</v>
      </c>
      <c r="I154" s="8" t="n">
        <f aca="false">IF(F154="Inteira CBP",D154,IF(OR(F154="Aberta",F154="Avulso"),G154,0))</f>
        <v>32</v>
      </c>
      <c r="J154" s="8" t="n">
        <f aca="false">IF(F154="Inteira CBTBE",D154,IF(OR(F154="Aberta",F154="Avulso"),H154,0))</f>
        <v>0</v>
      </c>
      <c r="K154" s="8" t="n">
        <f aca="false">D154-I154-J154</f>
        <v>0</v>
      </c>
    </row>
    <row r="155" customFormat="false" ht="15" hidden="false" customHeight="false" outlineLevel="0" collapsed="false">
      <c r="A155" s="8" t="s">
        <v>481</v>
      </c>
      <c r="B155" s="8" t="s">
        <v>482</v>
      </c>
      <c r="C155" s="8" t="s">
        <v>111</v>
      </c>
      <c r="D155" s="8" t="n">
        <v>7</v>
      </c>
      <c r="E155" s="8" t="n">
        <v>476065</v>
      </c>
      <c r="F155" s="11" t="str">
        <f aca="false">INDEX(Caixas!$C:$C,MATCH(C155,Caixas!$A:$A,0))</f>
        <v>Aberta</v>
      </c>
      <c r="G155" s="9" t="n">
        <v>0</v>
      </c>
      <c r="H155" s="9" t="n">
        <v>0</v>
      </c>
      <c r="I155" s="8" t="n">
        <f aca="false">IF(F155="Inteira CBP",D155,IF(OR(F155="Aberta",F155="Avulso"),G155,0))</f>
        <v>0</v>
      </c>
      <c r="J155" s="8" t="n">
        <f aca="false">IF(F155="Inteira CBTBE",D155,IF(OR(F155="Aberta",F155="Avulso"),H155,0))</f>
        <v>0</v>
      </c>
      <c r="K155" s="8" t="n">
        <f aca="false">D155-I155-J155</f>
        <v>7</v>
      </c>
    </row>
    <row r="156" customFormat="false" ht="15" hidden="false" customHeight="false" outlineLevel="0" collapsed="false">
      <c r="A156" s="8" t="s">
        <v>483</v>
      </c>
      <c r="B156" s="8" t="s">
        <v>484</v>
      </c>
      <c r="C156" s="8" t="s">
        <v>111</v>
      </c>
      <c r="D156" s="8" t="n">
        <v>30</v>
      </c>
      <c r="E156" s="8" t="n">
        <v>476043</v>
      </c>
      <c r="F156" s="11" t="str">
        <f aca="false">INDEX(Caixas!$C:$C,MATCH(C156,Caixas!$A:$A,0))</f>
        <v>Aberta</v>
      </c>
      <c r="G156" s="9" t="n">
        <v>10</v>
      </c>
      <c r="H156" s="9" t="n">
        <v>11</v>
      </c>
      <c r="I156" s="8" t="n">
        <f aca="false">IF(F156="Inteira CBP",D156,IF(OR(F156="Aberta",F156="Avulso"),G156,0))</f>
        <v>10</v>
      </c>
      <c r="J156" s="8" t="n">
        <f aca="false">IF(F156="Inteira CBTBE",D156,IF(OR(F156="Aberta",F156="Avulso"),H156,0))</f>
        <v>11</v>
      </c>
      <c r="K156" s="8" t="n">
        <f aca="false">D156-I156-J156</f>
        <v>9</v>
      </c>
    </row>
    <row r="157" customFormat="false" ht="15" hidden="false" customHeight="false" outlineLevel="0" collapsed="false">
      <c r="A157" s="8" t="s">
        <v>495</v>
      </c>
      <c r="B157" s="8" t="s">
        <v>496</v>
      </c>
      <c r="C157" s="8" t="s">
        <v>111</v>
      </c>
      <c r="D157" s="8" t="n">
        <v>22</v>
      </c>
      <c r="E157" s="8" t="n">
        <v>476061</v>
      </c>
      <c r="F157" s="11" t="str">
        <f aca="false">INDEX(Caixas!$C:$C,MATCH(C157,Caixas!$A:$A,0))</f>
        <v>Aberta</v>
      </c>
      <c r="G157" s="9" t="n">
        <v>0</v>
      </c>
      <c r="H157" s="9" t="n">
        <v>8</v>
      </c>
      <c r="I157" s="8" t="n">
        <f aca="false">IF(F157="Inteira CBP",D157,IF(OR(F157="Aberta",F157="Avulso"),G157,0))</f>
        <v>0</v>
      </c>
      <c r="J157" s="8" t="n">
        <f aca="false">IF(F157="Inteira CBTBE",D157,IF(OR(F157="Aberta",F157="Avulso"),H157,0))</f>
        <v>8</v>
      </c>
      <c r="K157" s="8" t="n">
        <f aca="false">D157-I157-J157</f>
        <v>14</v>
      </c>
    </row>
    <row r="158" customFormat="false" ht="15" hidden="false" customHeight="false" outlineLevel="0" collapsed="false">
      <c r="A158" s="8" t="s">
        <v>481</v>
      </c>
      <c r="B158" s="8" t="s">
        <v>482</v>
      </c>
      <c r="C158" s="8" t="s">
        <v>112</v>
      </c>
      <c r="D158" s="8" t="n">
        <v>7</v>
      </c>
      <c r="E158" s="8" t="n">
        <v>476065</v>
      </c>
      <c r="F158" s="11" t="str">
        <f aca="false">INDEX(Caixas!$C:$C,MATCH(C158,Caixas!$A:$A,0))</f>
        <v>Devolução fechada</v>
      </c>
      <c r="G158" s="9" t="n">
        <v>0</v>
      </c>
      <c r="H158" s="9" t="n">
        <v>0</v>
      </c>
      <c r="I158" s="8" t="n">
        <f aca="false">IF(F158="Inteira CBP",D158,IF(OR(F158="Aberta",F158="Avulso"),G158,0))</f>
        <v>0</v>
      </c>
      <c r="J158" s="8" t="n">
        <f aca="false">IF(F158="Inteira CBTBE",D158,IF(OR(F158="Aberta",F158="Avulso"),H158,0))</f>
        <v>0</v>
      </c>
      <c r="K158" s="8" t="n">
        <f aca="false">D158-I158-J158</f>
        <v>7</v>
      </c>
    </row>
    <row r="159" customFormat="false" ht="15" hidden="false" customHeight="false" outlineLevel="0" collapsed="false">
      <c r="A159" s="8" t="s">
        <v>483</v>
      </c>
      <c r="B159" s="8" t="s">
        <v>484</v>
      </c>
      <c r="C159" s="8" t="s">
        <v>112</v>
      </c>
      <c r="D159" s="8" t="n">
        <v>30</v>
      </c>
      <c r="E159" s="8" t="n">
        <v>476043</v>
      </c>
      <c r="F159" s="11" t="str">
        <f aca="false">INDEX(Caixas!$C:$C,MATCH(C159,Caixas!$A:$A,0))</f>
        <v>Devolução fechada</v>
      </c>
      <c r="G159" s="9" t="n">
        <v>0</v>
      </c>
      <c r="H159" s="9" t="n">
        <v>0</v>
      </c>
      <c r="I159" s="8" t="n">
        <f aca="false">IF(F159="Inteira CBP",D159,IF(OR(F159="Aberta",F159="Avulso"),G159,0))</f>
        <v>0</v>
      </c>
      <c r="J159" s="8" t="n">
        <f aca="false">IF(F159="Inteira CBTBE",D159,IF(OR(F159="Aberta",F159="Avulso"),H159,0))</f>
        <v>0</v>
      </c>
      <c r="K159" s="8" t="n">
        <f aca="false">D159-I159-J159</f>
        <v>30</v>
      </c>
    </row>
    <row r="160" customFormat="false" ht="15" hidden="false" customHeight="false" outlineLevel="0" collapsed="false">
      <c r="A160" s="8" t="s">
        <v>495</v>
      </c>
      <c r="B160" s="8" t="s">
        <v>496</v>
      </c>
      <c r="C160" s="8" t="s">
        <v>112</v>
      </c>
      <c r="D160" s="8" t="n">
        <v>22</v>
      </c>
      <c r="E160" s="8" t="n">
        <v>476061</v>
      </c>
      <c r="F160" s="11" t="str">
        <f aca="false">INDEX(Caixas!$C:$C,MATCH(C160,Caixas!$A:$A,0))</f>
        <v>Devolução fechada</v>
      </c>
      <c r="G160" s="9" t="n">
        <v>0</v>
      </c>
      <c r="H160" s="9" t="n">
        <v>0</v>
      </c>
      <c r="I160" s="8" t="n">
        <f aca="false">IF(F160="Inteira CBP",D160,IF(OR(F160="Aberta",F160="Avulso"),G160,0))</f>
        <v>0</v>
      </c>
      <c r="J160" s="8" t="n">
        <f aca="false">IF(F160="Inteira CBTBE",D160,IF(OR(F160="Aberta",F160="Avulso"),H160,0))</f>
        <v>0</v>
      </c>
      <c r="K160" s="8" t="n">
        <f aca="false">D160-I160-J160</f>
        <v>22</v>
      </c>
    </row>
    <row r="161" customFormat="false" ht="15" hidden="false" customHeight="false" outlineLevel="0" collapsed="false">
      <c r="A161" s="8" t="s">
        <v>481</v>
      </c>
      <c r="B161" s="8" t="s">
        <v>482</v>
      </c>
      <c r="C161" s="8" t="s">
        <v>113</v>
      </c>
      <c r="D161" s="8" t="n">
        <v>7</v>
      </c>
      <c r="E161" s="8" t="n">
        <v>476065</v>
      </c>
      <c r="F161" s="11" t="str">
        <f aca="false">INDEX(Caixas!$C:$C,MATCH(C161,Caixas!$A:$A,0))</f>
        <v>Devolução fechada</v>
      </c>
      <c r="G161" s="9" t="n">
        <v>0</v>
      </c>
      <c r="H161" s="9" t="n">
        <v>0</v>
      </c>
      <c r="I161" s="8" t="n">
        <f aca="false">IF(F161="Inteira CBP",D161,IF(OR(F161="Aberta",F161="Avulso"),G161,0))</f>
        <v>0</v>
      </c>
      <c r="J161" s="8" t="n">
        <f aca="false">IF(F161="Inteira CBTBE",D161,IF(OR(F161="Aberta",F161="Avulso"),H161,0))</f>
        <v>0</v>
      </c>
      <c r="K161" s="8" t="n">
        <f aca="false">D161-I161-J161</f>
        <v>7</v>
      </c>
    </row>
    <row r="162" customFormat="false" ht="15" hidden="false" customHeight="false" outlineLevel="0" collapsed="false">
      <c r="A162" s="8" t="s">
        <v>483</v>
      </c>
      <c r="B162" s="8" t="s">
        <v>484</v>
      </c>
      <c r="C162" s="8" t="s">
        <v>113</v>
      </c>
      <c r="D162" s="8" t="n">
        <v>30</v>
      </c>
      <c r="E162" s="8" t="n">
        <v>476043</v>
      </c>
      <c r="F162" s="11" t="str">
        <f aca="false">INDEX(Caixas!$C:$C,MATCH(C162,Caixas!$A:$A,0))</f>
        <v>Devolução fechada</v>
      </c>
      <c r="G162" s="9" t="n">
        <v>0</v>
      </c>
      <c r="H162" s="9" t="n">
        <v>0</v>
      </c>
      <c r="I162" s="8" t="n">
        <f aca="false">IF(F162="Inteira CBP",D162,IF(OR(F162="Aberta",F162="Avulso"),G162,0))</f>
        <v>0</v>
      </c>
      <c r="J162" s="8" t="n">
        <f aca="false">IF(F162="Inteira CBTBE",D162,IF(OR(F162="Aberta",F162="Avulso"),H162,0))</f>
        <v>0</v>
      </c>
      <c r="K162" s="8" t="n">
        <f aca="false">D162-I162-J162</f>
        <v>30</v>
      </c>
    </row>
    <row r="163" customFormat="false" ht="15" hidden="false" customHeight="false" outlineLevel="0" collapsed="false">
      <c r="A163" s="8" t="s">
        <v>495</v>
      </c>
      <c r="B163" s="8" t="s">
        <v>496</v>
      </c>
      <c r="C163" s="8" t="s">
        <v>113</v>
      </c>
      <c r="D163" s="8" t="n">
        <v>22</v>
      </c>
      <c r="E163" s="8" t="n">
        <v>476061</v>
      </c>
      <c r="F163" s="11" t="str">
        <f aca="false">INDEX(Caixas!$C:$C,MATCH(C163,Caixas!$A:$A,0))</f>
        <v>Devolução fechada</v>
      </c>
      <c r="G163" s="9" t="n">
        <v>0</v>
      </c>
      <c r="H163" s="9" t="n">
        <v>0</v>
      </c>
      <c r="I163" s="8" t="n">
        <f aca="false">IF(F163="Inteira CBP",D163,IF(OR(F163="Aberta",F163="Avulso"),G163,0))</f>
        <v>0</v>
      </c>
      <c r="J163" s="8" t="n">
        <f aca="false">IF(F163="Inteira CBTBE",D163,IF(OR(F163="Aberta",F163="Avulso"),H163,0))</f>
        <v>0</v>
      </c>
      <c r="K163" s="8" t="n">
        <f aca="false">D163-I163-J163</f>
        <v>22</v>
      </c>
    </row>
    <row r="164" customFormat="false" ht="15" hidden="false" customHeight="false" outlineLevel="0" collapsed="false">
      <c r="A164" s="8" t="s">
        <v>481</v>
      </c>
      <c r="B164" s="8" t="s">
        <v>482</v>
      </c>
      <c r="C164" s="8" t="s">
        <v>114</v>
      </c>
      <c r="D164" s="8" t="n">
        <v>7</v>
      </c>
      <c r="E164" s="8" t="n">
        <v>476065</v>
      </c>
      <c r="F164" s="11" t="str">
        <f aca="false">INDEX(Caixas!$C:$C,MATCH(C164,Caixas!$A:$A,0))</f>
        <v>Devolução fechada</v>
      </c>
      <c r="G164" s="9" t="n">
        <v>0</v>
      </c>
      <c r="H164" s="9" t="n">
        <v>0</v>
      </c>
      <c r="I164" s="8" t="n">
        <f aca="false">IF(F164="Inteira CBP",D164,IF(OR(F164="Aberta",F164="Avulso"),G164,0))</f>
        <v>0</v>
      </c>
      <c r="J164" s="8" t="n">
        <f aca="false">IF(F164="Inteira CBTBE",D164,IF(OR(F164="Aberta",F164="Avulso"),H164,0))</f>
        <v>0</v>
      </c>
      <c r="K164" s="8" t="n">
        <f aca="false">D164-I164-J164</f>
        <v>7</v>
      </c>
    </row>
    <row r="165" customFormat="false" ht="15" hidden="false" customHeight="false" outlineLevel="0" collapsed="false">
      <c r="A165" s="8" t="s">
        <v>483</v>
      </c>
      <c r="B165" s="8" t="s">
        <v>484</v>
      </c>
      <c r="C165" s="8" t="s">
        <v>114</v>
      </c>
      <c r="D165" s="8" t="n">
        <v>30</v>
      </c>
      <c r="E165" s="8" t="n">
        <v>476043</v>
      </c>
      <c r="F165" s="11" t="str">
        <f aca="false">INDEX(Caixas!$C:$C,MATCH(C165,Caixas!$A:$A,0))</f>
        <v>Devolução fechada</v>
      </c>
      <c r="G165" s="9" t="n">
        <v>0</v>
      </c>
      <c r="H165" s="9" t="n">
        <v>0</v>
      </c>
      <c r="I165" s="8" t="n">
        <f aca="false">IF(F165="Inteira CBP",D165,IF(OR(F165="Aberta",F165="Avulso"),G165,0))</f>
        <v>0</v>
      </c>
      <c r="J165" s="8" t="n">
        <f aca="false">IF(F165="Inteira CBTBE",D165,IF(OR(F165="Aberta",F165="Avulso"),H165,0))</f>
        <v>0</v>
      </c>
      <c r="K165" s="8" t="n">
        <f aca="false">D165-I165-J165</f>
        <v>30</v>
      </c>
    </row>
    <row r="166" customFormat="false" ht="15" hidden="false" customHeight="false" outlineLevel="0" collapsed="false">
      <c r="A166" s="8" t="s">
        <v>495</v>
      </c>
      <c r="B166" s="8" t="s">
        <v>496</v>
      </c>
      <c r="C166" s="8" t="s">
        <v>114</v>
      </c>
      <c r="D166" s="8" t="n">
        <v>22</v>
      </c>
      <c r="E166" s="8" t="n">
        <v>476061</v>
      </c>
      <c r="F166" s="11" t="str">
        <f aca="false">INDEX(Caixas!$C:$C,MATCH(C166,Caixas!$A:$A,0))</f>
        <v>Devolução fechada</v>
      </c>
      <c r="G166" s="9" t="n">
        <v>0</v>
      </c>
      <c r="H166" s="9" t="n">
        <v>0</v>
      </c>
      <c r="I166" s="8" t="n">
        <f aca="false">IF(F166="Inteira CBP",D166,IF(OR(F166="Aberta",F166="Avulso"),G166,0))</f>
        <v>0</v>
      </c>
      <c r="J166" s="8" t="n">
        <f aca="false">IF(F166="Inteira CBTBE",D166,IF(OR(F166="Aberta",F166="Avulso"),H166,0))</f>
        <v>0</v>
      </c>
      <c r="K166" s="8" t="n">
        <f aca="false">D166-I166-J166</f>
        <v>22</v>
      </c>
    </row>
    <row r="167" customFormat="false" ht="15" hidden="false" customHeight="false" outlineLevel="0" collapsed="false">
      <c r="A167" s="8" t="s">
        <v>481</v>
      </c>
      <c r="B167" s="8" t="s">
        <v>482</v>
      </c>
      <c r="C167" s="8" t="s">
        <v>115</v>
      </c>
      <c r="D167" s="8" t="n">
        <v>7</v>
      </c>
      <c r="E167" s="8" t="n">
        <v>476065</v>
      </c>
      <c r="F167" s="11" t="str">
        <f aca="false">INDEX(Caixas!$C:$C,MATCH(C167,Caixas!$A:$A,0))</f>
        <v>Inteira CBP</v>
      </c>
      <c r="G167" s="9" t="n">
        <v>0</v>
      </c>
      <c r="H167" s="9" t="n">
        <v>0</v>
      </c>
      <c r="I167" s="8" t="n">
        <f aca="false">IF(F167="Inteira CBP",D167,IF(OR(F167="Aberta",F167="Avulso"),G167,0))</f>
        <v>7</v>
      </c>
      <c r="J167" s="8" t="n">
        <f aca="false">IF(F167="Inteira CBTBE",D167,IF(OR(F167="Aberta",F167="Avulso"),H167,0))</f>
        <v>0</v>
      </c>
      <c r="K167" s="8" t="n">
        <f aca="false">D167-I167-J167</f>
        <v>0</v>
      </c>
    </row>
    <row r="168" customFormat="false" ht="15" hidden="false" customHeight="false" outlineLevel="0" collapsed="false">
      <c r="A168" s="8" t="s">
        <v>495</v>
      </c>
      <c r="B168" s="8" t="s">
        <v>496</v>
      </c>
      <c r="C168" s="8" t="s">
        <v>115</v>
      </c>
      <c r="D168" s="8" t="n">
        <v>22</v>
      </c>
      <c r="E168" s="8" t="n">
        <v>476061</v>
      </c>
      <c r="F168" s="11" t="str">
        <f aca="false">INDEX(Caixas!$C:$C,MATCH(C168,Caixas!$A:$A,0))</f>
        <v>Inteira CBP</v>
      </c>
      <c r="G168" s="9" t="n">
        <v>0</v>
      </c>
      <c r="H168" s="9" t="n">
        <v>0</v>
      </c>
      <c r="I168" s="8" t="n">
        <f aca="false">IF(F168="Inteira CBP",D168,IF(OR(F168="Aberta",F168="Avulso"),G168,0))</f>
        <v>22</v>
      </c>
      <c r="J168" s="8" t="n">
        <f aca="false">IF(F168="Inteira CBTBE",D168,IF(OR(F168="Aberta",F168="Avulso"),H168,0))</f>
        <v>0</v>
      </c>
      <c r="K168" s="8" t="n">
        <f aca="false">D168-I168-J168</f>
        <v>0</v>
      </c>
    </row>
    <row r="169" customFormat="false" ht="15" hidden="false" customHeight="false" outlineLevel="0" collapsed="false">
      <c r="A169" s="8" t="s">
        <v>479</v>
      </c>
      <c r="B169" s="8" t="s">
        <v>480</v>
      </c>
      <c r="C169" s="8" t="s">
        <v>115</v>
      </c>
      <c r="D169" s="8" t="n">
        <v>31</v>
      </c>
      <c r="E169" s="8" t="n">
        <v>476043</v>
      </c>
      <c r="F169" s="11" t="str">
        <f aca="false">INDEX(Caixas!$C:$C,MATCH(C169,Caixas!$A:$A,0))</f>
        <v>Inteira CBP</v>
      </c>
      <c r="G169" s="9" t="n">
        <v>0</v>
      </c>
      <c r="H169" s="9" t="n">
        <v>0</v>
      </c>
      <c r="I169" s="8" t="n">
        <f aca="false">IF(F169="Inteira CBP",D169,IF(OR(F169="Aberta",F169="Avulso"),G169,0))</f>
        <v>31</v>
      </c>
      <c r="J169" s="8" t="n">
        <f aca="false">IF(F169="Inteira CBTBE",D169,IF(OR(F169="Aberta",F169="Avulso"),H169,0))</f>
        <v>0</v>
      </c>
      <c r="K169" s="8" t="n">
        <f aca="false">D169-I169-J169</f>
        <v>0</v>
      </c>
    </row>
    <row r="170" customFormat="false" ht="15" hidden="false" customHeight="false" outlineLevel="0" collapsed="false">
      <c r="A170" s="8" t="s">
        <v>489</v>
      </c>
      <c r="B170" s="8" t="s">
        <v>490</v>
      </c>
      <c r="C170" s="8" t="s">
        <v>115</v>
      </c>
      <c r="D170" s="8" t="n">
        <v>11</v>
      </c>
      <c r="E170" s="8" t="n">
        <v>476043</v>
      </c>
      <c r="F170" s="11" t="str">
        <f aca="false">INDEX(Caixas!$C:$C,MATCH(C170,Caixas!$A:$A,0))</f>
        <v>Inteira CBP</v>
      </c>
      <c r="G170" s="9" t="n">
        <v>0</v>
      </c>
      <c r="H170" s="9" t="n">
        <v>0</v>
      </c>
      <c r="I170" s="8" t="n">
        <f aca="false">IF(F170="Inteira CBP",D170,IF(OR(F170="Aberta",F170="Avulso"),G170,0))</f>
        <v>11</v>
      </c>
      <c r="J170" s="8" t="n">
        <f aca="false">IF(F170="Inteira CBTBE",D170,IF(OR(F170="Aberta",F170="Avulso"),H170,0))</f>
        <v>0</v>
      </c>
      <c r="K170" s="8" t="n">
        <f aca="false">D170-I170-J170</f>
        <v>0</v>
      </c>
    </row>
    <row r="171" customFormat="false" ht="15" hidden="false" customHeight="false" outlineLevel="0" collapsed="false">
      <c r="A171" s="8" t="s">
        <v>481</v>
      </c>
      <c r="B171" s="8" t="s">
        <v>482</v>
      </c>
      <c r="C171" s="8" t="s">
        <v>116</v>
      </c>
      <c r="D171" s="8" t="n">
        <v>7</v>
      </c>
      <c r="E171" s="8" t="n">
        <v>476065</v>
      </c>
      <c r="F171" s="11" t="str">
        <f aca="false">INDEX(Caixas!$C:$C,MATCH(C171,Caixas!$A:$A,0))</f>
        <v>Inteira CBP</v>
      </c>
      <c r="G171" s="9" t="n">
        <v>0</v>
      </c>
      <c r="H171" s="9" t="n">
        <v>0</v>
      </c>
      <c r="I171" s="8" t="n">
        <f aca="false">IF(F171="Inteira CBP",D171,IF(OR(F171="Aberta",F171="Avulso"),G171,0))</f>
        <v>7</v>
      </c>
      <c r="J171" s="8" t="n">
        <f aca="false">IF(F171="Inteira CBTBE",D171,IF(OR(F171="Aberta",F171="Avulso"),H171,0))</f>
        <v>0</v>
      </c>
      <c r="K171" s="8" t="n">
        <f aca="false">D171-I171-J171</f>
        <v>0</v>
      </c>
    </row>
    <row r="172" customFormat="false" ht="15" hidden="false" customHeight="false" outlineLevel="0" collapsed="false">
      <c r="A172" s="8" t="s">
        <v>475</v>
      </c>
      <c r="B172" s="8" t="s">
        <v>476</v>
      </c>
      <c r="C172" s="8" t="s">
        <v>116</v>
      </c>
      <c r="D172" s="8" t="n">
        <v>36</v>
      </c>
      <c r="E172" s="8" t="n">
        <v>476061</v>
      </c>
      <c r="F172" s="11" t="str">
        <f aca="false">INDEX(Caixas!$C:$C,MATCH(C172,Caixas!$A:$A,0))</f>
        <v>Inteira CBP</v>
      </c>
      <c r="G172" s="9" t="n">
        <v>0</v>
      </c>
      <c r="H172" s="9" t="n">
        <v>0</v>
      </c>
      <c r="I172" s="8" t="n">
        <f aca="false">IF(F172="Inteira CBP",D172,IF(OR(F172="Aberta",F172="Avulso"),G172,0))</f>
        <v>36</v>
      </c>
      <c r="J172" s="8" t="n">
        <f aca="false">IF(F172="Inteira CBTBE",D172,IF(OR(F172="Aberta",F172="Avulso"),H172,0))</f>
        <v>0</v>
      </c>
      <c r="K172" s="8" t="n">
        <f aca="false">D172-I172-J172</f>
        <v>0</v>
      </c>
    </row>
    <row r="173" customFormat="false" ht="15" hidden="false" customHeight="false" outlineLevel="0" collapsed="false">
      <c r="A173" s="8" t="s">
        <v>485</v>
      </c>
      <c r="B173" s="8" t="s">
        <v>486</v>
      </c>
      <c r="C173" s="8" t="s">
        <v>116</v>
      </c>
      <c r="D173" s="8" t="n">
        <v>20</v>
      </c>
      <c r="E173" s="8" t="n">
        <v>476043</v>
      </c>
      <c r="F173" s="11" t="str">
        <f aca="false">INDEX(Caixas!$C:$C,MATCH(C173,Caixas!$A:$A,0))</f>
        <v>Inteira CBP</v>
      </c>
      <c r="G173" s="9" t="n">
        <v>0</v>
      </c>
      <c r="H173" s="9" t="n">
        <v>0</v>
      </c>
      <c r="I173" s="8" t="n">
        <f aca="false">IF(F173="Inteira CBP",D173,IF(OR(F173="Aberta",F173="Avulso"),G173,0))</f>
        <v>20</v>
      </c>
      <c r="J173" s="8" t="n">
        <f aca="false">IF(F173="Inteira CBTBE",D173,IF(OR(F173="Aberta",F173="Avulso"),H173,0))</f>
        <v>0</v>
      </c>
      <c r="K173" s="8" t="n">
        <f aca="false">D173-I173-J173</f>
        <v>0</v>
      </c>
    </row>
    <row r="174" customFormat="false" ht="15" hidden="false" customHeight="false" outlineLevel="0" collapsed="false">
      <c r="A174" s="8" t="s">
        <v>489</v>
      </c>
      <c r="B174" s="8" t="s">
        <v>490</v>
      </c>
      <c r="C174" s="8" t="s">
        <v>116</v>
      </c>
      <c r="D174" s="8" t="n">
        <v>7</v>
      </c>
      <c r="E174" s="8" t="n">
        <v>476043</v>
      </c>
      <c r="F174" s="11" t="str">
        <f aca="false">INDEX(Caixas!$C:$C,MATCH(C174,Caixas!$A:$A,0))</f>
        <v>Inteira CBP</v>
      </c>
      <c r="G174" s="9" t="n">
        <v>0</v>
      </c>
      <c r="H174" s="9" t="n">
        <v>0</v>
      </c>
      <c r="I174" s="8" t="n">
        <f aca="false">IF(F174="Inteira CBP",D174,IF(OR(F174="Aberta",F174="Avulso"),G174,0))</f>
        <v>7</v>
      </c>
      <c r="J174" s="8" t="n">
        <f aca="false">IF(F174="Inteira CBTBE",D174,IF(OR(F174="Aberta",F174="Avulso"),H174,0))</f>
        <v>0</v>
      </c>
      <c r="K174" s="8" t="n">
        <f aca="false">D174-I174-J174</f>
        <v>0</v>
      </c>
    </row>
    <row r="175" customFormat="false" ht="15" hidden="false" customHeight="false" outlineLevel="0" collapsed="false">
      <c r="A175" s="8" t="s">
        <v>481</v>
      </c>
      <c r="B175" s="8" t="s">
        <v>482</v>
      </c>
      <c r="C175" s="8" t="s">
        <v>118</v>
      </c>
      <c r="D175" s="8" t="n">
        <v>7</v>
      </c>
      <c r="E175" s="8" t="n">
        <v>476065</v>
      </c>
      <c r="F175" s="11" t="str">
        <f aca="false">INDEX(Caixas!$C:$C,MATCH(C175,Caixas!$A:$A,0))</f>
        <v>Inteira CBTBE</v>
      </c>
      <c r="G175" s="9" t="n">
        <v>0</v>
      </c>
      <c r="H175" s="9" t="n">
        <v>0</v>
      </c>
      <c r="I175" s="8" t="n">
        <f aca="false">IF(F175="Inteira CBP",D175,IF(OR(F175="Aberta",F175="Avulso"),G175,0))</f>
        <v>0</v>
      </c>
      <c r="J175" s="8" t="n">
        <f aca="false">IF(F175="Inteira CBTBE",D175,IF(OR(F175="Aberta",F175="Avulso"),H175,0))</f>
        <v>7</v>
      </c>
      <c r="K175" s="8" t="n">
        <f aca="false">D175-I175-J175</f>
        <v>0</v>
      </c>
    </row>
    <row r="176" customFormat="false" ht="15" hidden="false" customHeight="false" outlineLevel="0" collapsed="false">
      <c r="A176" s="8" t="s">
        <v>475</v>
      </c>
      <c r="B176" s="8" t="s">
        <v>476</v>
      </c>
      <c r="C176" s="8" t="s">
        <v>118</v>
      </c>
      <c r="D176" s="8" t="n">
        <v>36</v>
      </c>
      <c r="E176" s="8" t="n">
        <v>476061</v>
      </c>
      <c r="F176" s="11" t="str">
        <f aca="false">INDEX(Caixas!$C:$C,MATCH(C176,Caixas!$A:$A,0))</f>
        <v>Inteira CBTBE</v>
      </c>
      <c r="G176" s="9" t="n">
        <v>0</v>
      </c>
      <c r="H176" s="9" t="n">
        <v>0</v>
      </c>
      <c r="I176" s="8" t="n">
        <f aca="false">IF(F176="Inteira CBP",D176,IF(OR(F176="Aberta",F176="Avulso"),G176,0))</f>
        <v>0</v>
      </c>
      <c r="J176" s="8" t="n">
        <f aca="false">IF(F176="Inteira CBTBE",D176,IF(OR(F176="Aberta",F176="Avulso"),H176,0))</f>
        <v>36</v>
      </c>
      <c r="K176" s="8" t="n">
        <f aca="false">D176-I176-J176</f>
        <v>0</v>
      </c>
    </row>
    <row r="177" customFormat="false" ht="15" hidden="false" customHeight="false" outlineLevel="0" collapsed="false">
      <c r="A177" s="8" t="s">
        <v>483</v>
      </c>
      <c r="B177" s="8" t="s">
        <v>484</v>
      </c>
      <c r="C177" s="8" t="s">
        <v>118</v>
      </c>
      <c r="D177" s="8" t="n">
        <v>25</v>
      </c>
      <c r="E177" s="8" t="n">
        <v>476043</v>
      </c>
      <c r="F177" s="11" t="str">
        <f aca="false">INDEX(Caixas!$C:$C,MATCH(C177,Caixas!$A:$A,0))</f>
        <v>Inteira CBTBE</v>
      </c>
      <c r="G177" s="9" t="n">
        <v>0</v>
      </c>
      <c r="H177" s="9" t="n">
        <v>0</v>
      </c>
      <c r="I177" s="8" t="n">
        <f aca="false">IF(F177="Inteira CBP",D177,IF(OR(F177="Aberta",F177="Avulso"),G177,0))</f>
        <v>0</v>
      </c>
      <c r="J177" s="8" t="n">
        <f aca="false">IF(F177="Inteira CBTBE",D177,IF(OR(F177="Aberta",F177="Avulso"),H177,0))</f>
        <v>25</v>
      </c>
      <c r="K177" s="8" t="n">
        <f aca="false">D177-I177-J177</f>
        <v>0</v>
      </c>
    </row>
    <row r="178" customFormat="false" ht="15" hidden="false" customHeight="false" outlineLevel="0" collapsed="false">
      <c r="A178" s="8" t="s">
        <v>481</v>
      </c>
      <c r="B178" s="8" t="s">
        <v>482</v>
      </c>
      <c r="C178" s="8" t="s">
        <v>119</v>
      </c>
      <c r="D178" s="8" t="n">
        <v>7</v>
      </c>
      <c r="E178" s="8" t="n">
        <v>476065</v>
      </c>
      <c r="F178" s="11" t="str">
        <f aca="false">INDEX(Caixas!$C:$C,MATCH(C178,Caixas!$A:$A,0))</f>
        <v>Inteira CBP</v>
      </c>
      <c r="G178" s="9" t="n">
        <v>0</v>
      </c>
      <c r="H178" s="9" t="n">
        <v>0</v>
      </c>
      <c r="I178" s="8" t="n">
        <f aca="false">IF(F178="Inteira CBP",D178,IF(OR(F178="Aberta",F178="Avulso"),G178,0))</f>
        <v>7</v>
      </c>
      <c r="J178" s="8" t="n">
        <f aca="false">IF(F178="Inteira CBTBE",D178,IF(OR(F178="Aberta",F178="Avulso"),H178,0))</f>
        <v>0</v>
      </c>
      <c r="K178" s="8" t="n">
        <f aca="false">D178-I178-J178</f>
        <v>0</v>
      </c>
    </row>
    <row r="179" customFormat="false" ht="15" hidden="false" customHeight="false" outlineLevel="0" collapsed="false">
      <c r="A179" s="8" t="s">
        <v>493</v>
      </c>
      <c r="B179" s="8" t="s">
        <v>494</v>
      </c>
      <c r="C179" s="8" t="s">
        <v>119</v>
      </c>
      <c r="D179" s="8" t="n">
        <v>41</v>
      </c>
      <c r="E179" s="8" t="n">
        <v>476043</v>
      </c>
      <c r="F179" s="11" t="str">
        <f aca="false">INDEX(Caixas!$C:$C,MATCH(C179,Caixas!$A:$A,0))</f>
        <v>Inteira CBP</v>
      </c>
      <c r="G179" s="9" t="n">
        <v>0</v>
      </c>
      <c r="H179" s="9" t="n">
        <v>0</v>
      </c>
      <c r="I179" s="8" t="n">
        <f aca="false">IF(F179="Inteira CBP",D179,IF(OR(F179="Aberta",F179="Avulso"),G179,0))</f>
        <v>41</v>
      </c>
      <c r="J179" s="8" t="n">
        <f aca="false">IF(F179="Inteira CBTBE",D179,IF(OR(F179="Aberta",F179="Avulso"),H179,0))</f>
        <v>0</v>
      </c>
      <c r="K179" s="8" t="n">
        <f aca="false">D179-I179-J179</f>
        <v>0</v>
      </c>
    </row>
    <row r="180" customFormat="false" ht="15" hidden="false" customHeight="false" outlineLevel="0" collapsed="false">
      <c r="A180" s="8" t="s">
        <v>497</v>
      </c>
      <c r="B180" s="8" t="s">
        <v>498</v>
      </c>
      <c r="C180" s="8" t="s">
        <v>119</v>
      </c>
      <c r="D180" s="8" t="n">
        <v>20</v>
      </c>
      <c r="E180" s="8" t="n">
        <v>476061</v>
      </c>
      <c r="F180" s="11" t="str">
        <f aca="false">INDEX(Caixas!$C:$C,MATCH(C180,Caixas!$A:$A,0))</f>
        <v>Inteira CBP</v>
      </c>
      <c r="G180" s="9" t="n">
        <v>0</v>
      </c>
      <c r="H180" s="9" t="n">
        <v>0</v>
      </c>
      <c r="I180" s="8" t="n">
        <f aca="false">IF(F180="Inteira CBP",D180,IF(OR(F180="Aberta",F180="Avulso"),G180,0))</f>
        <v>20</v>
      </c>
      <c r="J180" s="8" t="n">
        <f aca="false">IF(F180="Inteira CBTBE",D180,IF(OR(F180="Aberta",F180="Avulso"),H180,0))</f>
        <v>0</v>
      </c>
      <c r="K180" s="8" t="n">
        <f aca="false">D180-I180-J180</f>
        <v>0</v>
      </c>
    </row>
    <row r="181" customFormat="false" ht="15" hidden="false" customHeight="false" outlineLevel="0" collapsed="false">
      <c r="A181" s="8" t="s">
        <v>481</v>
      </c>
      <c r="B181" s="8" t="s">
        <v>482</v>
      </c>
      <c r="C181" s="8" t="s">
        <v>120</v>
      </c>
      <c r="D181" s="8" t="n">
        <v>7</v>
      </c>
      <c r="E181" s="8" t="n">
        <v>476065</v>
      </c>
      <c r="F181" s="11" t="str">
        <f aca="false">INDEX(Caixas!$C:$C,MATCH(C181,Caixas!$A:$A,0))</f>
        <v>Devolução fechada</v>
      </c>
      <c r="G181" s="9" t="n">
        <v>0</v>
      </c>
      <c r="H181" s="9" t="n">
        <v>0</v>
      </c>
      <c r="I181" s="8" t="n">
        <f aca="false">IF(F181="Inteira CBP",D181,IF(OR(F181="Aberta",F181="Avulso"),G181,0))</f>
        <v>0</v>
      </c>
      <c r="J181" s="8" t="n">
        <f aca="false">IF(F181="Inteira CBTBE",D181,IF(OR(F181="Aberta",F181="Avulso"),H181,0))</f>
        <v>0</v>
      </c>
      <c r="K181" s="8" t="n">
        <f aca="false">D181-I181-J181</f>
        <v>7</v>
      </c>
    </row>
    <row r="182" customFormat="false" ht="15" hidden="false" customHeight="false" outlineLevel="0" collapsed="false">
      <c r="A182" s="8" t="s">
        <v>475</v>
      </c>
      <c r="B182" s="8" t="s">
        <v>476</v>
      </c>
      <c r="C182" s="8" t="s">
        <v>120</v>
      </c>
      <c r="D182" s="8" t="n">
        <v>36</v>
      </c>
      <c r="E182" s="8" t="n">
        <v>476061</v>
      </c>
      <c r="F182" s="11" t="str">
        <f aca="false">INDEX(Caixas!$C:$C,MATCH(C182,Caixas!$A:$A,0))</f>
        <v>Devolução fechada</v>
      </c>
      <c r="G182" s="9" t="n">
        <v>0</v>
      </c>
      <c r="H182" s="9" t="n">
        <v>0</v>
      </c>
      <c r="I182" s="8" t="n">
        <f aca="false">IF(F182="Inteira CBP",D182,IF(OR(F182="Aberta",F182="Avulso"),G182,0))</f>
        <v>0</v>
      </c>
      <c r="J182" s="8" t="n">
        <f aca="false">IF(F182="Inteira CBTBE",D182,IF(OR(F182="Aberta",F182="Avulso"),H182,0))</f>
        <v>0</v>
      </c>
      <c r="K182" s="8" t="n">
        <f aca="false">D182-I182-J182</f>
        <v>36</v>
      </c>
    </row>
    <row r="183" customFormat="false" ht="15" hidden="false" customHeight="false" outlineLevel="0" collapsed="false">
      <c r="A183" s="8" t="s">
        <v>499</v>
      </c>
      <c r="B183" s="8" t="s">
        <v>500</v>
      </c>
      <c r="C183" s="8" t="s">
        <v>120</v>
      </c>
      <c r="D183" s="8" t="n">
        <v>5</v>
      </c>
      <c r="E183" s="8" t="n">
        <v>476043</v>
      </c>
      <c r="F183" s="11" t="str">
        <f aca="false">INDEX(Caixas!$C:$C,MATCH(C183,Caixas!$A:$A,0))</f>
        <v>Devolução fechada</v>
      </c>
      <c r="G183" s="9" t="n">
        <v>0</v>
      </c>
      <c r="H183" s="9" t="n">
        <v>0</v>
      </c>
      <c r="I183" s="8" t="n">
        <f aca="false">IF(F183="Inteira CBP",D183,IF(OR(F183="Aberta",F183="Avulso"),G183,0))</f>
        <v>0</v>
      </c>
      <c r="J183" s="8" t="n">
        <f aca="false">IF(F183="Inteira CBTBE",D183,IF(OR(F183="Aberta",F183="Avulso"),H183,0))</f>
        <v>0</v>
      </c>
      <c r="K183" s="8" t="n">
        <f aca="false">D183-I183-J183</f>
        <v>5</v>
      </c>
    </row>
    <row r="184" customFormat="false" ht="15" hidden="false" customHeight="false" outlineLevel="0" collapsed="false">
      <c r="A184" s="8" t="s">
        <v>481</v>
      </c>
      <c r="B184" s="8" t="s">
        <v>482</v>
      </c>
      <c r="C184" s="8" t="s">
        <v>121</v>
      </c>
      <c r="D184" s="8" t="n">
        <v>7</v>
      </c>
      <c r="E184" s="8" t="n">
        <v>476065</v>
      </c>
      <c r="F184" s="11" t="str">
        <f aca="false">INDEX(Caixas!$C:$C,MATCH(C184,Caixas!$A:$A,0))</f>
        <v>Devolução fechada</v>
      </c>
      <c r="G184" s="9" t="n">
        <v>0</v>
      </c>
      <c r="H184" s="9" t="n">
        <v>0</v>
      </c>
      <c r="I184" s="8" t="n">
        <f aca="false">IF(F184="Inteira CBP",D184,IF(OR(F184="Aberta",F184="Avulso"),G184,0))</f>
        <v>0</v>
      </c>
      <c r="J184" s="8" t="n">
        <f aca="false">IF(F184="Inteira CBTBE",D184,IF(OR(F184="Aberta",F184="Avulso"),H184,0))</f>
        <v>0</v>
      </c>
      <c r="K184" s="8" t="n">
        <f aca="false">D184-I184-J184</f>
        <v>7</v>
      </c>
    </row>
    <row r="185" customFormat="false" ht="15" hidden="false" customHeight="false" outlineLevel="0" collapsed="false">
      <c r="A185" s="8" t="s">
        <v>475</v>
      </c>
      <c r="B185" s="8" t="s">
        <v>476</v>
      </c>
      <c r="C185" s="8" t="s">
        <v>121</v>
      </c>
      <c r="D185" s="8" t="n">
        <v>36</v>
      </c>
      <c r="E185" s="8" t="n">
        <v>476061</v>
      </c>
      <c r="F185" s="11" t="str">
        <f aca="false">INDEX(Caixas!$C:$C,MATCH(C185,Caixas!$A:$A,0))</f>
        <v>Devolução fechada</v>
      </c>
      <c r="G185" s="9" t="n">
        <v>0</v>
      </c>
      <c r="H185" s="9" t="n">
        <v>0</v>
      </c>
      <c r="I185" s="8" t="n">
        <f aca="false">IF(F185="Inteira CBP",D185,IF(OR(F185="Aberta",F185="Avulso"),G185,0))</f>
        <v>0</v>
      </c>
      <c r="J185" s="8" t="n">
        <f aca="false">IF(F185="Inteira CBTBE",D185,IF(OR(F185="Aberta",F185="Avulso"),H185,0))</f>
        <v>0</v>
      </c>
      <c r="K185" s="8" t="n">
        <f aca="false">D185-I185-J185</f>
        <v>36</v>
      </c>
    </row>
    <row r="186" customFormat="false" ht="15" hidden="false" customHeight="false" outlineLevel="0" collapsed="false">
      <c r="A186" s="8" t="s">
        <v>499</v>
      </c>
      <c r="B186" s="8" t="s">
        <v>500</v>
      </c>
      <c r="C186" s="8" t="s">
        <v>121</v>
      </c>
      <c r="D186" s="8" t="n">
        <v>5</v>
      </c>
      <c r="E186" s="8" t="n">
        <v>476043</v>
      </c>
      <c r="F186" s="11" t="str">
        <f aca="false">INDEX(Caixas!$C:$C,MATCH(C186,Caixas!$A:$A,0))</f>
        <v>Devolução fechada</v>
      </c>
      <c r="G186" s="9" t="n">
        <v>0</v>
      </c>
      <c r="H186" s="9" t="n">
        <v>0</v>
      </c>
      <c r="I186" s="8" t="n">
        <f aca="false">IF(F186="Inteira CBP",D186,IF(OR(F186="Aberta",F186="Avulso"),G186,0))</f>
        <v>0</v>
      </c>
      <c r="J186" s="8" t="n">
        <f aca="false">IF(F186="Inteira CBTBE",D186,IF(OR(F186="Aberta",F186="Avulso"),H186,0))</f>
        <v>0</v>
      </c>
      <c r="K186" s="8" t="n">
        <f aca="false">D186-I186-J186</f>
        <v>5</v>
      </c>
    </row>
    <row r="187" customFormat="false" ht="15" hidden="false" customHeight="false" outlineLevel="0" collapsed="false">
      <c r="A187" s="8" t="s">
        <v>481</v>
      </c>
      <c r="B187" s="8" t="s">
        <v>482</v>
      </c>
      <c r="C187" s="8" t="s">
        <v>122</v>
      </c>
      <c r="D187" s="8" t="n">
        <v>7</v>
      </c>
      <c r="E187" s="8" t="n">
        <v>476065</v>
      </c>
      <c r="F187" s="11" t="str">
        <f aca="false">INDEX(Caixas!$C:$C,MATCH(C187,Caixas!$A:$A,0))</f>
        <v>Devolução fechada</v>
      </c>
      <c r="G187" s="9" t="n">
        <v>0</v>
      </c>
      <c r="H187" s="9" t="n">
        <v>0</v>
      </c>
      <c r="I187" s="8" t="n">
        <f aca="false">IF(F187="Inteira CBP",D187,IF(OR(F187="Aberta",F187="Avulso"),G187,0))</f>
        <v>0</v>
      </c>
      <c r="J187" s="8" t="n">
        <f aca="false">IF(F187="Inteira CBTBE",D187,IF(OR(F187="Aberta",F187="Avulso"),H187,0))</f>
        <v>0</v>
      </c>
      <c r="K187" s="8" t="n">
        <f aca="false">D187-I187-J187</f>
        <v>7</v>
      </c>
    </row>
    <row r="188" customFormat="false" ht="15" hidden="false" customHeight="false" outlineLevel="0" collapsed="false">
      <c r="A188" s="8" t="s">
        <v>499</v>
      </c>
      <c r="B188" s="8" t="s">
        <v>500</v>
      </c>
      <c r="C188" s="8" t="s">
        <v>122</v>
      </c>
      <c r="D188" s="8" t="n">
        <v>5</v>
      </c>
      <c r="E188" s="8" t="n">
        <v>476043</v>
      </c>
      <c r="F188" s="11" t="str">
        <f aca="false">INDEX(Caixas!$C:$C,MATCH(C188,Caixas!$A:$A,0))</f>
        <v>Devolução fechada</v>
      </c>
      <c r="G188" s="9" t="n">
        <v>0</v>
      </c>
      <c r="H188" s="9" t="n">
        <v>0</v>
      </c>
      <c r="I188" s="8" t="n">
        <f aca="false">IF(F188="Inteira CBP",D188,IF(OR(F188="Aberta",F188="Avulso"),G188,0))</f>
        <v>0</v>
      </c>
      <c r="J188" s="8" t="n">
        <f aca="false">IF(F188="Inteira CBTBE",D188,IF(OR(F188="Aberta",F188="Avulso"),H188,0))</f>
        <v>0</v>
      </c>
      <c r="K188" s="8" t="n">
        <f aca="false">D188-I188-J188</f>
        <v>5</v>
      </c>
    </row>
    <row r="189" customFormat="false" ht="15" hidden="false" customHeight="false" outlineLevel="0" collapsed="false">
      <c r="A189" s="8" t="s">
        <v>497</v>
      </c>
      <c r="B189" s="8" t="s">
        <v>498</v>
      </c>
      <c r="C189" s="8" t="s">
        <v>122</v>
      </c>
      <c r="D189" s="8" t="n">
        <v>20</v>
      </c>
      <c r="E189" s="8" t="n">
        <v>476061</v>
      </c>
      <c r="F189" s="11" t="str">
        <f aca="false">INDEX(Caixas!$C:$C,MATCH(C189,Caixas!$A:$A,0))</f>
        <v>Devolução fechada</v>
      </c>
      <c r="G189" s="9" t="n">
        <v>0</v>
      </c>
      <c r="H189" s="9" t="n">
        <v>0</v>
      </c>
      <c r="I189" s="8" t="n">
        <f aca="false">IF(F189="Inteira CBP",D189,IF(OR(F189="Aberta",F189="Avulso"),G189,0))</f>
        <v>0</v>
      </c>
      <c r="J189" s="8" t="n">
        <f aca="false">IF(F189="Inteira CBTBE",D189,IF(OR(F189="Aberta",F189="Avulso"),H189,0))</f>
        <v>0</v>
      </c>
      <c r="K189" s="8" t="n">
        <f aca="false">D189-I189-J189</f>
        <v>20</v>
      </c>
    </row>
    <row r="190" customFormat="false" ht="15" hidden="false" customHeight="false" outlineLevel="0" collapsed="false">
      <c r="A190" s="8" t="s">
        <v>481</v>
      </c>
      <c r="B190" s="8" t="s">
        <v>482</v>
      </c>
      <c r="C190" s="8" t="s">
        <v>123</v>
      </c>
      <c r="D190" s="8" t="n">
        <v>7</v>
      </c>
      <c r="E190" s="8" t="n">
        <v>476065</v>
      </c>
      <c r="F190" s="11" t="str">
        <f aca="false">INDEX(Caixas!$C:$C,MATCH(C190,Caixas!$A:$A,0))</f>
        <v>Devolução fechada</v>
      </c>
      <c r="G190" s="9" t="n">
        <v>0</v>
      </c>
      <c r="H190" s="9" t="n">
        <v>0</v>
      </c>
      <c r="I190" s="8" t="n">
        <f aca="false">IF(F190="Inteira CBP",D190,IF(OR(F190="Aberta",F190="Avulso"),G190,0))</f>
        <v>0</v>
      </c>
      <c r="J190" s="8" t="n">
        <f aca="false">IF(F190="Inteira CBTBE",D190,IF(OR(F190="Aberta",F190="Avulso"),H190,0))</f>
        <v>0</v>
      </c>
      <c r="K190" s="8" t="n">
        <f aca="false">D190-I190-J190</f>
        <v>7</v>
      </c>
    </row>
    <row r="191" customFormat="false" ht="15" hidden="false" customHeight="false" outlineLevel="0" collapsed="false">
      <c r="A191" s="8" t="s">
        <v>499</v>
      </c>
      <c r="B191" s="8" t="s">
        <v>500</v>
      </c>
      <c r="C191" s="8" t="s">
        <v>123</v>
      </c>
      <c r="D191" s="8" t="n">
        <v>5</v>
      </c>
      <c r="E191" s="8" t="n">
        <v>476043</v>
      </c>
      <c r="F191" s="11" t="str">
        <f aca="false">INDEX(Caixas!$C:$C,MATCH(C191,Caixas!$A:$A,0))</f>
        <v>Devolução fechada</v>
      </c>
      <c r="G191" s="9" t="n">
        <v>0</v>
      </c>
      <c r="H191" s="9" t="n">
        <v>0</v>
      </c>
      <c r="I191" s="8" t="n">
        <f aca="false">IF(F191="Inteira CBP",D191,IF(OR(F191="Aberta",F191="Avulso"),G191,0))</f>
        <v>0</v>
      </c>
      <c r="J191" s="8" t="n">
        <f aca="false">IF(F191="Inteira CBTBE",D191,IF(OR(F191="Aberta",F191="Avulso"),H191,0))</f>
        <v>0</v>
      </c>
      <c r="K191" s="8" t="n">
        <f aca="false">D191-I191-J191</f>
        <v>5</v>
      </c>
    </row>
    <row r="192" customFormat="false" ht="15" hidden="false" customHeight="false" outlineLevel="0" collapsed="false">
      <c r="A192" s="8" t="s">
        <v>497</v>
      </c>
      <c r="B192" s="8" t="s">
        <v>498</v>
      </c>
      <c r="C192" s="8" t="s">
        <v>123</v>
      </c>
      <c r="D192" s="8" t="n">
        <v>20</v>
      </c>
      <c r="E192" s="8" t="n">
        <v>476061</v>
      </c>
      <c r="F192" s="11" t="str">
        <f aca="false">INDEX(Caixas!$C:$C,MATCH(C192,Caixas!$A:$A,0))</f>
        <v>Devolução fechada</v>
      </c>
      <c r="G192" s="9" t="n">
        <v>0</v>
      </c>
      <c r="H192" s="9" t="n">
        <v>0</v>
      </c>
      <c r="I192" s="8" t="n">
        <f aca="false">IF(F192="Inteira CBP",D192,IF(OR(F192="Aberta",F192="Avulso"),G192,0))</f>
        <v>0</v>
      </c>
      <c r="J192" s="8" t="n">
        <f aca="false">IF(F192="Inteira CBTBE",D192,IF(OR(F192="Aberta",F192="Avulso"),H192,0))</f>
        <v>0</v>
      </c>
      <c r="K192" s="8" t="n">
        <f aca="false">D192-I192-J192</f>
        <v>20</v>
      </c>
    </row>
    <row r="193" customFormat="false" ht="15" hidden="false" customHeight="false" outlineLevel="0" collapsed="false">
      <c r="A193" s="8" t="s">
        <v>481</v>
      </c>
      <c r="B193" s="8" t="s">
        <v>482</v>
      </c>
      <c r="C193" s="8" t="s">
        <v>124</v>
      </c>
      <c r="D193" s="8" t="n">
        <v>7</v>
      </c>
      <c r="E193" s="8" t="n">
        <v>476065</v>
      </c>
      <c r="F193" s="11" t="str">
        <f aca="false">INDEX(Caixas!$C:$C,MATCH(C193,Caixas!$A:$A,0))</f>
        <v>Devolução fechada</v>
      </c>
      <c r="G193" s="9" t="n">
        <v>0</v>
      </c>
      <c r="H193" s="9" t="n">
        <v>0</v>
      </c>
      <c r="I193" s="8" t="n">
        <f aca="false">IF(F193="Inteira CBP",D193,IF(OR(F193="Aberta",F193="Avulso"),G193,0))</f>
        <v>0</v>
      </c>
      <c r="J193" s="8" t="n">
        <f aca="false">IF(F193="Inteira CBTBE",D193,IF(OR(F193="Aberta",F193="Avulso"),H193,0))</f>
        <v>0</v>
      </c>
      <c r="K193" s="8" t="n">
        <f aca="false">D193-I193-J193</f>
        <v>7</v>
      </c>
    </row>
    <row r="194" customFormat="false" ht="15" hidden="false" customHeight="false" outlineLevel="0" collapsed="false">
      <c r="A194" s="8" t="s">
        <v>497</v>
      </c>
      <c r="B194" s="8" t="s">
        <v>498</v>
      </c>
      <c r="C194" s="8" t="s">
        <v>124</v>
      </c>
      <c r="D194" s="8" t="n">
        <v>20</v>
      </c>
      <c r="E194" s="8" t="n">
        <v>476061</v>
      </c>
      <c r="F194" s="11" t="str">
        <f aca="false">INDEX(Caixas!$C:$C,MATCH(C194,Caixas!$A:$A,0))</f>
        <v>Devolução fechada</v>
      </c>
      <c r="G194" s="9" t="n">
        <v>0</v>
      </c>
      <c r="H194" s="9" t="n">
        <v>0</v>
      </c>
      <c r="I194" s="8" t="n">
        <f aca="false">IF(F194="Inteira CBP",D194,IF(OR(F194="Aberta",F194="Avulso"),G194,0))</f>
        <v>0</v>
      </c>
      <c r="J194" s="8" t="n">
        <f aca="false">IF(F194="Inteira CBTBE",D194,IF(OR(F194="Aberta",F194="Avulso"),H194,0))</f>
        <v>0</v>
      </c>
      <c r="K194" s="8" t="n">
        <f aca="false">D194-I194-J194</f>
        <v>20</v>
      </c>
    </row>
    <row r="195" customFormat="false" ht="15" hidden="false" customHeight="false" outlineLevel="0" collapsed="false">
      <c r="A195" s="8" t="s">
        <v>501</v>
      </c>
      <c r="B195" s="8" t="s">
        <v>502</v>
      </c>
      <c r="C195" s="8" t="s">
        <v>124</v>
      </c>
      <c r="D195" s="8" t="n">
        <v>40</v>
      </c>
      <c r="E195" s="8" t="n">
        <v>476043</v>
      </c>
      <c r="F195" s="11" t="str">
        <f aca="false">INDEX(Caixas!$C:$C,MATCH(C195,Caixas!$A:$A,0))</f>
        <v>Devolução fechada</v>
      </c>
      <c r="G195" s="9" t="n">
        <v>0</v>
      </c>
      <c r="H195" s="9" t="n">
        <v>0</v>
      </c>
      <c r="I195" s="8" t="n">
        <f aca="false">IF(F195="Inteira CBP",D195,IF(OR(F195="Aberta",F195="Avulso"),G195,0))</f>
        <v>0</v>
      </c>
      <c r="J195" s="8" t="n">
        <f aca="false">IF(F195="Inteira CBTBE",D195,IF(OR(F195="Aberta",F195="Avulso"),H195,0))</f>
        <v>0</v>
      </c>
      <c r="K195" s="8" t="n">
        <f aca="false">D195-I195-J195</f>
        <v>40</v>
      </c>
    </row>
    <row r="196" customFormat="false" ht="15" hidden="false" customHeight="false" outlineLevel="0" collapsed="false">
      <c r="A196" s="8" t="s">
        <v>481</v>
      </c>
      <c r="B196" s="8" t="s">
        <v>482</v>
      </c>
      <c r="C196" s="8" t="s">
        <v>125</v>
      </c>
      <c r="D196" s="8" t="n">
        <v>7</v>
      </c>
      <c r="E196" s="8" t="n">
        <v>476065</v>
      </c>
      <c r="F196" s="11" t="str">
        <f aca="false">INDEX(Caixas!$C:$C,MATCH(C196,Caixas!$A:$A,0))</f>
        <v>Devolução fechada</v>
      </c>
      <c r="G196" s="9" t="n">
        <v>0</v>
      </c>
      <c r="H196" s="9" t="n">
        <v>0</v>
      </c>
      <c r="I196" s="8" t="n">
        <f aca="false">IF(F196="Inteira CBP",D196,IF(OR(F196="Aberta",F196="Avulso"),G196,0))</f>
        <v>0</v>
      </c>
      <c r="J196" s="8" t="n">
        <f aca="false">IF(F196="Inteira CBTBE",D196,IF(OR(F196="Aberta",F196="Avulso"),H196,0))</f>
        <v>0</v>
      </c>
      <c r="K196" s="8" t="n">
        <f aca="false">D196-I196-J196</f>
        <v>7</v>
      </c>
    </row>
    <row r="197" customFormat="false" ht="15" hidden="false" customHeight="false" outlineLevel="0" collapsed="false">
      <c r="A197" s="8" t="s">
        <v>499</v>
      </c>
      <c r="B197" s="8" t="s">
        <v>500</v>
      </c>
      <c r="C197" s="8" t="s">
        <v>125</v>
      </c>
      <c r="D197" s="8" t="n">
        <v>5</v>
      </c>
      <c r="E197" s="8" t="n">
        <v>476043</v>
      </c>
      <c r="F197" s="11" t="str">
        <f aca="false">INDEX(Caixas!$C:$C,MATCH(C197,Caixas!$A:$A,0))</f>
        <v>Devolução fechada</v>
      </c>
      <c r="G197" s="9" t="n">
        <v>0</v>
      </c>
      <c r="H197" s="9" t="n">
        <v>0</v>
      </c>
      <c r="I197" s="8" t="n">
        <f aca="false">IF(F197="Inteira CBP",D197,IF(OR(F197="Aberta",F197="Avulso"),G197,0))</f>
        <v>0</v>
      </c>
      <c r="J197" s="8" t="n">
        <f aca="false">IF(F197="Inteira CBTBE",D197,IF(OR(F197="Aberta",F197="Avulso"),H197,0))</f>
        <v>0</v>
      </c>
      <c r="K197" s="8" t="n">
        <f aca="false">D197-I197-J197</f>
        <v>5</v>
      </c>
    </row>
    <row r="198" customFormat="false" ht="15" hidden="false" customHeight="false" outlineLevel="0" collapsed="false">
      <c r="A198" s="8" t="s">
        <v>497</v>
      </c>
      <c r="B198" s="8" t="s">
        <v>498</v>
      </c>
      <c r="C198" s="8" t="s">
        <v>125</v>
      </c>
      <c r="D198" s="8" t="n">
        <v>20</v>
      </c>
      <c r="E198" s="8" t="n">
        <v>476061</v>
      </c>
      <c r="F198" s="11" t="str">
        <f aca="false">INDEX(Caixas!$C:$C,MATCH(C198,Caixas!$A:$A,0))</f>
        <v>Devolução fechada</v>
      </c>
      <c r="G198" s="9" t="n">
        <v>0</v>
      </c>
      <c r="H198" s="9" t="n">
        <v>0</v>
      </c>
      <c r="I198" s="8" t="n">
        <f aca="false">IF(F198="Inteira CBP",D198,IF(OR(F198="Aberta",F198="Avulso"),G198,0))</f>
        <v>0</v>
      </c>
      <c r="J198" s="8" t="n">
        <f aca="false">IF(F198="Inteira CBTBE",D198,IF(OR(F198="Aberta",F198="Avulso"),H198,0))</f>
        <v>0</v>
      </c>
      <c r="K198" s="8" t="n">
        <f aca="false">D198-I198-J198</f>
        <v>20</v>
      </c>
    </row>
    <row r="199" customFormat="false" ht="15" hidden="false" customHeight="false" outlineLevel="0" collapsed="false">
      <c r="A199" s="8" t="s">
        <v>481</v>
      </c>
      <c r="B199" s="8" t="s">
        <v>482</v>
      </c>
      <c r="C199" s="8" t="s">
        <v>126</v>
      </c>
      <c r="D199" s="8" t="n">
        <v>7</v>
      </c>
      <c r="E199" s="8" t="n">
        <v>476065</v>
      </c>
      <c r="F199" s="11" t="str">
        <f aca="false">INDEX(Caixas!$C:$C,MATCH(C199,Caixas!$A:$A,0))</f>
        <v>Inteira CBTBE</v>
      </c>
      <c r="G199" s="9" t="n">
        <v>0</v>
      </c>
      <c r="H199" s="9" t="n">
        <v>0</v>
      </c>
      <c r="I199" s="8" t="n">
        <f aca="false">IF(F199="Inteira CBP",D199,IF(OR(F199="Aberta",F199="Avulso"),G199,0))</f>
        <v>0</v>
      </c>
      <c r="J199" s="8" t="n">
        <f aca="false">IF(F199="Inteira CBTBE",D199,IF(OR(F199="Aberta",F199="Avulso"),H199,0))</f>
        <v>7</v>
      </c>
      <c r="K199" s="8" t="n">
        <f aca="false">D199-I199-J199</f>
        <v>0</v>
      </c>
    </row>
    <row r="200" customFormat="false" ht="15" hidden="false" customHeight="false" outlineLevel="0" collapsed="false">
      <c r="A200" s="8" t="s">
        <v>477</v>
      </c>
      <c r="B200" s="8" t="s">
        <v>478</v>
      </c>
      <c r="C200" s="8" t="s">
        <v>126</v>
      </c>
      <c r="D200" s="8" t="n">
        <v>12</v>
      </c>
      <c r="E200" s="8" t="n">
        <v>476061</v>
      </c>
      <c r="F200" s="11" t="str">
        <f aca="false">INDEX(Caixas!$C:$C,MATCH(C200,Caixas!$A:$A,0))</f>
        <v>Inteira CBTBE</v>
      </c>
      <c r="G200" s="9" t="n">
        <v>0</v>
      </c>
      <c r="H200" s="9" t="n">
        <v>0</v>
      </c>
      <c r="I200" s="8" t="n">
        <f aca="false">IF(F200="Inteira CBP",D200,IF(OR(F200="Aberta",F200="Avulso"),G200,0))</f>
        <v>0</v>
      </c>
      <c r="J200" s="8" t="n">
        <f aca="false">IF(F200="Inteira CBTBE",D200,IF(OR(F200="Aberta",F200="Avulso"),H200,0))</f>
        <v>12</v>
      </c>
      <c r="K200" s="8" t="n">
        <f aca="false">D200-I200-J200</f>
        <v>0</v>
      </c>
    </row>
    <row r="201" customFormat="false" ht="15" hidden="false" customHeight="false" outlineLevel="0" collapsed="false">
      <c r="A201" s="8" t="s">
        <v>499</v>
      </c>
      <c r="B201" s="8" t="s">
        <v>500</v>
      </c>
      <c r="C201" s="8" t="s">
        <v>126</v>
      </c>
      <c r="D201" s="8" t="n">
        <v>5</v>
      </c>
      <c r="E201" s="8" t="n">
        <v>476043</v>
      </c>
      <c r="F201" s="11" t="str">
        <f aca="false">INDEX(Caixas!$C:$C,MATCH(C201,Caixas!$A:$A,0))</f>
        <v>Inteira CBTBE</v>
      </c>
      <c r="G201" s="9" t="n">
        <v>0</v>
      </c>
      <c r="H201" s="9" t="n">
        <v>0</v>
      </c>
      <c r="I201" s="8" t="n">
        <f aca="false">IF(F201="Inteira CBP",D201,IF(OR(F201="Aberta",F201="Avulso"),G201,0))</f>
        <v>0</v>
      </c>
      <c r="J201" s="8" t="n">
        <f aca="false">IF(F201="Inteira CBTBE",D201,IF(OR(F201="Aberta",F201="Avulso"),H201,0))</f>
        <v>5</v>
      </c>
      <c r="K201" s="8" t="n">
        <f aca="false">D201-I201-J201</f>
        <v>0</v>
      </c>
    </row>
    <row r="202" customFormat="false" ht="15" hidden="false" customHeight="false" outlineLevel="0" collapsed="false">
      <c r="A202" s="8" t="s">
        <v>497</v>
      </c>
      <c r="B202" s="8" t="s">
        <v>498</v>
      </c>
      <c r="C202" s="8" t="s">
        <v>126</v>
      </c>
      <c r="D202" s="8" t="n">
        <v>5</v>
      </c>
      <c r="E202" s="8" t="n">
        <v>476061</v>
      </c>
      <c r="F202" s="11" t="str">
        <f aca="false">INDEX(Caixas!$C:$C,MATCH(C202,Caixas!$A:$A,0))</f>
        <v>Inteira CBTBE</v>
      </c>
      <c r="G202" s="9" t="n">
        <v>0</v>
      </c>
      <c r="H202" s="9" t="n">
        <v>0</v>
      </c>
      <c r="I202" s="8" t="n">
        <f aca="false">IF(F202="Inteira CBP",D202,IF(OR(F202="Aberta",F202="Avulso"),G202,0))</f>
        <v>0</v>
      </c>
      <c r="J202" s="8" t="n">
        <f aca="false">IF(F202="Inteira CBTBE",D202,IF(OR(F202="Aberta",F202="Avulso"),H202,0))</f>
        <v>5</v>
      </c>
      <c r="K202" s="8" t="n">
        <f aca="false">D202-I202-J202</f>
        <v>0</v>
      </c>
    </row>
    <row r="203" customFormat="false" ht="15" hidden="false" customHeight="false" outlineLevel="0" collapsed="false">
      <c r="A203" s="8" t="s">
        <v>487</v>
      </c>
      <c r="B203" s="8" t="s">
        <v>488</v>
      </c>
      <c r="C203" s="8" t="s">
        <v>126</v>
      </c>
      <c r="D203" s="8" t="n">
        <v>10</v>
      </c>
      <c r="E203" s="8" t="n">
        <v>476061</v>
      </c>
      <c r="F203" s="11" t="str">
        <f aca="false">INDEX(Caixas!$C:$C,MATCH(C203,Caixas!$A:$A,0))</f>
        <v>Inteira CBTBE</v>
      </c>
      <c r="G203" s="9" t="n">
        <v>0</v>
      </c>
      <c r="H203" s="9" t="n">
        <v>0</v>
      </c>
      <c r="I203" s="8" t="n">
        <f aca="false">IF(F203="Inteira CBP",D203,IF(OR(F203="Aberta",F203="Avulso"),G203,0))</f>
        <v>0</v>
      </c>
      <c r="J203" s="8" t="n">
        <f aca="false">IF(F203="Inteira CBTBE",D203,IF(OR(F203="Aberta",F203="Avulso"),H203,0))</f>
        <v>10</v>
      </c>
      <c r="K203" s="8" t="n">
        <f aca="false">D203-I203-J203</f>
        <v>0</v>
      </c>
    </row>
    <row r="204" customFormat="false" ht="15" hidden="false" customHeight="false" outlineLevel="0" collapsed="false">
      <c r="A204" s="8" t="s">
        <v>481</v>
      </c>
      <c r="B204" s="8" t="s">
        <v>482</v>
      </c>
      <c r="C204" s="8" t="s">
        <v>127</v>
      </c>
      <c r="D204" s="8" t="n">
        <v>7</v>
      </c>
      <c r="E204" s="8" t="n">
        <v>476065</v>
      </c>
      <c r="F204" s="11" t="str">
        <f aca="false">INDEX(Caixas!$C:$C,MATCH(C204,Caixas!$A:$A,0))</f>
        <v>Inteira CBTBE</v>
      </c>
      <c r="G204" s="9" t="n">
        <v>0</v>
      </c>
      <c r="H204" s="9" t="n">
        <v>0</v>
      </c>
      <c r="I204" s="8" t="n">
        <f aca="false">IF(F204="Inteira CBP",D204,IF(OR(F204="Aberta",F204="Avulso"),G204,0))</f>
        <v>0</v>
      </c>
      <c r="J204" s="8" t="n">
        <f aca="false">IF(F204="Inteira CBTBE",D204,IF(OR(F204="Aberta",F204="Avulso"),H204,0))</f>
        <v>7</v>
      </c>
      <c r="K204" s="8" t="n">
        <f aca="false">D204-I204-J204</f>
        <v>0</v>
      </c>
    </row>
    <row r="205" customFormat="false" ht="15" hidden="false" customHeight="false" outlineLevel="0" collapsed="false">
      <c r="A205" s="8" t="s">
        <v>477</v>
      </c>
      <c r="B205" s="8" t="s">
        <v>478</v>
      </c>
      <c r="C205" s="8" t="s">
        <v>127</v>
      </c>
      <c r="D205" s="8" t="n">
        <v>4</v>
      </c>
      <c r="E205" s="8" t="n">
        <v>476061</v>
      </c>
      <c r="F205" s="11" t="str">
        <f aca="false">INDEX(Caixas!$C:$C,MATCH(C205,Caixas!$A:$A,0))</f>
        <v>Inteira CBTBE</v>
      </c>
      <c r="G205" s="9" t="n">
        <v>0</v>
      </c>
      <c r="H205" s="9" t="n">
        <v>0</v>
      </c>
      <c r="I205" s="8" t="n">
        <f aca="false">IF(F205="Inteira CBP",D205,IF(OR(F205="Aberta",F205="Avulso"),G205,0))</f>
        <v>0</v>
      </c>
      <c r="J205" s="8" t="n">
        <f aca="false">IF(F205="Inteira CBTBE",D205,IF(OR(F205="Aberta",F205="Avulso"),H205,0))</f>
        <v>4</v>
      </c>
      <c r="K205" s="8" t="n">
        <f aca="false">D205-I205-J205</f>
        <v>0</v>
      </c>
    </row>
    <row r="206" customFormat="false" ht="15" hidden="false" customHeight="false" outlineLevel="0" collapsed="false">
      <c r="A206" s="8" t="s">
        <v>491</v>
      </c>
      <c r="B206" s="8" t="s">
        <v>492</v>
      </c>
      <c r="C206" s="8" t="s">
        <v>127</v>
      </c>
      <c r="D206" s="8" t="n">
        <v>30</v>
      </c>
      <c r="E206" s="8" t="n">
        <v>476061</v>
      </c>
      <c r="F206" s="11" t="str">
        <f aca="false">INDEX(Caixas!$C:$C,MATCH(C206,Caixas!$A:$A,0))</f>
        <v>Inteira CBTBE</v>
      </c>
      <c r="G206" s="9" t="n">
        <v>0</v>
      </c>
      <c r="H206" s="9" t="n">
        <v>0</v>
      </c>
      <c r="I206" s="8" t="n">
        <f aca="false">IF(F206="Inteira CBP",D206,IF(OR(F206="Aberta",F206="Avulso"),G206,0))</f>
        <v>0</v>
      </c>
      <c r="J206" s="8" t="n">
        <f aca="false">IF(F206="Inteira CBTBE",D206,IF(OR(F206="Aberta",F206="Avulso"),H206,0))</f>
        <v>30</v>
      </c>
      <c r="K206" s="8" t="n">
        <f aca="false">D206-I206-J206</f>
        <v>0</v>
      </c>
    </row>
    <row r="207" customFormat="false" ht="15" hidden="false" customHeight="false" outlineLevel="0" collapsed="false">
      <c r="A207" s="8" t="s">
        <v>499</v>
      </c>
      <c r="B207" s="8" t="s">
        <v>500</v>
      </c>
      <c r="C207" s="8" t="s">
        <v>127</v>
      </c>
      <c r="D207" s="8" t="n">
        <v>5</v>
      </c>
      <c r="E207" s="8" t="n">
        <v>476043</v>
      </c>
      <c r="F207" s="11" t="str">
        <f aca="false">INDEX(Caixas!$C:$C,MATCH(C207,Caixas!$A:$A,0))</f>
        <v>Inteira CBTBE</v>
      </c>
      <c r="G207" s="9" t="n">
        <v>0</v>
      </c>
      <c r="H207" s="9" t="n">
        <v>0</v>
      </c>
      <c r="I207" s="8" t="n">
        <f aca="false">IF(F207="Inteira CBP",D207,IF(OR(F207="Aberta",F207="Avulso"),G207,0))</f>
        <v>0</v>
      </c>
      <c r="J207" s="8" t="n">
        <f aca="false">IF(F207="Inteira CBTBE",D207,IF(OR(F207="Aberta",F207="Avulso"),H207,0))</f>
        <v>5</v>
      </c>
      <c r="K207" s="8" t="n">
        <f aca="false">D207-I207-J207</f>
        <v>0</v>
      </c>
    </row>
    <row r="208" customFormat="false" ht="15" hidden="false" customHeight="false" outlineLevel="0" collapsed="false">
      <c r="A208" s="8" t="s">
        <v>503</v>
      </c>
      <c r="B208" s="8" t="s">
        <v>504</v>
      </c>
      <c r="C208" s="8" t="s">
        <v>128</v>
      </c>
      <c r="D208" s="8" t="n">
        <v>2</v>
      </c>
      <c r="E208" s="8" t="n">
        <v>476061</v>
      </c>
      <c r="F208" s="11" t="str">
        <f aca="false">INDEX(Caixas!$C:$C,MATCH(C208,Caixas!$A:$A,0))</f>
        <v>Devolução fechada</v>
      </c>
      <c r="G208" s="9" t="n">
        <v>0</v>
      </c>
      <c r="H208" s="9" t="n">
        <v>0</v>
      </c>
      <c r="I208" s="8" t="n">
        <f aca="false">IF(F208="Inteira CBP",D208,IF(OR(F208="Aberta",F208="Avulso"),G208,0))</f>
        <v>0</v>
      </c>
      <c r="J208" s="8" t="n">
        <f aca="false">IF(F208="Inteira CBTBE",D208,IF(OR(F208="Aberta",F208="Avulso"),H208,0))</f>
        <v>0</v>
      </c>
      <c r="K208" s="8" t="n">
        <f aca="false">D208-I208-J208</f>
        <v>2</v>
      </c>
    </row>
    <row r="209" customFormat="false" ht="15" hidden="false" customHeight="false" outlineLevel="0" collapsed="false">
      <c r="A209" s="8" t="s">
        <v>481</v>
      </c>
      <c r="B209" s="8" t="s">
        <v>482</v>
      </c>
      <c r="C209" s="8" t="s">
        <v>128</v>
      </c>
      <c r="D209" s="8" t="n">
        <v>7</v>
      </c>
      <c r="E209" s="8" t="n">
        <v>476065</v>
      </c>
      <c r="F209" s="11" t="str">
        <f aca="false">INDEX(Caixas!$C:$C,MATCH(C209,Caixas!$A:$A,0))</f>
        <v>Devolução fechada</v>
      </c>
      <c r="G209" s="9" t="n">
        <v>0</v>
      </c>
      <c r="H209" s="9" t="n">
        <v>0</v>
      </c>
      <c r="I209" s="8" t="n">
        <f aca="false">IF(F209="Inteira CBP",D209,IF(OR(F209="Aberta",F209="Avulso"),G209,0))</f>
        <v>0</v>
      </c>
      <c r="J209" s="8" t="n">
        <f aca="false">IF(F209="Inteira CBTBE",D209,IF(OR(F209="Aberta",F209="Avulso"),H209,0))</f>
        <v>0</v>
      </c>
      <c r="K209" s="8" t="n">
        <f aca="false">D209-I209-J209</f>
        <v>7</v>
      </c>
    </row>
    <row r="210" customFormat="false" ht="15" hidden="false" customHeight="false" outlineLevel="0" collapsed="false">
      <c r="A210" s="8" t="s">
        <v>495</v>
      </c>
      <c r="B210" s="8" t="s">
        <v>496</v>
      </c>
      <c r="C210" s="8" t="s">
        <v>128</v>
      </c>
      <c r="D210" s="8" t="n">
        <v>8</v>
      </c>
      <c r="E210" s="8" t="n">
        <v>476061</v>
      </c>
      <c r="F210" s="11" t="str">
        <f aca="false">INDEX(Caixas!$C:$C,MATCH(C210,Caixas!$A:$A,0))</f>
        <v>Devolução fechada</v>
      </c>
      <c r="G210" s="9" t="n">
        <v>0</v>
      </c>
      <c r="H210" s="9" t="n">
        <v>0</v>
      </c>
      <c r="I210" s="8" t="n">
        <f aca="false">IF(F210="Inteira CBP",D210,IF(OR(F210="Aberta",F210="Avulso"),G210,0))</f>
        <v>0</v>
      </c>
      <c r="J210" s="8" t="n">
        <f aca="false">IF(F210="Inteira CBTBE",D210,IF(OR(F210="Aberta",F210="Avulso"),H210,0))</f>
        <v>0</v>
      </c>
      <c r="K210" s="8" t="n">
        <f aca="false">D210-I210-J210</f>
        <v>8</v>
      </c>
    </row>
    <row r="211" customFormat="false" ht="15" hidden="false" customHeight="false" outlineLevel="0" collapsed="false">
      <c r="A211" s="8" t="s">
        <v>491</v>
      </c>
      <c r="B211" s="8" t="s">
        <v>492</v>
      </c>
      <c r="C211" s="8" t="s">
        <v>128</v>
      </c>
      <c r="D211" s="8" t="n">
        <v>10</v>
      </c>
      <c r="E211" s="8" t="n">
        <v>476061</v>
      </c>
      <c r="F211" s="11" t="str">
        <f aca="false">INDEX(Caixas!$C:$C,MATCH(C211,Caixas!$A:$A,0))</f>
        <v>Devolução fechada</v>
      </c>
      <c r="G211" s="9" t="n">
        <v>0</v>
      </c>
      <c r="H211" s="9" t="n">
        <v>0</v>
      </c>
      <c r="I211" s="8" t="n">
        <f aca="false">IF(F211="Inteira CBP",D211,IF(OR(F211="Aberta",F211="Avulso"),G211,0))</f>
        <v>0</v>
      </c>
      <c r="J211" s="8" t="n">
        <f aca="false">IF(F211="Inteira CBTBE",D211,IF(OR(F211="Aberta",F211="Avulso"),H211,0))</f>
        <v>0</v>
      </c>
      <c r="K211" s="8" t="n">
        <f aca="false">D211-I211-J211</f>
        <v>10</v>
      </c>
    </row>
    <row r="212" customFormat="false" ht="15" hidden="false" customHeight="false" outlineLevel="0" collapsed="false">
      <c r="A212" s="8" t="s">
        <v>499</v>
      </c>
      <c r="B212" s="8" t="s">
        <v>500</v>
      </c>
      <c r="C212" s="8" t="s">
        <v>128</v>
      </c>
      <c r="D212" s="8" t="n">
        <v>5</v>
      </c>
      <c r="E212" s="8" t="n">
        <v>476043</v>
      </c>
      <c r="F212" s="11" t="str">
        <f aca="false">INDEX(Caixas!$C:$C,MATCH(C212,Caixas!$A:$A,0))</f>
        <v>Devolução fechada</v>
      </c>
      <c r="G212" s="9" t="n">
        <v>0</v>
      </c>
      <c r="H212" s="9" t="n">
        <v>0</v>
      </c>
      <c r="I212" s="8" t="n">
        <f aca="false">IF(F212="Inteira CBP",D212,IF(OR(F212="Aberta",F212="Avulso"),G212,0))</f>
        <v>0</v>
      </c>
      <c r="J212" s="8" t="n">
        <f aca="false">IF(F212="Inteira CBTBE",D212,IF(OR(F212="Aberta",F212="Avulso"),H212,0))</f>
        <v>0</v>
      </c>
      <c r="K212" s="8" t="n">
        <f aca="false">D212-I212-J212</f>
        <v>5</v>
      </c>
    </row>
    <row r="213" customFormat="false" ht="15" hidden="false" customHeight="false" outlineLevel="0" collapsed="false">
      <c r="A213" s="8" t="s">
        <v>503</v>
      </c>
      <c r="B213" s="8" t="s">
        <v>504</v>
      </c>
      <c r="C213" s="8" t="s">
        <v>129</v>
      </c>
      <c r="D213" s="8" t="n">
        <v>8</v>
      </c>
      <c r="E213" s="8" t="n">
        <v>476061</v>
      </c>
      <c r="F213" s="11" t="str">
        <f aca="false">INDEX(Caixas!$C:$C,MATCH(C213,Caixas!$A:$A,0))</f>
        <v>Devolução fechada</v>
      </c>
      <c r="G213" s="9" t="n">
        <v>0</v>
      </c>
      <c r="H213" s="9" t="n">
        <v>0</v>
      </c>
      <c r="I213" s="8" t="n">
        <f aca="false">IF(F213="Inteira CBP",D213,IF(OR(F213="Aberta",F213="Avulso"),G213,0))</f>
        <v>0</v>
      </c>
      <c r="J213" s="8" t="n">
        <f aca="false">IF(F213="Inteira CBTBE",D213,IF(OR(F213="Aberta",F213="Avulso"),H213,0))</f>
        <v>0</v>
      </c>
      <c r="K213" s="8" t="n">
        <f aca="false">D213-I213-J213</f>
        <v>8</v>
      </c>
    </row>
    <row r="214" customFormat="false" ht="15" hidden="false" customHeight="false" outlineLevel="0" collapsed="false">
      <c r="A214" s="8" t="s">
        <v>481</v>
      </c>
      <c r="B214" s="8" t="s">
        <v>482</v>
      </c>
      <c r="C214" s="8" t="s">
        <v>129</v>
      </c>
      <c r="D214" s="8" t="n">
        <v>7</v>
      </c>
      <c r="E214" s="8" t="n">
        <v>476065</v>
      </c>
      <c r="F214" s="11" t="str">
        <f aca="false">INDEX(Caixas!$C:$C,MATCH(C214,Caixas!$A:$A,0))</f>
        <v>Devolução fechada</v>
      </c>
      <c r="G214" s="9" t="n">
        <v>0</v>
      </c>
      <c r="H214" s="9" t="n">
        <v>0</v>
      </c>
      <c r="I214" s="8" t="n">
        <f aca="false">IF(F214="Inteira CBP",D214,IF(OR(F214="Aberta",F214="Avulso"),G214,0))</f>
        <v>0</v>
      </c>
      <c r="J214" s="8" t="n">
        <f aca="false">IF(F214="Inteira CBTBE",D214,IF(OR(F214="Aberta",F214="Avulso"),H214,0))</f>
        <v>0</v>
      </c>
      <c r="K214" s="8" t="n">
        <f aca="false">D214-I214-J214</f>
        <v>7</v>
      </c>
    </row>
    <row r="215" customFormat="false" ht="15" hidden="false" customHeight="false" outlineLevel="0" collapsed="false">
      <c r="A215" s="8" t="s">
        <v>499</v>
      </c>
      <c r="B215" s="8" t="s">
        <v>500</v>
      </c>
      <c r="C215" s="8" t="s">
        <v>129</v>
      </c>
      <c r="D215" s="8" t="n">
        <v>5</v>
      </c>
      <c r="E215" s="8" t="n">
        <v>476043</v>
      </c>
      <c r="F215" s="11" t="str">
        <f aca="false">INDEX(Caixas!$C:$C,MATCH(C215,Caixas!$A:$A,0))</f>
        <v>Devolução fechada</v>
      </c>
      <c r="G215" s="9" t="n">
        <v>0</v>
      </c>
      <c r="H215" s="9" t="n">
        <v>0</v>
      </c>
      <c r="I215" s="8" t="n">
        <f aca="false">IF(F215="Inteira CBP",D215,IF(OR(F215="Aberta",F215="Avulso"),G215,0))</f>
        <v>0</v>
      </c>
      <c r="J215" s="8" t="n">
        <f aca="false">IF(F215="Inteira CBTBE",D215,IF(OR(F215="Aberta",F215="Avulso"),H215,0))</f>
        <v>0</v>
      </c>
      <c r="K215" s="8" t="n">
        <f aca="false">D215-I215-J215</f>
        <v>5</v>
      </c>
    </row>
    <row r="216" customFormat="false" ht="15" hidden="false" customHeight="false" outlineLevel="0" collapsed="false">
      <c r="A216" s="8" t="s">
        <v>503</v>
      </c>
      <c r="B216" s="8" t="s">
        <v>504</v>
      </c>
      <c r="C216" s="8" t="s">
        <v>130</v>
      </c>
      <c r="D216" s="8" t="n">
        <v>8</v>
      </c>
      <c r="E216" s="8" t="n">
        <v>476061</v>
      </c>
      <c r="F216" s="11" t="str">
        <f aca="false">INDEX(Caixas!$C:$C,MATCH(C216,Caixas!$A:$A,0))</f>
        <v>Devolução fechada</v>
      </c>
      <c r="G216" s="9" t="n">
        <v>0</v>
      </c>
      <c r="H216" s="9" t="n">
        <v>0</v>
      </c>
      <c r="I216" s="8" t="n">
        <f aca="false">IF(F216="Inteira CBP",D216,IF(OR(F216="Aberta",F216="Avulso"),G216,0))</f>
        <v>0</v>
      </c>
      <c r="J216" s="8" t="n">
        <f aca="false">IF(F216="Inteira CBTBE",D216,IF(OR(F216="Aberta",F216="Avulso"),H216,0))</f>
        <v>0</v>
      </c>
      <c r="K216" s="8" t="n">
        <f aca="false">D216-I216-J216</f>
        <v>8</v>
      </c>
    </row>
    <row r="217" customFormat="false" ht="15" hidden="false" customHeight="false" outlineLevel="0" collapsed="false">
      <c r="A217" s="8" t="s">
        <v>481</v>
      </c>
      <c r="B217" s="8" t="s">
        <v>482</v>
      </c>
      <c r="C217" s="8" t="s">
        <v>130</v>
      </c>
      <c r="D217" s="8" t="n">
        <v>7</v>
      </c>
      <c r="E217" s="8" t="n">
        <v>476065</v>
      </c>
      <c r="F217" s="11" t="str">
        <f aca="false">INDEX(Caixas!$C:$C,MATCH(C217,Caixas!$A:$A,0))</f>
        <v>Devolução fechada</v>
      </c>
      <c r="G217" s="9" t="n">
        <v>0</v>
      </c>
      <c r="H217" s="9" t="n">
        <v>0</v>
      </c>
      <c r="I217" s="8" t="n">
        <f aca="false">IF(F217="Inteira CBP",D217,IF(OR(F217="Aberta",F217="Avulso"),G217,0))</f>
        <v>0</v>
      </c>
      <c r="J217" s="8" t="n">
        <f aca="false">IF(F217="Inteira CBTBE",D217,IF(OR(F217="Aberta",F217="Avulso"),H217,0))</f>
        <v>0</v>
      </c>
      <c r="K217" s="8" t="n">
        <f aca="false">D217-I217-J217</f>
        <v>7</v>
      </c>
    </row>
    <row r="218" customFormat="false" ht="15" hidden="false" customHeight="false" outlineLevel="0" collapsed="false">
      <c r="A218" s="8" t="s">
        <v>499</v>
      </c>
      <c r="B218" s="8" t="s">
        <v>500</v>
      </c>
      <c r="C218" s="8" t="s">
        <v>130</v>
      </c>
      <c r="D218" s="8" t="n">
        <v>5</v>
      </c>
      <c r="E218" s="8" t="n">
        <v>476043</v>
      </c>
      <c r="F218" s="11" t="str">
        <f aca="false">INDEX(Caixas!$C:$C,MATCH(C218,Caixas!$A:$A,0))</f>
        <v>Devolução fechada</v>
      </c>
      <c r="G218" s="9" t="n">
        <v>0</v>
      </c>
      <c r="H218" s="9" t="n">
        <v>0</v>
      </c>
      <c r="I218" s="8" t="n">
        <f aca="false">IF(F218="Inteira CBP",D218,IF(OR(F218="Aberta",F218="Avulso"),G218,0))</f>
        <v>0</v>
      </c>
      <c r="J218" s="8" t="n">
        <f aca="false">IF(F218="Inteira CBTBE",D218,IF(OR(F218="Aberta",F218="Avulso"),H218,0))</f>
        <v>0</v>
      </c>
      <c r="K218" s="8" t="n">
        <f aca="false">D218-I218-J218</f>
        <v>5</v>
      </c>
    </row>
    <row r="219" customFormat="false" ht="15" hidden="false" customHeight="false" outlineLevel="0" collapsed="false">
      <c r="A219" s="8" t="s">
        <v>503</v>
      </c>
      <c r="B219" s="8" t="s">
        <v>504</v>
      </c>
      <c r="C219" s="8" t="s">
        <v>131</v>
      </c>
      <c r="D219" s="8" t="n">
        <v>8</v>
      </c>
      <c r="E219" s="8" t="n">
        <v>476061</v>
      </c>
      <c r="F219" s="11" t="str">
        <f aca="false">INDEX(Caixas!$C:$C,MATCH(C219,Caixas!$A:$A,0))</f>
        <v>Inteira CBP</v>
      </c>
      <c r="G219" s="9" t="n">
        <v>0</v>
      </c>
      <c r="H219" s="9" t="n">
        <v>0</v>
      </c>
      <c r="I219" s="8" t="n">
        <f aca="false">IF(F219="Inteira CBP",D219,IF(OR(F219="Aberta",F219="Avulso"),G219,0))</f>
        <v>8</v>
      </c>
      <c r="J219" s="8" t="n">
        <f aca="false">IF(F219="Inteira CBTBE",D219,IF(OR(F219="Aberta",F219="Avulso"),H219,0))</f>
        <v>0</v>
      </c>
      <c r="K219" s="8" t="n">
        <f aca="false">D219-I219-J219</f>
        <v>0</v>
      </c>
    </row>
    <row r="220" customFormat="false" ht="15" hidden="false" customHeight="false" outlineLevel="0" collapsed="false">
      <c r="A220" s="8" t="s">
        <v>481</v>
      </c>
      <c r="B220" s="8" t="s">
        <v>482</v>
      </c>
      <c r="C220" s="8" t="s">
        <v>131</v>
      </c>
      <c r="D220" s="8" t="n">
        <v>7</v>
      </c>
      <c r="E220" s="8" t="n">
        <v>476065</v>
      </c>
      <c r="F220" s="11" t="str">
        <f aca="false">INDEX(Caixas!$C:$C,MATCH(C220,Caixas!$A:$A,0))</f>
        <v>Inteira CBP</v>
      </c>
      <c r="G220" s="9" t="n">
        <v>0</v>
      </c>
      <c r="H220" s="9" t="n">
        <v>0</v>
      </c>
      <c r="I220" s="8" t="n">
        <f aca="false">IF(F220="Inteira CBP",D220,IF(OR(F220="Aberta",F220="Avulso"),G220,0))</f>
        <v>7</v>
      </c>
      <c r="J220" s="8" t="n">
        <f aca="false">IF(F220="Inteira CBTBE",D220,IF(OR(F220="Aberta",F220="Avulso"),H220,0))</f>
        <v>0</v>
      </c>
      <c r="K220" s="8" t="n">
        <f aca="false">D220-I220-J220</f>
        <v>0</v>
      </c>
    </row>
    <row r="221" customFormat="false" ht="15" hidden="false" customHeight="false" outlineLevel="0" collapsed="false">
      <c r="A221" s="8" t="s">
        <v>499</v>
      </c>
      <c r="B221" s="8" t="s">
        <v>500</v>
      </c>
      <c r="C221" s="8" t="s">
        <v>131</v>
      </c>
      <c r="D221" s="8" t="n">
        <v>5</v>
      </c>
      <c r="E221" s="8" t="n">
        <v>476043</v>
      </c>
      <c r="F221" s="11" t="str">
        <f aca="false">INDEX(Caixas!$C:$C,MATCH(C221,Caixas!$A:$A,0))</f>
        <v>Inteira CBP</v>
      </c>
      <c r="G221" s="9" t="n">
        <v>0</v>
      </c>
      <c r="H221" s="9" t="n">
        <v>0</v>
      </c>
      <c r="I221" s="8" t="n">
        <f aca="false">IF(F221="Inteira CBP",D221,IF(OR(F221="Aberta",F221="Avulso"),G221,0))</f>
        <v>5</v>
      </c>
      <c r="J221" s="8" t="n">
        <f aca="false">IF(F221="Inteira CBTBE",D221,IF(OR(F221="Aberta",F221="Avulso"),H221,0))</f>
        <v>0</v>
      </c>
      <c r="K221" s="8" t="n">
        <f aca="false">D221-I221-J221</f>
        <v>0</v>
      </c>
    </row>
    <row r="222" customFormat="false" ht="15" hidden="false" customHeight="false" outlineLevel="0" collapsed="false">
      <c r="A222" s="8" t="s">
        <v>503</v>
      </c>
      <c r="B222" s="8" t="s">
        <v>504</v>
      </c>
      <c r="C222" s="8" t="s">
        <v>132</v>
      </c>
      <c r="D222" s="8" t="n">
        <v>8</v>
      </c>
      <c r="E222" s="8" t="n">
        <v>476061</v>
      </c>
      <c r="F222" s="11" t="str">
        <f aca="false">INDEX(Caixas!$C:$C,MATCH(C222,Caixas!$A:$A,0))</f>
        <v>Devolução fechada</v>
      </c>
      <c r="G222" s="9" t="n">
        <v>0</v>
      </c>
      <c r="H222" s="9" t="n">
        <v>0</v>
      </c>
      <c r="I222" s="8" t="n">
        <f aca="false">IF(F222="Inteira CBP",D222,IF(OR(F222="Aberta",F222="Avulso"),G222,0))</f>
        <v>0</v>
      </c>
      <c r="J222" s="8" t="n">
        <f aca="false">IF(F222="Inteira CBTBE",D222,IF(OR(F222="Aberta",F222="Avulso"),H222,0))</f>
        <v>0</v>
      </c>
      <c r="K222" s="8" t="n">
        <f aca="false">D222-I222-J222</f>
        <v>8</v>
      </c>
    </row>
    <row r="223" customFormat="false" ht="15" hidden="false" customHeight="false" outlineLevel="0" collapsed="false">
      <c r="A223" s="8" t="s">
        <v>481</v>
      </c>
      <c r="B223" s="8" t="s">
        <v>482</v>
      </c>
      <c r="C223" s="8" t="s">
        <v>132</v>
      </c>
      <c r="D223" s="8" t="n">
        <v>7</v>
      </c>
      <c r="E223" s="8" t="n">
        <v>476065</v>
      </c>
      <c r="F223" s="11" t="str">
        <f aca="false">INDEX(Caixas!$C:$C,MATCH(C223,Caixas!$A:$A,0))</f>
        <v>Devolução fechada</v>
      </c>
      <c r="G223" s="9" t="n">
        <v>0</v>
      </c>
      <c r="H223" s="9" t="n">
        <v>0</v>
      </c>
      <c r="I223" s="8" t="n">
        <f aca="false">IF(F223="Inteira CBP",D223,IF(OR(F223="Aberta",F223="Avulso"),G223,0))</f>
        <v>0</v>
      </c>
      <c r="J223" s="8" t="n">
        <f aca="false">IF(F223="Inteira CBTBE",D223,IF(OR(F223="Aberta",F223="Avulso"),H223,0))</f>
        <v>0</v>
      </c>
      <c r="K223" s="8" t="n">
        <f aca="false">D223-I223-J223</f>
        <v>7</v>
      </c>
    </row>
    <row r="224" customFormat="false" ht="15" hidden="false" customHeight="false" outlineLevel="0" collapsed="false">
      <c r="A224" s="8" t="s">
        <v>499</v>
      </c>
      <c r="B224" s="8" t="s">
        <v>500</v>
      </c>
      <c r="C224" s="8" t="s">
        <v>132</v>
      </c>
      <c r="D224" s="8" t="n">
        <v>5</v>
      </c>
      <c r="E224" s="8" t="n">
        <v>476043</v>
      </c>
      <c r="F224" s="11" t="str">
        <f aca="false">INDEX(Caixas!$C:$C,MATCH(C224,Caixas!$A:$A,0))</f>
        <v>Devolução fechada</v>
      </c>
      <c r="G224" s="9" t="n">
        <v>0</v>
      </c>
      <c r="H224" s="9" t="n">
        <v>0</v>
      </c>
      <c r="I224" s="8" t="n">
        <f aca="false">IF(F224="Inteira CBP",D224,IF(OR(F224="Aberta",F224="Avulso"),G224,0))</f>
        <v>0</v>
      </c>
      <c r="J224" s="8" t="n">
        <f aca="false">IF(F224="Inteira CBTBE",D224,IF(OR(F224="Aberta",F224="Avulso"),H224,0))</f>
        <v>0</v>
      </c>
      <c r="K224" s="8" t="n">
        <f aca="false">D224-I224-J224</f>
        <v>5</v>
      </c>
    </row>
    <row r="225" customFormat="false" ht="15" hidden="false" customHeight="false" outlineLevel="0" collapsed="false">
      <c r="A225" s="8" t="s">
        <v>503</v>
      </c>
      <c r="B225" s="8" t="s">
        <v>504</v>
      </c>
      <c r="C225" s="8" t="s">
        <v>133</v>
      </c>
      <c r="D225" s="8" t="n">
        <v>8</v>
      </c>
      <c r="E225" s="8" t="n">
        <v>476061</v>
      </c>
      <c r="F225" s="11" t="str">
        <f aca="false">INDEX(Caixas!$C:$C,MATCH(C225,Caixas!$A:$A,0))</f>
        <v>Inteira CBTBE</v>
      </c>
      <c r="G225" s="9" t="n">
        <v>0</v>
      </c>
      <c r="H225" s="9" t="n">
        <v>0</v>
      </c>
      <c r="I225" s="8" t="n">
        <f aca="false">IF(F225="Inteira CBP",D225,IF(OR(F225="Aberta",F225="Avulso"),G225,0))</f>
        <v>0</v>
      </c>
      <c r="J225" s="8" t="n">
        <f aca="false">IF(F225="Inteira CBTBE",D225,IF(OR(F225="Aberta",F225="Avulso"),H225,0))</f>
        <v>8</v>
      </c>
      <c r="K225" s="8" t="n">
        <f aca="false">D225-I225-J225</f>
        <v>0</v>
      </c>
    </row>
    <row r="226" customFormat="false" ht="15" hidden="false" customHeight="false" outlineLevel="0" collapsed="false">
      <c r="A226" s="8" t="s">
        <v>481</v>
      </c>
      <c r="B226" s="8" t="s">
        <v>482</v>
      </c>
      <c r="C226" s="8" t="s">
        <v>133</v>
      </c>
      <c r="D226" s="8" t="n">
        <v>7</v>
      </c>
      <c r="E226" s="8" t="n">
        <v>476065</v>
      </c>
      <c r="F226" s="11" t="str">
        <f aca="false">INDEX(Caixas!$C:$C,MATCH(C226,Caixas!$A:$A,0))</f>
        <v>Inteira CBTBE</v>
      </c>
      <c r="G226" s="9" t="n">
        <v>0</v>
      </c>
      <c r="H226" s="9" t="n">
        <v>0</v>
      </c>
      <c r="I226" s="8" t="n">
        <f aca="false">IF(F226="Inteira CBP",D226,IF(OR(F226="Aberta",F226="Avulso"),G226,0))</f>
        <v>0</v>
      </c>
      <c r="J226" s="8" t="n">
        <f aca="false">IF(F226="Inteira CBTBE",D226,IF(OR(F226="Aberta",F226="Avulso"),H226,0))</f>
        <v>7</v>
      </c>
      <c r="K226" s="8" t="n">
        <f aca="false">D226-I226-J226</f>
        <v>0</v>
      </c>
    </row>
    <row r="227" customFormat="false" ht="15" hidden="false" customHeight="false" outlineLevel="0" collapsed="false">
      <c r="A227" s="8" t="s">
        <v>499</v>
      </c>
      <c r="B227" s="8" t="s">
        <v>500</v>
      </c>
      <c r="C227" s="8" t="s">
        <v>133</v>
      </c>
      <c r="D227" s="8" t="n">
        <v>5</v>
      </c>
      <c r="E227" s="8" t="n">
        <v>476043</v>
      </c>
      <c r="F227" s="11" t="str">
        <f aca="false">INDEX(Caixas!$C:$C,MATCH(C227,Caixas!$A:$A,0))</f>
        <v>Inteira CBTBE</v>
      </c>
      <c r="G227" s="9" t="n">
        <v>0</v>
      </c>
      <c r="H227" s="9" t="n">
        <v>0</v>
      </c>
      <c r="I227" s="8" t="n">
        <f aca="false">IF(F227="Inteira CBP",D227,IF(OR(F227="Aberta",F227="Avulso"),G227,0))</f>
        <v>0</v>
      </c>
      <c r="J227" s="8" t="n">
        <f aca="false">IF(F227="Inteira CBTBE",D227,IF(OR(F227="Aberta",F227="Avulso"),H227,0))</f>
        <v>5</v>
      </c>
      <c r="K227" s="8" t="n">
        <f aca="false">D227-I227-J227</f>
        <v>0</v>
      </c>
    </row>
    <row r="228" customFormat="false" ht="15" hidden="false" customHeight="false" outlineLevel="0" collapsed="false">
      <c r="A228" s="8" t="s">
        <v>503</v>
      </c>
      <c r="B228" s="8" t="s">
        <v>504</v>
      </c>
      <c r="C228" s="8" t="s">
        <v>134</v>
      </c>
      <c r="D228" s="8" t="n">
        <v>8</v>
      </c>
      <c r="E228" s="8" t="n">
        <v>476061</v>
      </c>
      <c r="F228" s="11" t="str">
        <f aca="false">INDEX(Caixas!$C:$C,MATCH(C228,Caixas!$A:$A,0))</f>
        <v>Inteira CBTBE</v>
      </c>
      <c r="G228" s="9" t="n">
        <v>0</v>
      </c>
      <c r="H228" s="9" t="n">
        <v>0</v>
      </c>
      <c r="I228" s="8" t="n">
        <f aca="false">IF(F228="Inteira CBP",D228,IF(OR(F228="Aberta",F228="Avulso"),G228,0))</f>
        <v>0</v>
      </c>
      <c r="J228" s="8" t="n">
        <f aca="false">IF(F228="Inteira CBTBE",D228,IF(OR(F228="Aberta",F228="Avulso"),H228,0))</f>
        <v>8</v>
      </c>
      <c r="K228" s="8" t="n">
        <f aca="false">D228-I228-J228</f>
        <v>0</v>
      </c>
    </row>
    <row r="229" customFormat="false" ht="15" hidden="false" customHeight="false" outlineLevel="0" collapsed="false">
      <c r="A229" s="8" t="s">
        <v>481</v>
      </c>
      <c r="B229" s="8" t="s">
        <v>482</v>
      </c>
      <c r="C229" s="8" t="s">
        <v>134</v>
      </c>
      <c r="D229" s="8" t="n">
        <v>7</v>
      </c>
      <c r="E229" s="8" t="n">
        <v>476065</v>
      </c>
      <c r="F229" s="11" t="str">
        <f aca="false">INDEX(Caixas!$C:$C,MATCH(C229,Caixas!$A:$A,0))</f>
        <v>Inteira CBTBE</v>
      </c>
      <c r="G229" s="9" t="n">
        <v>0</v>
      </c>
      <c r="H229" s="9" t="n">
        <v>0</v>
      </c>
      <c r="I229" s="8" t="n">
        <f aca="false">IF(F229="Inteira CBP",D229,IF(OR(F229="Aberta",F229="Avulso"),G229,0))</f>
        <v>0</v>
      </c>
      <c r="J229" s="8" t="n">
        <f aca="false">IF(F229="Inteira CBTBE",D229,IF(OR(F229="Aberta",F229="Avulso"),H229,0))</f>
        <v>7</v>
      </c>
      <c r="K229" s="8" t="n">
        <f aca="false">D229-I229-J229</f>
        <v>0</v>
      </c>
    </row>
    <row r="230" customFormat="false" ht="15" hidden="false" customHeight="false" outlineLevel="0" collapsed="false">
      <c r="A230" s="8" t="s">
        <v>451</v>
      </c>
      <c r="B230" s="8" t="s">
        <v>452</v>
      </c>
      <c r="C230" s="8" t="s">
        <v>134</v>
      </c>
      <c r="D230" s="8" t="n">
        <v>24</v>
      </c>
      <c r="E230" s="8" t="n">
        <v>476043</v>
      </c>
      <c r="F230" s="11" t="str">
        <f aca="false">INDEX(Caixas!$C:$C,MATCH(C230,Caixas!$A:$A,0))</f>
        <v>Inteira CBTBE</v>
      </c>
      <c r="G230" s="9" t="n">
        <v>0</v>
      </c>
      <c r="H230" s="9" t="n">
        <v>0</v>
      </c>
      <c r="I230" s="8" t="n">
        <f aca="false">IF(F230="Inteira CBP",D230,IF(OR(F230="Aberta",F230="Avulso"),G230,0))</f>
        <v>0</v>
      </c>
      <c r="J230" s="8" t="n">
        <f aca="false">IF(F230="Inteira CBTBE",D230,IF(OR(F230="Aberta",F230="Avulso"),H230,0))</f>
        <v>24</v>
      </c>
      <c r="K230" s="8" t="n">
        <f aca="false">D230-I230-J230</f>
        <v>0</v>
      </c>
    </row>
    <row r="231" customFormat="false" ht="15" hidden="false" customHeight="false" outlineLevel="0" collapsed="false">
      <c r="A231" s="8" t="s">
        <v>503</v>
      </c>
      <c r="B231" s="8" t="s">
        <v>504</v>
      </c>
      <c r="C231" s="8" t="s">
        <v>135</v>
      </c>
      <c r="D231" s="8" t="n">
        <v>8</v>
      </c>
      <c r="E231" s="8" t="n">
        <v>476061</v>
      </c>
      <c r="F231" s="11" t="str">
        <f aca="false">INDEX(Caixas!$C:$C,MATCH(C231,Caixas!$A:$A,0))</f>
        <v>Inteira CBTBE</v>
      </c>
      <c r="G231" s="9" t="n">
        <v>0</v>
      </c>
      <c r="H231" s="9" t="n">
        <v>0</v>
      </c>
      <c r="I231" s="8" t="n">
        <f aca="false">IF(F231="Inteira CBP",D231,IF(OR(F231="Aberta",F231="Avulso"),G231,0))</f>
        <v>0</v>
      </c>
      <c r="J231" s="8" t="n">
        <f aca="false">IF(F231="Inteira CBTBE",D231,IF(OR(F231="Aberta",F231="Avulso"),H231,0))</f>
        <v>8</v>
      </c>
      <c r="K231" s="8" t="n">
        <f aca="false">D231-I231-J231</f>
        <v>0</v>
      </c>
    </row>
    <row r="232" customFormat="false" ht="15" hidden="false" customHeight="false" outlineLevel="0" collapsed="false">
      <c r="A232" s="8" t="s">
        <v>481</v>
      </c>
      <c r="B232" s="8" t="s">
        <v>482</v>
      </c>
      <c r="C232" s="8" t="s">
        <v>135</v>
      </c>
      <c r="D232" s="8" t="n">
        <v>7</v>
      </c>
      <c r="E232" s="8" t="n">
        <v>476065</v>
      </c>
      <c r="F232" s="11" t="str">
        <f aca="false">INDEX(Caixas!$C:$C,MATCH(C232,Caixas!$A:$A,0))</f>
        <v>Inteira CBTBE</v>
      </c>
      <c r="G232" s="9" t="n">
        <v>0</v>
      </c>
      <c r="H232" s="9" t="n">
        <v>0</v>
      </c>
      <c r="I232" s="8" t="n">
        <f aca="false">IF(F232="Inteira CBP",D232,IF(OR(F232="Aberta",F232="Avulso"),G232,0))</f>
        <v>0</v>
      </c>
      <c r="J232" s="8" t="n">
        <f aca="false">IF(F232="Inteira CBTBE",D232,IF(OR(F232="Aberta",F232="Avulso"),H232,0))</f>
        <v>7</v>
      </c>
      <c r="K232" s="8" t="n">
        <f aca="false">D232-I232-J232</f>
        <v>0</v>
      </c>
    </row>
    <row r="233" customFormat="false" ht="15" hidden="false" customHeight="false" outlineLevel="0" collapsed="false">
      <c r="A233" s="8" t="s">
        <v>451</v>
      </c>
      <c r="B233" s="8" t="s">
        <v>452</v>
      </c>
      <c r="C233" s="8" t="s">
        <v>135</v>
      </c>
      <c r="D233" s="8" t="n">
        <v>24</v>
      </c>
      <c r="E233" s="8" t="n">
        <v>476043</v>
      </c>
      <c r="F233" s="11" t="str">
        <f aca="false">INDEX(Caixas!$C:$C,MATCH(C233,Caixas!$A:$A,0))</f>
        <v>Inteira CBTBE</v>
      </c>
      <c r="G233" s="9" t="n">
        <v>0</v>
      </c>
      <c r="H233" s="9" t="n">
        <v>0</v>
      </c>
      <c r="I233" s="8" t="n">
        <f aca="false">IF(F233="Inteira CBP",D233,IF(OR(F233="Aberta",F233="Avulso"),G233,0))</f>
        <v>0</v>
      </c>
      <c r="J233" s="8" t="n">
        <f aca="false">IF(F233="Inteira CBTBE",D233,IF(OR(F233="Aberta",F233="Avulso"),H233,0))</f>
        <v>24</v>
      </c>
      <c r="K233" s="8" t="n">
        <f aca="false">D233-I233-J233</f>
        <v>0</v>
      </c>
    </row>
    <row r="234" customFormat="false" ht="15" hidden="false" customHeight="false" outlineLevel="0" collapsed="false">
      <c r="A234" s="8" t="s">
        <v>503</v>
      </c>
      <c r="B234" s="8" t="s">
        <v>504</v>
      </c>
      <c r="C234" s="8" t="s">
        <v>136</v>
      </c>
      <c r="D234" s="8" t="n">
        <v>8</v>
      </c>
      <c r="E234" s="8" t="n">
        <v>476061</v>
      </c>
      <c r="F234" s="11" t="str">
        <f aca="false">INDEX(Caixas!$C:$C,MATCH(C234,Caixas!$A:$A,0))</f>
        <v>Inteira CBTBE</v>
      </c>
      <c r="G234" s="9" t="n">
        <v>0</v>
      </c>
      <c r="H234" s="9" t="n">
        <v>0</v>
      </c>
      <c r="I234" s="8" t="n">
        <f aca="false">IF(F234="Inteira CBP",D234,IF(OR(F234="Aberta",F234="Avulso"),G234,0))</f>
        <v>0</v>
      </c>
      <c r="J234" s="8" t="n">
        <f aca="false">IF(F234="Inteira CBTBE",D234,IF(OR(F234="Aberta",F234="Avulso"),H234,0))</f>
        <v>8</v>
      </c>
      <c r="K234" s="8" t="n">
        <f aca="false">D234-I234-J234</f>
        <v>0</v>
      </c>
    </row>
    <row r="235" customFormat="false" ht="15" hidden="false" customHeight="false" outlineLevel="0" collapsed="false">
      <c r="A235" s="8" t="s">
        <v>481</v>
      </c>
      <c r="B235" s="8" t="s">
        <v>482</v>
      </c>
      <c r="C235" s="8" t="s">
        <v>136</v>
      </c>
      <c r="D235" s="8" t="n">
        <v>7</v>
      </c>
      <c r="E235" s="8" t="n">
        <v>476065</v>
      </c>
      <c r="F235" s="11" t="str">
        <f aca="false">INDEX(Caixas!$C:$C,MATCH(C235,Caixas!$A:$A,0))</f>
        <v>Inteira CBTBE</v>
      </c>
      <c r="G235" s="9" t="n">
        <v>0</v>
      </c>
      <c r="H235" s="9" t="n">
        <v>0</v>
      </c>
      <c r="I235" s="8" t="n">
        <f aca="false">IF(F235="Inteira CBP",D235,IF(OR(F235="Aberta",F235="Avulso"),G235,0))</f>
        <v>0</v>
      </c>
      <c r="J235" s="8" t="n">
        <f aca="false">IF(F235="Inteira CBTBE",D235,IF(OR(F235="Aberta",F235="Avulso"),H235,0))</f>
        <v>7</v>
      </c>
      <c r="K235" s="8" t="n">
        <f aca="false">D235-I235-J235</f>
        <v>0</v>
      </c>
    </row>
    <row r="236" customFormat="false" ht="15" hidden="false" customHeight="false" outlineLevel="0" collapsed="false">
      <c r="A236" s="8" t="s">
        <v>451</v>
      </c>
      <c r="B236" s="8" t="s">
        <v>452</v>
      </c>
      <c r="C236" s="8" t="s">
        <v>136</v>
      </c>
      <c r="D236" s="8" t="n">
        <v>24</v>
      </c>
      <c r="E236" s="8" t="n">
        <v>476043</v>
      </c>
      <c r="F236" s="11" t="str">
        <f aca="false">INDEX(Caixas!$C:$C,MATCH(C236,Caixas!$A:$A,0))</f>
        <v>Inteira CBTBE</v>
      </c>
      <c r="G236" s="9" t="n">
        <v>0</v>
      </c>
      <c r="H236" s="9" t="n">
        <v>0</v>
      </c>
      <c r="I236" s="8" t="n">
        <f aca="false">IF(F236="Inteira CBP",D236,IF(OR(F236="Aberta",F236="Avulso"),G236,0))</f>
        <v>0</v>
      </c>
      <c r="J236" s="8" t="n">
        <f aca="false">IF(F236="Inteira CBTBE",D236,IF(OR(F236="Aberta",F236="Avulso"),H236,0))</f>
        <v>24</v>
      </c>
      <c r="K236" s="8" t="n">
        <f aca="false">D236-I236-J236</f>
        <v>0</v>
      </c>
    </row>
    <row r="237" customFormat="false" ht="15" hidden="false" customHeight="false" outlineLevel="0" collapsed="false">
      <c r="A237" s="8" t="s">
        <v>503</v>
      </c>
      <c r="B237" s="8" t="s">
        <v>504</v>
      </c>
      <c r="C237" s="8" t="s">
        <v>137</v>
      </c>
      <c r="D237" s="8" t="n">
        <v>8</v>
      </c>
      <c r="E237" s="8" t="n">
        <v>476061</v>
      </c>
      <c r="F237" s="11" t="str">
        <f aca="false">INDEX(Caixas!$C:$C,MATCH(C237,Caixas!$A:$A,0))</f>
        <v>Devolução fechada</v>
      </c>
      <c r="G237" s="9" t="n">
        <v>0</v>
      </c>
      <c r="H237" s="9" t="n">
        <v>0</v>
      </c>
      <c r="I237" s="8" t="n">
        <f aca="false">IF(F237="Inteira CBP",D237,IF(OR(F237="Aberta",F237="Avulso"),G237,0))</f>
        <v>0</v>
      </c>
      <c r="J237" s="8" t="n">
        <f aca="false">IF(F237="Inteira CBTBE",D237,IF(OR(F237="Aberta",F237="Avulso"),H237,0))</f>
        <v>0</v>
      </c>
      <c r="K237" s="8" t="n">
        <f aca="false">D237-I237-J237</f>
        <v>8</v>
      </c>
    </row>
    <row r="238" customFormat="false" ht="15" hidden="false" customHeight="false" outlineLevel="0" collapsed="false">
      <c r="A238" s="8" t="s">
        <v>481</v>
      </c>
      <c r="B238" s="8" t="s">
        <v>482</v>
      </c>
      <c r="C238" s="8" t="s">
        <v>137</v>
      </c>
      <c r="D238" s="8" t="n">
        <v>7</v>
      </c>
      <c r="E238" s="8" t="n">
        <v>476065</v>
      </c>
      <c r="F238" s="11" t="str">
        <f aca="false">INDEX(Caixas!$C:$C,MATCH(C238,Caixas!$A:$A,0))</f>
        <v>Devolução fechada</v>
      </c>
      <c r="G238" s="9" t="n">
        <v>0</v>
      </c>
      <c r="H238" s="9" t="n">
        <v>0</v>
      </c>
      <c r="I238" s="8" t="n">
        <f aca="false">IF(F238="Inteira CBP",D238,IF(OR(F238="Aberta",F238="Avulso"),G238,0))</f>
        <v>0</v>
      </c>
      <c r="J238" s="8" t="n">
        <f aca="false">IF(F238="Inteira CBTBE",D238,IF(OR(F238="Aberta",F238="Avulso"),H238,0))</f>
        <v>0</v>
      </c>
      <c r="K238" s="8" t="n">
        <f aca="false">D238-I238-J238</f>
        <v>7</v>
      </c>
    </row>
    <row r="239" customFormat="false" ht="15" hidden="false" customHeight="false" outlineLevel="0" collapsed="false">
      <c r="A239" s="8" t="s">
        <v>499</v>
      </c>
      <c r="B239" s="8" t="s">
        <v>500</v>
      </c>
      <c r="C239" s="8" t="s">
        <v>137</v>
      </c>
      <c r="D239" s="8" t="n">
        <v>5</v>
      </c>
      <c r="E239" s="8" t="n">
        <v>476043</v>
      </c>
      <c r="F239" s="11" t="str">
        <f aca="false">INDEX(Caixas!$C:$C,MATCH(C239,Caixas!$A:$A,0))</f>
        <v>Devolução fechada</v>
      </c>
      <c r="G239" s="9" t="n">
        <v>0</v>
      </c>
      <c r="H239" s="9" t="n">
        <v>0</v>
      </c>
      <c r="I239" s="8" t="n">
        <f aca="false">IF(F239="Inteira CBP",D239,IF(OR(F239="Aberta",F239="Avulso"),G239,0))</f>
        <v>0</v>
      </c>
      <c r="J239" s="8" t="n">
        <f aca="false">IF(F239="Inteira CBTBE",D239,IF(OR(F239="Aberta",F239="Avulso"),H239,0))</f>
        <v>0</v>
      </c>
      <c r="K239" s="8" t="n">
        <f aca="false">D239-I239-J239</f>
        <v>5</v>
      </c>
    </row>
    <row r="240" customFormat="false" ht="15" hidden="false" customHeight="false" outlineLevel="0" collapsed="false">
      <c r="A240" s="8" t="s">
        <v>503</v>
      </c>
      <c r="B240" s="8" t="s">
        <v>504</v>
      </c>
      <c r="C240" s="8" t="s">
        <v>138</v>
      </c>
      <c r="D240" s="8" t="n">
        <v>8</v>
      </c>
      <c r="E240" s="8" t="n">
        <v>476061</v>
      </c>
      <c r="F240" s="11" t="str">
        <f aca="false">INDEX(Caixas!$C:$C,MATCH(C240,Caixas!$A:$A,0))</f>
        <v>Inteira CBP</v>
      </c>
      <c r="G240" s="9" t="n">
        <v>0</v>
      </c>
      <c r="H240" s="9" t="n">
        <v>0</v>
      </c>
      <c r="I240" s="8" t="n">
        <f aca="false">IF(F240="Inteira CBP",D240,IF(OR(F240="Aberta",F240="Avulso"),G240,0))</f>
        <v>8</v>
      </c>
      <c r="J240" s="8" t="n">
        <f aca="false">IF(F240="Inteira CBTBE",D240,IF(OR(F240="Aberta",F240="Avulso"),H240,0))</f>
        <v>0</v>
      </c>
      <c r="K240" s="8" t="n">
        <f aca="false">D240-I240-J240</f>
        <v>0</v>
      </c>
    </row>
    <row r="241" customFormat="false" ht="15" hidden="false" customHeight="false" outlineLevel="0" collapsed="false">
      <c r="A241" s="8" t="s">
        <v>499</v>
      </c>
      <c r="B241" s="8" t="s">
        <v>500</v>
      </c>
      <c r="C241" s="8" t="s">
        <v>138</v>
      </c>
      <c r="D241" s="8" t="n">
        <v>5</v>
      </c>
      <c r="E241" s="8" t="n">
        <v>476043</v>
      </c>
      <c r="F241" s="11" t="str">
        <f aca="false">INDEX(Caixas!$C:$C,MATCH(C241,Caixas!$A:$A,0))</f>
        <v>Inteira CBP</v>
      </c>
      <c r="G241" s="9" t="n">
        <v>0</v>
      </c>
      <c r="H241" s="9" t="n">
        <v>0</v>
      </c>
      <c r="I241" s="8" t="n">
        <f aca="false">IF(F241="Inteira CBP",D241,IF(OR(F241="Aberta",F241="Avulso"),G241,0))</f>
        <v>5</v>
      </c>
      <c r="J241" s="8" t="n">
        <f aca="false">IF(F241="Inteira CBTBE",D241,IF(OR(F241="Aberta",F241="Avulso"),H241,0))</f>
        <v>0</v>
      </c>
      <c r="K241" s="8" t="n">
        <f aca="false">D241-I241-J241</f>
        <v>0</v>
      </c>
    </row>
    <row r="242" customFormat="false" ht="15" hidden="false" customHeight="false" outlineLevel="0" collapsed="false">
      <c r="A242" s="8" t="s">
        <v>503</v>
      </c>
      <c r="B242" s="8" t="s">
        <v>504</v>
      </c>
      <c r="C242" s="8" t="s">
        <v>140</v>
      </c>
      <c r="D242" s="8" t="n">
        <v>8</v>
      </c>
      <c r="E242" s="8" t="n">
        <v>476061</v>
      </c>
      <c r="F242" s="11" t="str">
        <f aca="false">INDEX(Caixas!$C:$C,MATCH(C242,Caixas!$A:$A,0))</f>
        <v>Inteira CBP</v>
      </c>
      <c r="G242" s="9" t="n">
        <v>0</v>
      </c>
      <c r="H242" s="9" t="n">
        <v>0</v>
      </c>
      <c r="I242" s="8" t="n">
        <f aca="false">IF(F242="Inteira CBP",D242,IF(OR(F242="Aberta",F242="Avulso"),G242,0))</f>
        <v>8</v>
      </c>
      <c r="J242" s="8" t="n">
        <f aca="false">IF(F242="Inteira CBTBE",D242,IF(OR(F242="Aberta",F242="Avulso"),H242,0))</f>
        <v>0</v>
      </c>
      <c r="K242" s="8" t="n">
        <f aca="false">D242-I242-J242</f>
        <v>0</v>
      </c>
    </row>
    <row r="243" customFormat="false" ht="15" hidden="false" customHeight="false" outlineLevel="0" collapsed="false">
      <c r="A243" s="8" t="s">
        <v>499</v>
      </c>
      <c r="B243" s="8" t="s">
        <v>500</v>
      </c>
      <c r="C243" s="8" t="s">
        <v>140</v>
      </c>
      <c r="D243" s="8" t="n">
        <v>5</v>
      </c>
      <c r="E243" s="8" t="n">
        <v>476043</v>
      </c>
      <c r="F243" s="11" t="str">
        <f aca="false">INDEX(Caixas!$C:$C,MATCH(C243,Caixas!$A:$A,0))</f>
        <v>Inteira CBP</v>
      </c>
      <c r="G243" s="9" t="n">
        <v>0</v>
      </c>
      <c r="H243" s="9" t="n">
        <v>0</v>
      </c>
      <c r="I243" s="8" t="n">
        <f aca="false">IF(F243="Inteira CBP",D243,IF(OR(F243="Aberta",F243="Avulso"),G243,0))</f>
        <v>5</v>
      </c>
      <c r="J243" s="8" t="n">
        <f aca="false">IF(F243="Inteira CBTBE",D243,IF(OR(F243="Aberta",F243="Avulso"),H243,0))</f>
        <v>0</v>
      </c>
      <c r="K243" s="8" t="n">
        <f aca="false">D243-I243-J243</f>
        <v>0</v>
      </c>
    </row>
    <row r="244" customFormat="false" ht="15" hidden="false" customHeight="false" outlineLevel="0" collapsed="false">
      <c r="A244" s="8" t="s">
        <v>503</v>
      </c>
      <c r="B244" s="8" t="s">
        <v>504</v>
      </c>
      <c r="C244" s="8" t="s">
        <v>141</v>
      </c>
      <c r="D244" s="8" t="n">
        <v>8</v>
      </c>
      <c r="E244" s="8" t="n">
        <v>476061</v>
      </c>
      <c r="F244" s="11" t="str">
        <f aca="false">INDEX(Caixas!$C:$C,MATCH(C244,Caixas!$A:$A,0))</f>
        <v>Inteira CBP</v>
      </c>
      <c r="G244" s="9" t="n">
        <v>0</v>
      </c>
      <c r="H244" s="9" t="n">
        <v>0</v>
      </c>
      <c r="I244" s="8" t="n">
        <f aca="false">IF(F244="Inteira CBP",D244,IF(OR(F244="Aberta",F244="Avulso"),G244,0))</f>
        <v>8</v>
      </c>
      <c r="J244" s="8" t="n">
        <f aca="false">IF(F244="Inteira CBTBE",D244,IF(OR(F244="Aberta",F244="Avulso"),H244,0))</f>
        <v>0</v>
      </c>
      <c r="K244" s="8" t="n">
        <f aca="false">D244-I244-J244</f>
        <v>0</v>
      </c>
    </row>
    <row r="245" customFormat="false" ht="15" hidden="false" customHeight="false" outlineLevel="0" collapsed="false">
      <c r="A245" s="8" t="s">
        <v>499</v>
      </c>
      <c r="B245" s="8" t="s">
        <v>500</v>
      </c>
      <c r="C245" s="8" t="s">
        <v>141</v>
      </c>
      <c r="D245" s="8" t="n">
        <v>5</v>
      </c>
      <c r="E245" s="8" t="n">
        <v>476043</v>
      </c>
      <c r="F245" s="11" t="str">
        <f aca="false">INDEX(Caixas!$C:$C,MATCH(C245,Caixas!$A:$A,0))</f>
        <v>Inteira CBP</v>
      </c>
      <c r="G245" s="9" t="n">
        <v>0</v>
      </c>
      <c r="H245" s="9" t="n">
        <v>0</v>
      </c>
      <c r="I245" s="8" t="n">
        <f aca="false">IF(F245="Inteira CBP",D245,IF(OR(F245="Aberta",F245="Avulso"),G245,0))</f>
        <v>5</v>
      </c>
      <c r="J245" s="8" t="n">
        <f aca="false">IF(F245="Inteira CBTBE",D245,IF(OR(F245="Aberta",F245="Avulso"),H245,0))</f>
        <v>0</v>
      </c>
      <c r="K245" s="8" t="n">
        <f aca="false">D245-I245-J245</f>
        <v>0</v>
      </c>
    </row>
    <row r="246" customFormat="false" ht="15" hidden="false" customHeight="false" outlineLevel="0" collapsed="false">
      <c r="A246" s="8" t="s">
        <v>503</v>
      </c>
      <c r="B246" s="8" t="s">
        <v>504</v>
      </c>
      <c r="C246" s="8" t="s">
        <v>142</v>
      </c>
      <c r="D246" s="8" t="n">
        <v>8</v>
      </c>
      <c r="E246" s="8" t="n">
        <v>476061</v>
      </c>
      <c r="F246" s="11" t="str">
        <f aca="false">INDEX(Caixas!$C:$C,MATCH(C246,Caixas!$A:$A,0))</f>
        <v>Inteira CBP</v>
      </c>
      <c r="G246" s="9" t="n">
        <v>0</v>
      </c>
      <c r="H246" s="9" t="n">
        <v>0</v>
      </c>
      <c r="I246" s="8" t="n">
        <f aca="false">IF(F246="Inteira CBP",D246,IF(OR(F246="Aberta",F246="Avulso"),G246,0))</f>
        <v>8</v>
      </c>
      <c r="J246" s="8" t="n">
        <f aca="false">IF(F246="Inteira CBTBE",D246,IF(OR(F246="Aberta",F246="Avulso"),H246,0))</f>
        <v>0</v>
      </c>
      <c r="K246" s="8" t="n">
        <f aca="false">D246-I246-J246</f>
        <v>0</v>
      </c>
    </row>
    <row r="247" customFormat="false" ht="15" hidden="false" customHeight="false" outlineLevel="0" collapsed="false">
      <c r="A247" s="8" t="s">
        <v>499</v>
      </c>
      <c r="B247" s="8" t="s">
        <v>500</v>
      </c>
      <c r="C247" s="8" t="s">
        <v>142</v>
      </c>
      <c r="D247" s="8" t="n">
        <v>5</v>
      </c>
      <c r="E247" s="8" t="n">
        <v>476043</v>
      </c>
      <c r="F247" s="11" t="str">
        <f aca="false">INDEX(Caixas!$C:$C,MATCH(C247,Caixas!$A:$A,0))</f>
        <v>Inteira CBP</v>
      </c>
      <c r="G247" s="9" t="n">
        <v>0</v>
      </c>
      <c r="H247" s="9" t="n">
        <v>0</v>
      </c>
      <c r="I247" s="8" t="n">
        <f aca="false">IF(F247="Inteira CBP",D247,IF(OR(F247="Aberta",F247="Avulso"),G247,0))</f>
        <v>5</v>
      </c>
      <c r="J247" s="8" t="n">
        <f aca="false">IF(F247="Inteira CBTBE",D247,IF(OR(F247="Aberta",F247="Avulso"),H247,0))</f>
        <v>0</v>
      </c>
      <c r="K247" s="8" t="n">
        <f aca="false">D247-I247-J247</f>
        <v>0</v>
      </c>
    </row>
    <row r="248" customFormat="false" ht="15" hidden="false" customHeight="false" outlineLevel="0" collapsed="false">
      <c r="A248" s="8" t="s">
        <v>503</v>
      </c>
      <c r="B248" s="8" t="s">
        <v>504</v>
      </c>
      <c r="C248" s="8" t="s">
        <v>143</v>
      </c>
      <c r="D248" s="8" t="n">
        <v>8</v>
      </c>
      <c r="E248" s="8" t="n">
        <v>476061</v>
      </c>
      <c r="F248" s="11" t="str">
        <f aca="false">INDEX(Caixas!$C:$C,MATCH(C248,Caixas!$A:$A,0))</f>
        <v>Inteira CBP</v>
      </c>
      <c r="G248" s="9" t="n">
        <v>0</v>
      </c>
      <c r="H248" s="9" t="n">
        <v>0</v>
      </c>
      <c r="I248" s="8" t="n">
        <f aca="false">IF(F248="Inteira CBP",D248,IF(OR(F248="Aberta",F248="Avulso"),G248,0))</f>
        <v>8</v>
      </c>
      <c r="J248" s="8" t="n">
        <f aca="false">IF(F248="Inteira CBTBE",D248,IF(OR(F248="Aberta",F248="Avulso"),H248,0))</f>
        <v>0</v>
      </c>
      <c r="K248" s="8" t="n">
        <f aca="false">D248-I248-J248</f>
        <v>0</v>
      </c>
    </row>
    <row r="249" customFormat="false" ht="15" hidden="false" customHeight="false" outlineLevel="0" collapsed="false">
      <c r="A249" s="8" t="s">
        <v>499</v>
      </c>
      <c r="B249" s="8" t="s">
        <v>500</v>
      </c>
      <c r="C249" s="8" t="s">
        <v>143</v>
      </c>
      <c r="D249" s="8" t="n">
        <v>5</v>
      </c>
      <c r="E249" s="8" t="n">
        <v>476043</v>
      </c>
      <c r="F249" s="11" t="str">
        <f aca="false">INDEX(Caixas!$C:$C,MATCH(C249,Caixas!$A:$A,0))</f>
        <v>Inteira CBP</v>
      </c>
      <c r="G249" s="9" t="n">
        <v>0</v>
      </c>
      <c r="H249" s="9" t="n">
        <v>0</v>
      </c>
      <c r="I249" s="8" t="n">
        <f aca="false">IF(F249="Inteira CBP",D249,IF(OR(F249="Aberta",F249="Avulso"),G249,0))</f>
        <v>5</v>
      </c>
      <c r="J249" s="8" t="n">
        <f aca="false">IF(F249="Inteira CBTBE",D249,IF(OR(F249="Aberta",F249="Avulso"),H249,0))</f>
        <v>0</v>
      </c>
      <c r="K249" s="8" t="n">
        <f aca="false">D249-I249-J249</f>
        <v>0</v>
      </c>
    </row>
    <row r="250" customFormat="false" ht="15" hidden="false" customHeight="false" outlineLevel="0" collapsed="false">
      <c r="A250" s="8" t="s">
        <v>503</v>
      </c>
      <c r="B250" s="8" t="s">
        <v>504</v>
      </c>
      <c r="C250" s="8" t="s">
        <v>144</v>
      </c>
      <c r="D250" s="8" t="n">
        <v>8</v>
      </c>
      <c r="E250" s="8" t="n">
        <v>476061</v>
      </c>
      <c r="F250" s="11" t="str">
        <f aca="false">INDEX(Caixas!$C:$C,MATCH(C250,Caixas!$A:$A,0))</f>
        <v>Inteira CBP</v>
      </c>
      <c r="G250" s="9" t="n">
        <v>0</v>
      </c>
      <c r="H250" s="9" t="n">
        <v>0</v>
      </c>
      <c r="I250" s="8" t="n">
        <f aca="false">IF(F250="Inteira CBP",D250,IF(OR(F250="Aberta",F250="Avulso"),G250,0))</f>
        <v>8</v>
      </c>
      <c r="J250" s="8" t="n">
        <f aca="false">IF(F250="Inteira CBTBE",D250,IF(OR(F250="Aberta",F250="Avulso"),H250,0))</f>
        <v>0</v>
      </c>
      <c r="K250" s="8" t="n">
        <f aca="false">D250-I250-J250</f>
        <v>0</v>
      </c>
    </row>
    <row r="251" customFormat="false" ht="15" hidden="false" customHeight="false" outlineLevel="0" collapsed="false">
      <c r="A251" s="8" t="s">
        <v>499</v>
      </c>
      <c r="B251" s="8" t="s">
        <v>500</v>
      </c>
      <c r="C251" s="8" t="s">
        <v>144</v>
      </c>
      <c r="D251" s="8" t="n">
        <v>5</v>
      </c>
      <c r="E251" s="8" t="n">
        <v>476043</v>
      </c>
      <c r="F251" s="11" t="str">
        <f aca="false">INDEX(Caixas!$C:$C,MATCH(C251,Caixas!$A:$A,0))</f>
        <v>Inteira CBP</v>
      </c>
      <c r="G251" s="9" t="n">
        <v>0</v>
      </c>
      <c r="H251" s="9" t="n">
        <v>0</v>
      </c>
      <c r="I251" s="8" t="n">
        <f aca="false">IF(F251="Inteira CBP",D251,IF(OR(F251="Aberta",F251="Avulso"),G251,0))</f>
        <v>5</v>
      </c>
      <c r="J251" s="8" t="n">
        <f aca="false">IF(F251="Inteira CBTBE",D251,IF(OR(F251="Aberta",F251="Avulso"),H251,0))</f>
        <v>0</v>
      </c>
      <c r="K251" s="8" t="n">
        <f aca="false">D251-I251-J251</f>
        <v>0</v>
      </c>
    </row>
    <row r="252" customFormat="false" ht="15" hidden="false" customHeight="false" outlineLevel="0" collapsed="false">
      <c r="A252" s="8" t="s">
        <v>503</v>
      </c>
      <c r="B252" s="8" t="s">
        <v>504</v>
      </c>
      <c r="C252" s="8" t="s">
        <v>145</v>
      </c>
      <c r="D252" s="8" t="n">
        <v>8</v>
      </c>
      <c r="E252" s="8" t="n">
        <v>476061</v>
      </c>
      <c r="F252" s="11" t="str">
        <f aca="false">INDEX(Caixas!$C:$C,MATCH(C252,Caixas!$A:$A,0))</f>
        <v>Inteira CBP</v>
      </c>
      <c r="G252" s="9" t="n">
        <v>0</v>
      </c>
      <c r="H252" s="9" t="n">
        <v>0</v>
      </c>
      <c r="I252" s="8" t="n">
        <f aca="false">IF(F252="Inteira CBP",D252,IF(OR(F252="Aberta",F252="Avulso"),G252,0))</f>
        <v>8</v>
      </c>
      <c r="J252" s="8" t="n">
        <f aca="false">IF(F252="Inteira CBTBE",D252,IF(OR(F252="Aberta",F252="Avulso"),H252,0))</f>
        <v>0</v>
      </c>
      <c r="K252" s="8" t="n">
        <f aca="false">D252-I252-J252</f>
        <v>0</v>
      </c>
    </row>
    <row r="253" customFormat="false" ht="15" hidden="false" customHeight="false" outlineLevel="0" collapsed="false">
      <c r="A253" s="8" t="s">
        <v>499</v>
      </c>
      <c r="B253" s="8" t="s">
        <v>500</v>
      </c>
      <c r="C253" s="8" t="s">
        <v>145</v>
      </c>
      <c r="D253" s="8" t="n">
        <v>5</v>
      </c>
      <c r="E253" s="8" t="n">
        <v>476043</v>
      </c>
      <c r="F253" s="11" t="str">
        <f aca="false">INDEX(Caixas!$C:$C,MATCH(C253,Caixas!$A:$A,0))</f>
        <v>Inteira CBP</v>
      </c>
      <c r="G253" s="9" t="n">
        <v>0</v>
      </c>
      <c r="H253" s="9" t="n">
        <v>0</v>
      </c>
      <c r="I253" s="8" t="n">
        <f aca="false">IF(F253="Inteira CBP",D253,IF(OR(F253="Aberta",F253="Avulso"),G253,0))</f>
        <v>5</v>
      </c>
      <c r="J253" s="8" t="n">
        <f aca="false">IF(F253="Inteira CBTBE",D253,IF(OR(F253="Aberta",F253="Avulso"),H253,0))</f>
        <v>0</v>
      </c>
      <c r="K253" s="8" t="n">
        <f aca="false">D253-I253-J253</f>
        <v>0</v>
      </c>
    </row>
    <row r="254" customFormat="false" ht="15" hidden="false" customHeight="false" outlineLevel="0" collapsed="false">
      <c r="A254" s="8" t="s">
        <v>503</v>
      </c>
      <c r="B254" s="8" t="s">
        <v>504</v>
      </c>
      <c r="C254" s="8" t="s">
        <v>146</v>
      </c>
      <c r="D254" s="8" t="n">
        <v>8</v>
      </c>
      <c r="E254" s="8" t="n">
        <v>476061</v>
      </c>
      <c r="F254" s="11" t="str">
        <f aca="false">INDEX(Caixas!$C:$C,MATCH(C254,Caixas!$A:$A,0))</f>
        <v>Inteira CBP</v>
      </c>
      <c r="G254" s="9" t="n">
        <v>0</v>
      </c>
      <c r="H254" s="9" t="n">
        <v>0</v>
      </c>
      <c r="I254" s="8" t="n">
        <f aca="false">IF(F254="Inteira CBP",D254,IF(OR(F254="Aberta",F254="Avulso"),G254,0))</f>
        <v>8</v>
      </c>
      <c r="J254" s="8" t="n">
        <f aca="false">IF(F254="Inteira CBTBE",D254,IF(OR(F254="Aberta",F254="Avulso"),H254,0))</f>
        <v>0</v>
      </c>
      <c r="K254" s="8" t="n">
        <f aca="false">D254-I254-J254</f>
        <v>0</v>
      </c>
    </row>
    <row r="255" customFormat="false" ht="15" hidden="false" customHeight="false" outlineLevel="0" collapsed="false">
      <c r="A255" s="8" t="s">
        <v>499</v>
      </c>
      <c r="B255" s="8" t="s">
        <v>500</v>
      </c>
      <c r="C255" s="8" t="s">
        <v>146</v>
      </c>
      <c r="D255" s="8" t="n">
        <v>5</v>
      </c>
      <c r="E255" s="8" t="n">
        <v>476043</v>
      </c>
      <c r="F255" s="11" t="str">
        <f aca="false">INDEX(Caixas!$C:$C,MATCH(C255,Caixas!$A:$A,0))</f>
        <v>Inteira CBP</v>
      </c>
      <c r="G255" s="9" t="n">
        <v>0</v>
      </c>
      <c r="H255" s="9" t="n">
        <v>0</v>
      </c>
      <c r="I255" s="8" t="n">
        <f aca="false">IF(F255="Inteira CBP",D255,IF(OR(F255="Aberta",F255="Avulso"),G255,0))</f>
        <v>5</v>
      </c>
      <c r="J255" s="8" t="n">
        <f aca="false">IF(F255="Inteira CBTBE",D255,IF(OR(F255="Aberta",F255="Avulso"),H255,0))</f>
        <v>0</v>
      </c>
      <c r="K255" s="8" t="n">
        <f aca="false">D255-I255-J255</f>
        <v>0</v>
      </c>
    </row>
    <row r="256" customFormat="false" ht="15" hidden="false" customHeight="false" outlineLevel="0" collapsed="false">
      <c r="A256" s="8" t="s">
        <v>503</v>
      </c>
      <c r="B256" s="8" t="s">
        <v>504</v>
      </c>
      <c r="C256" s="8" t="s">
        <v>147</v>
      </c>
      <c r="D256" s="8" t="n">
        <v>8</v>
      </c>
      <c r="E256" s="8" t="n">
        <v>476061</v>
      </c>
      <c r="F256" s="11" t="str">
        <f aca="false">INDEX(Caixas!$C:$C,MATCH(C256,Caixas!$A:$A,0))</f>
        <v>Inteira CBP</v>
      </c>
      <c r="G256" s="9" t="n">
        <v>0</v>
      </c>
      <c r="H256" s="9" t="n">
        <v>0</v>
      </c>
      <c r="I256" s="8" t="n">
        <f aca="false">IF(F256="Inteira CBP",D256,IF(OR(F256="Aberta",F256="Avulso"),G256,0))</f>
        <v>8</v>
      </c>
      <c r="J256" s="8" t="n">
        <f aca="false">IF(F256="Inteira CBTBE",D256,IF(OR(F256="Aberta",F256="Avulso"),H256,0))</f>
        <v>0</v>
      </c>
      <c r="K256" s="8" t="n">
        <f aca="false">D256-I256-J256</f>
        <v>0</v>
      </c>
    </row>
    <row r="257" customFormat="false" ht="15" hidden="false" customHeight="false" outlineLevel="0" collapsed="false">
      <c r="A257" s="8" t="s">
        <v>499</v>
      </c>
      <c r="B257" s="8" t="s">
        <v>500</v>
      </c>
      <c r="C257" s="8" t="s">
        <v>147</v>
      </c>
      <c r="D257" s="8" t="n">
        <v>5</v>
      </c>
      <c r="E257" s="8" t="n">
        <v>476043</v>
      </c>
      <c r="F257" s="11" t="str">
        <f aca="false">INDEX(Caixas!$C:$C,MATCH(C257,Caixas!$A:$A,0))</f>
        <v>Inteira CBP</v>
      </c>
      <c r="G257" s="9" t="n">
        <v>0</v>
      </c>
      <c r="H257" s="9" t="n">
        <v>0</v>
      </c>
      <c r="I257" s="8" t="n">
        <f aca="false">IF(F257="Inteira CBP",D257,IF(OR(F257="Aberta",F257="Avulso"),G257,0))</f>
        <v>5</v>
      </c>
      <c r="J257" s="8" t="n">
        <f aca="false">IF(F257="Inteira CBTBE",D257,IF(OR(F257="Aberta",F257="Avulso"),H257,0))</f>
        <v>0</v>
      </c>
      <c r="K257" s="8" t="n">
        <f aca="false">D257-I257-J257</f>
        <v>0</v>
      </c>
    </row>
    <row r="258" customFormat="false" ht="15" hidden="false" customHeight="false" outlineLevel="0" collapsed="false">
      <c r="A258" s="8" t="s">
        <v>505</v>
      </c>
      <c r="B258" s="8" t="s">
        <v>506</v>
      </c>
      <c r="C258" s="8" t="s">
        <v>147</v>
      </c>
      <c r="D258" s="8" t="n">
        <v>24</v>
      </c>
      <c r="E258" s="8" t="n">
        <v>476065</v>
      </c>
      <c r="F258" s="11" t="str">
        <f aca="false">INDEX(Caixas!$C:$C,MATCH(C258,Caixas!$A:$A,0))</f>
        <v>Inteira CBP</v>
      </c>
      <c r="G258" s="9" t="n">
        <v>0</v>
      </c>
      <c r="H258" s="9" t="n">
        <v>0</v>
      </c>
      <c r="I258" s="8" t="n">
        <f aca="false">IF(F258="Inteira CBP",D258,IF(OR(F258="Aberta",F258="Avulso"),G258,0))</f>
        <v>24</v>
      </c>
      <c r="J258" s="8" t="n">
        <f aca="false">IF(F258="Inteira CBTBE",D258,IF(OR(F258="Aberta",F258="Avulso"),H258,0))</f>
        <v>0</v>
      </c>
      <c r="K258" s="8" t="n">
        <f aca="false">D258-I258-J258</f>
        <v>0</v>
      </c>
    </row>
    <row r="259" customFormat="false" ht="15" hidden="false" customHeight="false" outlineLevel="0" collapsed="false">
      <c r="A259" s="8" t="s">
        <v>503</v>
      </c>
      <c r="B259" s="8" t="s">
        <v>504</v>
      </c>
      <c r="C259" s="8" t="s">
        <v>148</v>
      </c>
      <c r="D259" s="8" t="n">
        <v>8</v>
      </c>
      <c r="E259" s="8" t="n">
        <v>476061</v>
      </c>
      <c r="F259" s="11" t="str">
        <f aca="false">INDEX(Caixas!$C:$C,MATCH(C259,Caixas!$A:$A,0))</f>
        <v>Aberta</v>
      </c>
      <c r="G259" s="9" t="n">
        <v>3</v>
      </c>
      <c r="H259" s="9" t="n">
        <v>0</v>
      </c>
      <c r="I259" s="8" t="n">
        <f aca="false">IF(F259="Inteira CBP",D259,IF(OR(F259="Aberta",F259="Avulso"),G259,0))</f>
        <v>3</v>
      </c>
      <c r="J259" s="8" t="n">
        <f aca="false">IF(F259="Inteira CBTBE",D259,IF(OR(F259="Aberta",F259="Avulso"),H259,0))</f>
        <v>0</v>
      </c>
      <c r="K259" s="8" t="n">
        <f aca="false">D259-I259-J259</f>
        <v>5</v>
      </c>
    </row>
    <row r="260" customFormat="false" ht="15" hidden="false" customHeight="false" outlineLevel="0" collapsed="false">
      <c r="A260" s="8" t="s">
        <v>499</v>
      </c>
      <c r="B260" s="8" t="s">
        <v>500</v>
      </c>
      <c r="C260" s="8" t="s">
        <v>148</v>
      </c>
      <c r="D260" s="8" t="n">
        <v>5</v>
      </c>
      <c r="E260" s="8" t="n">
        <v>476043</v>
      </c>
      <c r="F260" s="11" t="str">
        <f aca="false">INDEX(Caixas!$C:$C,MATCH(C260,Caixas!$A:$A,0))</f>
        <v>Aberta</v>
      </c>
      <c r="G260" s="9" t="n">
        <v>0</v>
      </c>
      <c r="H260" s="9" t="n">
        <v>3</v>
      </c>
      <c r="I260" s="8" t="n">
        <f aca="false">IF(F260="Inteira CBP",D260,IF(OR(F260="Aberta",F260="Avulso"),G260,0))</f>
        <v>0</v>
      </c>
      <c r="J260" s="8" t="n">
        <f aca="false">IF(F260="Inteira CBTBE",D260,IF(OR(F260="Aberta",F260="Avulso"),H260,0))</f>
        <v>3</v>
      </c>
      <c r="K260" s="8" t="n">
        <f aca="false">D260-I260-J260</f>
        <v>2</v>
      </c>
    </row>
    <row r="261" customFormat="false" ht="15" hidden="false" customHeight="false" outlineLevel="0" collapsed="false">
      <c r="A261" s="8" t="s">
        <v>505</v>
      </c>
      <c r="B261" s="8" t="s">
        <v>506</v>
      </c>
      <c r="C261" s="8" t="s">
        <v>148</v>
      </c>
      <c r="D261" s="8" t="n">
        <v>24</v>
      </c>
      <c r="E261" s="8" t="n">
        <v>476065</v>
      </c>
      <c r="F261" s="11" t="str">
        <f aca="false">INDEX(Caixas!$C:$C,MATCH(C261,Caixas!$A:$A,0))</f>
        <v>Aberta</v>
      </c>
      <c r="G261" s="9" t="n">
        <v>8</v>
      </c>
      <c r="H261" s="9" t="n">
        <v>13</v>
      </c>
      <c r="I261" s="8" t="n">
        <f aca="false">IF(F261="Inteira CBP",D261,IF(OR(F261="Aberta",F261="Avulso"),G261,0))</f>
        <v>8</v>
      </c>
      <c r="J261" s="8" t="n">
        <f aca="false">IF(F261="Inteira CBTBE",D261,IF(OR(F261="Aberta",F261="Avulso"),H261,0))</f>
        <v>13</v>
      </c>
      <c r="K261" s="8" t="n">
        <f aca="false">D261-I261-J261</f>
        <v>3</v>
      </c>
    </row>
    <row r="262" customFormat="false" ht="15" hidden="false" customHeight="false" outlineLevel="0" collapsed="false">
      <c r="A262" s="8" t="s">
        <v>503</v>
      </c>
      <c r="B262" s="8" t="s">
        <v>504</v>
      </c>
      <c r="C262" s="8" t="s">
        <v>149</v>
      </c>
      <c r="D262" s="8" t="n">
        <v>8</v>
      </c>
      <c r="E262" s="8" t="n">
        <v>476061</v>
      </c>
      <c r="F262" s="11" t="str">
        <f aca="false">INDEX(Caixas!$C:$C,MATCH(C262,Caixas!$A:$A,0))</f>
        <v>Devolução fechada</v>
      </c>
      <c r="G262" s="9" t="n">
        <v>0</v>
      </c>
      <c r="H262" s="9" t="n">
        <v>0</v>
      </c>
      <c r="I262" s="8" t="n">
        <f aca="false">IF(F262="Inteira CBP",D262,IF(OR(F262="Aberta",F262="Avulso"),G262,0))</f>
        <v>0</v>
      </c>
      <c r="J262" s="8" t="n">
        <f aca="false">IF(F262="Inteira CBTBE",D262,IF(OR(F262="Aberta",F262="Avulso"),H262,0))</f>
        <v>0</v>
      </c>
      <c r="K262" s="8" t="n">
        <f aca="false">D262-I262-J262</f>
        <v>8</v>
      </c>
    </row>
    <row r="263" customFormat="false" ht="15" hidden="false" customHeight="false" outlineLevel="0" collapsed="false">
      <c r="A263" s="8" t="s">
        <v>499</v>
      </c>
      <c r="B263" s="8" t="s">
        <v>500</v>
      </c>
      <c r="C263" s="8" t="s">
        <v>149</v>
      </c>
      <c r="D263" s="8" t="n">
        <v>5</v>
      </c>
      <c r="E263" s="8" t="n">
        <v>476043</v>
      </c>
      <c r="F263" s="11" t="str">
        <f aca="false">INDEX(Caixas!$C:$C,MATCH(C263,Caixas!$A:$A,0))</f>
        <v>Devolução fechada</v>
      </c>
      <c r="G263" s="9" t="n">
        <v>0</v>
      </c>
      <c r="H263" s="9" t="n">
        <v>0</v>
      </c>
      <c r="I263" s="8" t="n">
        <f aca="false">IF(F263="Inteira CBP",D263,IF(OR(F263="Aberta",F263="Avulso"),G263,0))</f>
        <v>0</v>
      </c>
      <c r="J263" s="8" t="n">
        <f aca="false">IF(F263="Inteira CBTBE",D263,IF(OR(F263="Aberta",F263="Avulso"),H263,0))</f>
        <v>0</v>
      </c>
      <c r="K263" s="8" t="n">
        <f aca="false">D263-I263-J263</f>
        <v>5</v>
      </c>
    </row>
    <row r="264" customFormat="false" ht="15" hidden="false" customHeight="false" outlineLevel="0" collapsed="false">
      <c r="A264" s="8" t="s">
        <v>505</v>
      </c>
      <c r="B264" s="8" t="s">
        <v>506</v>
      </c>
      <c r="C264" s="8" t="s">
        <v>149</v>
      </c>
      <c r="D264" s="8" t="n">
        <v>24</v>
      </c>
      <c r="E264" s="8" t="n">
        <v>476065</v>
      </c>
      <c r="F264" s="11" t="str">
        <f aca="false">INDEX(Caixas!$C:$C,MATCH(C264,Caixas!$A:$A,0))</f>
        <v>Devolução fechada</v>
      </c>
      <c r="G264" s="9" t="n">
        <v>0</v>
      </c>
      <c r="H264" s="9" t="n">
        <v>0</v>
      </c>
      <c r="I264" s="8" t="n">
        <f aca="false">IF(F264="Inteira CBP",D264,IF(OR(F264="Aberta",F264="Avulso"),G264,0))</f>
        <v>0</v>
      </c>
      <c r="J264" s="8" t="n">
        <f aca="false">IF(F264="Inteira CBTBE",D264,IF(OR(F264="Aberta",F264="Avulso"),H264,0))</f>
        <v>0</v>
      </c>
      <c r="K264" s="8" t="n">
        <f aca="false">D264-I264-J264</f>
        <v>24</v>
      </c>
    </row>
    <row r="265" customFormat="false" ht="15" hidden="false" customHeight="false" outlineLevel="0" collapsed="false">
      <c r="A265" s="8" t="s">
        <v>503</v>
      </c>
      <c r="B265" s="8" t="s">
        <v>504</v>
      </c>
      <c r="C265" s="8" t="s">
        <v>150</v>
      </c>
      <c r="D265" s="8" t="n">
        <v>8</v>
      </c>
      <c r="E265" s="8" t="n">
        <v>476061</v>
      </c>
      <c r="F265" s="11" t="str">
        <f aca="false">INDEX(Caixas!$C:$C,MATCH(C265,Caixas!$A:$A,0))</f>
        <v>Devolução fechada</v>
      </c>
      <c r="G265" s="9" t="n">
        <v>0</v>
      </c>
      <c r="H265" s="9" t="n">
        <v>0</v>
      </c>
      <c r="I265" s="8" t="n">
        <f aca="false">IF(F265="Inteira CBP",D265,IF(OR(F265="Aberta",F265="Avulso"),G265,0))</f>
        <v>0</v>
      </c>
      <c r="J265" s="8" t="n">
        <f aca="false">IF(F265="Inteira CBTBE",D265,IF(OR(F265="Aberta",F265="Avulso"),H265,0))</f>
        <v>0</v>
      </c>
      <c r="K265" s="8" t="n">
        <f aca="false">D265-I265-J265</f>
        <v>8</v>
      </c>
    </row>
    <row r="266" customFormat="false" ht="15" hidden="false" customHeight="false" outlineLevel="0" collapsed="false">
      <c r="A266" s="8" t="s">
        <v>499</v>
      </c>
      <c r="B266" s="8" t="s">
        <v>500</v>
      </c>
      <c r="C266" s="8" t="s">
        <v>150</v>
      </c>
      <c r="D266" s="8" t="n">
        <v>5</v>
      </c>
      <c r="E266" s="8" t="n">
        <v>476043</v>
      </c>
      <c r="F266" s="11" t="str">
        <f aca="false">INDEX(Caixas!$C:$C,MATCH(C266,Caixas!$A:$A,0))</f>
        <v>Devolução fechada</v>
      </c>
      <c r="G266" s="9" t="n">
        <v>0</v>
      </c>
      <c r="H266" s="9" t="n">
        <v>0</v>
      </c>
      <c r="I266" s="8" t="n">
        <f aca="false">IF(F266="Inteira CBP",D266,IF(OR(F266="Aberta",F266="Avulso"),G266,0))</f>
        <v>0</v>
      </c>
      <c r="J266" s="8" t="n">
        <f aca="false">IF(F266="Inteira CBTBE",D266,IF(OR(F266="Aberta",F266="Avulso"),H266,0))</f>
        <v>0</v>
      </c>
      <c r="K266" s="8" t="n">
        <f aca="false">D266-I266-J266</f>
        <v>5</v>
      </c>
    </row>
    <row r="267" customFormat="false" ht="15" hidden="false" customHeight="false" outlineLevel="0" collapsed="false">
      <c r="A267" s="8" t="s">
        <v>505</v>
      </c>
      <c r="B267" s="8" t="s">
        <v>506</v>
      </c>
      <c r="C267" s="8" t="s">
        <v>150</v>
      </c>
      <c r="D267" s="8" t="n">
        <v>24</v>
      </c>
      <c r="E267" s="8" t="n">
        <v>476065</v>
      </c>
      <c r="F267" s="11" t="str">
        <f aca="false">INDEX(Caixas!$C:$C,MATCH(C267,Caixas!$A:$A,0))</f>
        <v>Devolução fechada</v>
      </c>
      <c r="G267" s="9" t="n">
        <v>0</v>
      </c>
      <c r="H267" s="9" t="n">
        <v>0</v>
      </c>
      <c r="I267" s="8" t="n">
        <f aca="false">IF(F267="Inteira CBP",D267,IF(OR(F267="Aberta",F267="Avulso"),G267,0))</f>
        <v>0</v>
      </c>
      <c r="J267" s="8" t="n">
        <f aca="false">IF(F267="Inteira CBTBE",D267,IF(OR(F267="Aberta",F267="Avulso"),H267,0))</f>
        <v>0</v>
      </c>
      <c r="K267" s="8" t="n">
        <f aca="false">D267-I267-J267</f>
        <v>24</v>
      </c>
    </row>
    <row r="268" customFormat="false" ht="15" hidden="false" customHeight="false" outlineLevel="0" collapsed="false">
      <c r="A268" s="8" t="s">
        <v>503</v>
      </c>
      <c r="B268" s="8" t="s">
        <v>504</v>
      </c>
      <c r="C268" s="8" t="s">
        <v>151</v>
      </c>
      <c r="D268" s="8" t="n">
        <v>8</v>
      </c>
      <c r="E268" s="8" t="n">
        <v>476061</v>
      </c>
      <c r="F268" s="11" t="str">
        <f aca="false">INDEX(Caixas!$C:$C,MATCH(C268,Caixas!$A:$A,0))</f>
        <v>Inteira CBP</v>
      </c>
      <c r="G268" s="9" t="n">
        <v>0</v>
      </c>
      <c r="H268" s="9" t="n">
        <v>0</v>
      </c>
      <c r="I268" s="8" t="n">
        <f aca="false">IF(F268="Inteira CBP",D268,IF(OR(F268="Aberta",F268="Avulso"),G268,0))</f>
        <v>8</v>
      </c>
      <c r="J268" s="8" t="n">
        <f aca="false">IF(F268="Inteira CBTBE",D268,IF(OR(F268="Aberta",F268="Avulso"),H268,0))</f>
        <v>0</v>
      </c>
      <c r="K268" s="8" t="n">
        <f aca="false">D268-I268-J268</f>
        <v>0</v>
      </c>
    </row>
    <row r="269" customFormat="false" ht="15" hidden="false" customHeight="false" outlineLevel="0" collapsed="false">
      <c r="A269" s="8" t="s">
        <v>499</v>
      </c>
      <c r="B269" s="8" t="s">
        <v>500</v>
      </c>
      <c r="C269" s="8" t="s">
        <v>151</v>
      </c>
      <c r="D269" s="8" t="n">
        <v>5</v>
      </c>
      <c r="E269" s="8" t="n">
        <v>476043</v>
      </c>
      <c r="F269" s="11" t="str">
        <f aca="false">INDEX(Caixas!$C:$C,MATCH(C269,Caixas!$A:$A,0))</f>
        <v>Inteira CBP</v>
      </c>
      <c r="G269" s="9" t="n">
        <v>0</v>
      </c>
      <c r="H269" s="9" t="n">
        <v>0</v>
      </c>
      <c r="I269" s="8" t="n">
        <f aca="false">IF(F269="Inteira CBP",D269,IF(OR(F269="Aberta",F269="Avulso"),G269,0))</f>
        <v>5</v>
      </c>
      <c r="J269" s="8" t="n">
        <f aca="false">IF(F269="Inteira CBTBE",D269,IF(OR(F269="Aberta",F269="Avulso"),H269,0))</f>
        <v>0</v>
      </c>
      <c r="K269" s="8" t="n">
        <f aca="false">D269-I269-J269</f>
        <v>0</v>
      </c>
    </row>
    <row r="270" customFormat="false" ht="15" hidden="false" customHeight="false" outlineLevel="0" collapsed="false">
      <c r="A270" s="8" t="s">
        <v>505</v>
      </c>
      <c r="B270" s="8" t="s">
        <v>506</v>
      </c>
      <c r="C270" s="8" t="s">
        <v>151</v>
      </c>
      <c r="D270" s="8" t="n">
        <v>24</v>
      </c>
      <c r="E270" s="8" t="n">
        <v>476065</v>
      </c>
      <c r="F270" s="11" t="str">
        <f aca="false">INDEX(Caixas!$C:$C,MATCH(C270,Caixas!$A:$A,0))</f>
        <v>Inteira CBP</v>
      </c>
      <c r="G270" s="9" t="n">
        <v>0</v>
      </c>
      <c r="H270" s="9" t="n">
        <v>0</v>
      </c>
      <c r="I270" s="8" t="n">
        <f aca="false">IF(F270="Inteira CBP",D270,IF(OR(F270="Aberta",F270="Avulso"),G270,0))</f>
        <v>24</v>
      </c>
      <c r="J270" s="8" t="n">
        <f aca="false">IF(F270="Inteira CBTBE",D270,IF(OR(F270="Aberta",F270="Avulso"),H270,0))</f>
        <v>0</v>
      </c>
      <c r="K270" s="8" t="n">
        <f aca="false">D270-I270-J270</f>
        <v>0</v>
      </c>
    </row>
    <row r="271" customFormat="false" ht="15" hidden="false" customHeight="false" outlineLevel="0" collapsed="false">
      <c r="A271" s="8" t="s">
        <v>503</v>
      </c>
      <c r="B271" s="8" t="s">
        <v>504</v>
      </c>
      <c r="C271" s="8" t="s">
        <v>152</v>
      </c>
      <c r="D271" s="8" t="n">
        <v>8</v>
      </c>
      <c r="E271" s="8" t="n">
        <v>476061</v>
      </c>
      <c r="F271" s="11" t="str">
        <f aca="false">INDEX(Caixas!$C:$C,MATCH(C271,Caixas!$A:$A,0))</f>
        <v>Inteira CBP</v>
      </c>
      <c r="G271" s="9" t="n">
        <v>0</v>
      </c>
      <c r="H271" s="9" t="n">
        <v>0</v>
      </c>
      <c r="I271" s="8" t="n">
        <f aca="false">IF(F271="Inteira CBP",D271,IF(OR(F271="Aberta",F271="Avulso"),G271,0))</f>
        <v>8</v>
      </c>
      <c r="J271" s="8" t="n">
        <f aca="false">IF(F271="Inteira CBTBE",D271,IF(OR(F271="Aberta",F271="Avulso"),H271,0))</f>
        <v>0</v>
      </c>
      <c r="K271" s="8" t="n">
        <f aca="false">D271-I271-J271</f>
        <v>0</v>
      </c>
    </row>
    <row r="272" customFormat="false" ht="15" hidden="false" customHeight="false" outlineLevel="0" collapsed="false">
      <c r="A272" s="8" t="s">
        <v>499</v>
      </c>
      <c r="B272" s="8" t="s">
        <v>500</v>
      </c>
      <c r="C272" s="8" t="s">
        <v>152</v>
      </c>
      <c r="D272" s="8" t="n">
        <v>5</v>
      </c>
      <c r="E272" s="8" t="n">
        <v>476043</v>
      </c>
      <c r="F272" s="11" t="str">
        <f aca="false">INDEX(Caixas!$C:$C,MATCH(C272,Caixas!$A:$A,0))</f>
        <v>Inteira CBP</v>
      </c>
      <c r="G272" s="9" t="n">
        <v>0</v>
      </c>
      <c r="H272" s="9" t="n">
        <v>0</v>
      </c>
      <c r="I272" s="8" t="n">
        <f aca="false">IF(F272="Inteira CBP",D272,IF(OR(F272="Aberta",F272="Avulso"),G272,0))</f>
        <v>5</v>
      </c>
      <c r="J272" s="8" t="n">
        <f aca="false">IF(F272="Inteira CBTBE",D272,IF(OR(F272="Aberta",F272="Avulso"),H272,0))</f>
        <v>0</v>
      </c>
      <c r="K272" s="8" t="n">
        <f aca="false">D272-I272-J272</f>
        <v>0</v>
      </c>
    </row>
    <row r="273" customFormat="false" ht="15" hidden="false" customHeight="false" outlineLevel="0" collapsed="false">
      <c r="A273" s="8" t="s">
        <v>507</v>
      </c>
      <c r="B273" s="8" t="s">
        <v>508</v>
      </c>
      <c r="C273" s="8" t="s">
        <v>152</v>
      </c>
      <c r="D273" s="8" t="n">
        <v>20</v>
      </c>
      <c r="E273" s="8" t="n">
        <v>476065</v>
      </c>
      <c r="F273" s="11" t="str">
        <f aca="false">INDEX(Caixas!$C:$C,MATCH(C273,Caixas!$A:$A,0))</f>
        <v>Inteira CBP</v>
      </c>
      <c r="G273" s="9" t="n">
        <v>0</v>
      </c>
      <c r="H273" s="9" t="n">
        <v>0</v>
      </c>
      <c r="I273" s="8" t="n">
        <f aca="false">IF(F273="Inteira CBP",D273,IF(OR(F273="Aberta",F273="Avulso"),G273,0))</f>
        <v>20</v>
      </c>
      <c r="J273" s="8" t="n">
        <f aca="false">IF(F273="Inteira CBTBE",D273,IF(OR(F273="Aberta",F273="Avulso"),H273,0))</f>
        <v>0</v>
      </c>
      <c r="K273" s="8" t="n">
        <f aca="false">D273-I273-J273</f>
        <v>0</v>
      </c>
    </row>
    <row r="274" customFormat="false" ht="15" hidden="false" customHeight="false" outlineLevel="0" collapsed="false">
      <c r="A274" s="8" t="s">
        <v>503</v>
      </c>
      <c r="B274" s="8" t="s">
        <v>504</v>
      </c>
      <c r="C274" s="8" t="s">
        <v>153</v>
      </c>
      <c r="D274" s="8" t="n">
        <v>8</v>
      </c>
      <c r="E274" s="8" t="n">
        <v>476061</v>
      </c>
      <c r="F274" s="11" t="str">
        <f aca="false">INDEX(Caixas!$C:$C,MATCH(C274,Caixas!$A:$A,0))</f>
        <v>Devolução fechada</v>
      </c>
      <c r="G274" s="9" t="n">
        <v>0</v>
      </c>
      <c r="H274" s="9" t="n">
        <v>0</v>
      </c>
      <c r="I274" s="8" t="n">
        <f aca="false">IF(F274="Inteira CBP",D274,IF(OR(F274="Aberta",F274="Avulso"),G274,0))</f>
        <v>0</v>
      </c>
      <c r="J274" s="8" t="n">
        <f aca="false">IF(F274="Inteira CBTBE",D274,IF(OR(F274="Aberta",F274="Avulso"),H274,0))</f>
        <v>0</v>
      </c>
      <c r="K274" s="8" t="n">
        <f aca="false">D274-I274-J274</f>
        <v>8</v>
      </c>
    </row>
    <row r="275" customFormat="false" ht="15" hidden="false" customHeight="false" outlineLevel="0" collapsed="false">
      <c r="A275" s="8" t="s">
        <v>499</v>
      </c>
      <c r="B275" s="8" t="s">
        <v>500</v>
      </c>
      <c r="C275" s="8" t="s">
        <v>153</v>
      </c>
      <c r="D275" s="8" t="n">
        <v>5</v>
      </c>
      <c r="E275" s="8" t="n">
        <v>476043</v>
      </c>
      <c r="F275" s="11" t="str">
        <f aca="false">INDEX(Caixas!$C:$C,MATCH(C275,Caixas!$A:$A,0))</f>
        <v>Devolução fechada</v>
      </c>
      <c r="G275" s="9" t="n">
        <v>0</v>
      </c>
      <c r="H275" s="9" t="n">
        <v>0</v>
      </c>
      <c r="I275" s="8" t="n">
        <f aca="false">IF(F275="Inteira CBP",D275,IF(OR(F275="Aberta",F275="Avulso"),G275,0))</f>
        <v>0</v>
      </c>
      <c r="J275" s="8" t="n">
        <f aca="false">IF(F275="Inteira CBTBE",D275,IF(OR(F275="Aberta",F275="Avulso"),H275,0))</f>
        <v>0</v>
      </c>
      <c r="K275" s="8" t="n">
        <f aca="false">D275-I275-J275</f>
        <v>5</v>
      </c>
    </row>
    <row r="276" customFormat="false" ht="15" hidden="false" customHeight="false" outlineLevel="0" collapsed="false">
      <c r="A276" s="8" t="s">
        <v>507</v>
      </c>
      <c r="B276" s="8" t="s">
        <v>508</v>
      </c>
      <c r="C276" s="8" t="s">
        <v>153</v>
      </c>
      <c r="D276" s="8" t="n">
        <v>20</v>
      </c>
      <c r="E276" s="8" t="n">
        <v>476065</v>
      </c>
      <c r="F276" s="11" t="str">
        <f aca="false">INDEX(Caixas!$C:$C,MATCH(C276,Caixas!$A:$A,0))</f>
        <v>Devolução fechada</v>
      </c>
      <c r="G276" s="9" t="n">
        <v>0</v>
      </c>
      <c r="H276" s="9" t="n">
        <v>0</v>
      </c>
      <c r="I276" s="8" t="n">
        <f aca="false">IF(F276="Inteira CBP",D276,IF(OR(F276="Aberta",F276="Avulso"),G276,0))</f>
        <v>0</v>
      </c>
      <c r="J276" s="8" t="n">
        <f aca="false">IF(F276="Inteira CBTBE",D276,IF(OR(F276="Aberta",F276="Avulso"),H276,0))</f>
        <v>0</v>
      </c>
      <c r="K276" s="8" t="n">
        <f aca="false">D276-I276-J276</f>
        <v>20</v>
      </c>
    </row>
    <row r="277" customFormat="false" ht="15" hidden="false" customHeight="false" outlineLevel="0" collapsed="false">
      <c r="A277" s="8" t="s">
        <v>503</v>
      </c>
      <c r="B277" s="8" t="s">
        <v>504</v>
      </c>
      <c r="C277" s="8" t="s">
        <v>154</v>
      </c>
      <c r="D277" s="8" t="n">
        <v>8</v>
      </c>
      <c r="E277" s="8" t="n">
        <v>476061</v>
      </c>
      <c r="F277" s="11" t="str">
        <f aca="false">INDEX(Caixas!$C:$C,MATCH(C277,Caixas!$A:$A,0))</f>
        <v>Inteira CBP</v>
      </c>
      <c r="G277" s="9" t="n">
        <v>0</v>
      </c>
      <c r="H277" s="9" t="n">
        <v>0</v>
      </c>
      <c r="I277" s="8" t="n">
        <f aca="false">IF(F277="Inteira CBP",D277,IF(OR(F277="Aberta",F277="Avulso"),G277,0))</f>
        <v>8</v>
      </c>
      <c r="J277" s="8" t="n">
        <f aca="false">IF(F277="Inteira CBTBE",D277,IF(OR(F277="Aberta",F277="Avulso"),H277,0))</f>
        <v>0</v>
      </c>
      <c r="K277" s="8" t="n">
        <f aca="false">D277-I277-J277</f>
        <v>0</v>
      </c>
    </row>
    <row r="278" customFormat="false" ht="15" hidden="false" customHeight="false" outlineLevel="0" collapsed="false">
      <c r="A278" s="8" t="s">
        <v>499</v>
      </c>
      <c r="B278" s="8" t="s">
        <v>500</v>
      </c>
      <c r="C278" s="8" t="s">
        <v>154</v>
      </c>
      <c r="D278" s="8" t="n">
        <v>5</v>
      </c>
      <c r="E278" s="8" t="n">
        <v>476043</v>
      </c>
      <c r="F278" s="11" t="str">
        <f aca="false">INDEX(Caixas!$C:$C,MATCH(C278,Caixas!$A:$A,0))</f>
        <v>Inteira CBP</v>
      </c>
      <c r="G278" s="9" t="n">
        <v>0</v>
      </c>
      <c r="H278" s="9" t="n">
        <v>0</v>
      </c>
      <c r="I278" s="8" t="n">
        <f aca="false">IF(F278="Inteira CBP",D278,IF(OR(F278="Aberta",F278="Avulso"),G278,0))</f>
        <v>5</v>
      </c>
      <c r="J278" s="8" t="n">
        <f aca="false">IF(F278="Inteira CBTBE",D278,IF(OR(F278="Aberta",F278="Avulso"),H278,0))</f>
        <v>0</v>
      </c>
      <c r="K278" s="8" t="n">
        <f aca="false">D278-I278-J278</f>
        <v>0</v>
      </c>
    </row>
    <row r="279" customFormat="false" ht="15" hidden="false" customHeight="false" outlineLevel="0" collapsed="false">
      <c r="A279" s="8" t="s">
        <v>507</v>
      </c>
      <c r="B279" s="8" t="s">
        <v>508</v>
      </c>
      <c r="C279" s="8" t="s">
        <v>154</v>
      </c>
      <c r="D279" s="8" t="n">
        <v>20</v>
      </c>
      <c r="E279" s="8" t="n">
        <v>476065</v>
      </c>
      <c r="F279" s="11" t="str">
        <f aca="false">INDEX(Caixas!$C:$C,MATCH(C279,Caixas!$A:$A,0))</f>
        <v>Inteira CBP</v>
      </c>
      <c r="G279" s="9" t="n">
        <v>0</v>
      </c>
      <c r="H279" s="9" t="n">
        <v>0</v>
      </c>
      <c r="I279" s="8" t="n">
        <f aca="false">IF(F279="Inteira CBP",D279,IF(OR(F279="Aberta",F279="Avulso"),G279,0))</f>
        <v>20</v>
      </c>
      <c r="J279" s="8" t="n">
        <f aca="false">IF(F279="Inteira CBTBE",D279,IF(OR(F279="Aberta",F279="Avulso"),H279,0))</f>
        <v>0</v>
      </c>
      <c r="K279" s="8" t="n">
        <f aca="false">D279-I279-J279</f>
        <v>0</v>
      </c>
    </row>
    <row r="280" customFormat="false" ht="15" hidden="false" customHeight="false" outlineLevel="0" collapsed="false">
      <c r="A280" s="8" t="s">
        <v>503</v>
      </c>
      <c r="B280" s="8" t="s">
        <v>504</v>
      </c>
      <c r="C280" s="8" t="s">
        <v>155</v>
      </c>
      <c r="D280" s="8" t="n">
        <v>8</v>
      </c>
      <c r="E280" s="8" t="n">
        <v>476061</v>
      </c>
      <c r="F280" s="11" t="str">
        <f aca="false">INDEX(Caixas!$C:$C,MATCH(C280,Caixas!$A:$A,0))</f>
        <v>Inteira CBP</v>
      </c>
      <c r="G280" s="9" t="n">
        <v>0</v>
      </c>
      <c r="H280" s="9" t="n">
        <v>0</v>
      </c>
      <c r="I280" s="8" t="n">
        <f aca="false">IF(F280="Inteira CBP",D280,IF(OR(F280="Aberta",F280="Avulso"),G280,0))</f>
        <v>8</v>
      </c>
      <c r="J280" s="8" t="n">
        <f aca="false">IF(F280="Inteira CBTBE",D280,IF(OR(F280="Aberta",F280="Avulso"),H280,0))</f>
        <v>0</v>
      </c>
      <c r="K280" s="8" t="n">
        <f aca="false">D280-I280-J280</f>
        <v>0</v>
      </c>
    </row>
    <row r="281" customFormat="false" ht="15" hidden="false" customHeight="false" outlineLevel="0" collapsed="false">
      <c r="A281" s="8" t="s">
        <v>499</v>
      </c>
      <c r="B281" s="8" t="s">
        <v>500</v>
      </c>
      <c r="C281" s="8" t="s">
        <v>155</v>
      </c>
      <c r="D281" s="8" t="n">
        <v>5</v>
      </c>
      <c r="E281" s="8" t="n">
        <v>476043</v>
      </c>
      <c r="F281" s="11" t="str">
        <f aca="false">INDEX(Caixas!$C:$C,MATCH(C281,Caixas!$A:$A,0))</f>
        <v>Inteira CBP</v>
      </c>
      <c r="G281" s="9" t="n">
        <v>0</v>
      </c>
      <c r="H281" s="9" t="n">
        <v>0</v>
      </c>
      <c r="I281" s="8" t="n">
        <f aca="false">IF(F281="Inteira CBP",D281,IF(OR(F281="Aberta",F281="Avulso"),G281,0))</f>
        <v>5</v>
      </c>
      <c r="J281" s="8" t="n">
        <f aca="false">IF(F281="Inteira CBTBE",D281,IF(OR(F281="Aberta",F281="Avulso"),H281,0))</f>
        <v>0</v>
      </c>
      <c r="K281" s="8" t="n">
        <f aca="false">D281-I281-J281</f>
        <v>0</v>
      </c>
    </row>
    <row r="282" customFormat="false" ht="15" hidden="false" customHeight="false" outlineLevel="0" collapsed="false">
      <c r="A282" s="8" t="s">
        <v>507</v>
      </c>
      <c r="B282" s="8" t="s">
        <v>508</v>
      </c>
      <c r="C282" s="8" t="s">
        <v>155</v>
      </c>
      <c r="D282" s="8" t="n">
        <v>20</v>
      </c>
      <c r="E282" s="8" t="n">
        <v>476065</v>
      </c>
      <c r="F282" s="11" t="str">
        <f aca="false">INDEX(Caixas!$C:$C,MATCH(C282,Caixas!$A:$A,0))</f>
        <v>Inteira CBP</v>
      </c>
      <c r="G282" s="9" t="n">
        <v>0</v>
      </c>
      <c r="H282" s="9" t="n">
        <v>0</v>
      </c>
      <c r="I282" s="8" t="n">
        <f aca="false">IF(F282="Inteira CBP",D282,IF(OR(F282="Aberta",F282="Avulso"),G282,0))</f>
        <v>20</v>
      </c>
      <c r="J282" s="8" t="n">
        <f aca="false">IF(F282="Inteira CBTBE",D282,IF(OR(F282="Aberta",F282="Avulso"),H282,0))</f>
        <v>0</v>
      </c>
      <c r="K282" s="8" t="n">
        <f aca="false">D282-I282-J282</f>
        <v>0</v>
      </c>
    </row>
    <row r="283" customFormat="false" ht="15" hidden="false" customHeight="false" outlineLevel="0" collapsed="false">
      <c r="A283" s="8" t="s">
        <v>509</v>
      </c>
      <c r="B283" s="8" t="s">
        <v>510</v>
      </c>
      <c r="C283" s="8" t="s">
        <v>156</v>
      </c>
      <c r="D283" s="8" t="n">
        <v>38</v>
      </c>
      <c r="E283" s="8" t="n">
        <v>476061</v>
      </c>
      <c r="F283" s="11" t="str">
        <f aca="false">INDEX(Caixas!$C:$C,MATCH(C283,Caixas!$A:$A,0))</f>
        <v>Aberta</v>
      </c>
      <c r="G283" s="9" t="n">
        <v>0</v>
      </c>
      <c r="H283" s="9" t="n">
        <v>17</v>
      </c>
      <c r="I283" s="8" t="n">
        <f aca="false">IF(F283="Inteira CBP",D283,IF(OR(F283="Aberta",F283="Avulso"),G283,0))</f>
        <v>0</v>
      </c>
      <c r="J283" s="8" t="n">
        <f aca="false">IF(F283="Inteira CBTBE",D283,IF(OR(F283="Aberta",F283="Avulso"),H283,0))</f>
        <v>17</v>
      </c>
      <c r="K283" s="8" t="n">
        <f aca="false">D283-I283-J283</f>
        <v>21</v>
      </c>
    </row>
    <row r="284" customFormat="false" ht="15" hidden="false" customHeight="false" outlineLevel="0" collapsed="false">
      <c r="A284" s="8" t="s">
        <v>499</v>
      </c>
      <c r="B284" s="8" t="s">
        <v>500</v>
      </c>
      <c r="C284" s="8" t="s">
        <v>156</v>
      </c>
      <c r="D284" s="8" t="n">
        <v>5</v>
      </c>
      <c r="E284" s="8" t="n">
        <v>476043</v>
      </c>
      <c r="F284" s="11" t="str">
        <f aca="false">INDEX(Caixas!$C:$C,MATCH(C284,Caixas!$A:$A,0))</f>
        <v>Aberta</v>
      </c>
      <c r="G284" s="9" t="n">
        <v>0</v>
      </c>
      <c r="H284" s="9" t="n">
        <v>5</v>
      </c>
      <c r="I284" s="8" t="n">
        <f aca="false">IF(F284="Inteira CBP",D284,IF(OR(F284="Aberta",F284="Avulso"),G284,0))</f>
        <v>0</v>
      </c>
      <c r="J284" s="8" t="n">
        <f aca="false">IF(F284="Inteira CBTBE",D284,IF(OR(F284="Aberta",F284="Avulso"),H284,0))</f>
        <v>5</v>
      </c>
      <c r="K284" s="8" t="n">
        <f aca="false">D284-I284-J284</f>
        <v>0</v>
      </c>
    </row>
    <row r="285" customFormat="false" ht="15" hidden="false" customHeight="false" outlineLevel="0" collapsed="false">
      <c r="A285" s="8" t="s">
        <v>507</v>
      </c>
      <c r="B285" s="8" t="s">
        <v>508</v>
      </c>
      <c r="C285" s="8" t="s">
        <v>156</v>
      </c>
      <c r="D285" s="8" t="n">
        <v>20</v>
      </c>
      <c r="E285" s="8" t="n">
        <v>476065</v>
      </c>
      <c r="F285" s="11" t="str">
        <f aca="false">INDEX(Caixas!$C:$C,MATCH(C285,Caixas!$A:$A,0))</f>
        <v>Aberta</v>
      </c>
      <c r="G285" s="9" t="n">
        <v>10</v>
      </c>
      <c r="H285" s="9" t="n">
        <v>0</v>
      </c>
      <c r="I285" s="8" t="n">
        <f aca="false">IF(F285="Inteira CBP",D285,IF(OR(F285="Aberta",F285="Avulso"),G285,0))</f>
        <v>10</v>
      </c>
      <c r="J285" s="8" t="n">
        <f aca="false">IF(F285="Inteira CBTBE",D285,IF(OR(F285="Aberta",F285="Avulso"),H285,0))</f>
        <v>0</v>
      </c>
      <c r="K285" s="8" t="n">
        <f aca="false">D285-I285-J285</f>
        <v>10</v>
      </c>
    </row>
    <row r="286" customFormat="false" ht="15" hidden="false" customHeight="false" outlineLevel="0" collapsed="false">
      <c r="A286" s="8" t="s">
        <v>509</v>
      </c>
      <c r="B286" s="8" t="s">
        <v>510</v>
      </c>
      <c r="C286" s="8" t="s">
        <v>157</v>
      </c>
      <c r="D286" s="8" t="n">
        <v>38</v>
      </c>
      <c r="E286" s="8" t="n">
        <v>476061</v>
      </c>
      <c r="F286" s="11" t="str">
        <f aca="false">INDEX(Caixas!$C:$C,MATCH(C286,Caixas!$A:$A,0))</f>
        <v>Devolução fechada</v>
      </c>
      <c r="G286" s="9" t="n">
        <v>0</v>
      </c>
      <c r="H286" s="9" t="n">
        <v>0</v>
      </c>
      <c r="I286" s="8" t="n">
        <f aca="false">IF(F286="Inteira CBP",D286,IF(OR(F286="Aberta",F286="Avulso"),G286,0))</f>
        <v>0</v>
      </c>
      <c r="J286" s="8" t="n">
        <f aca="false">IF(F286="Inteira CBTBE",D286,IF(OR(F286="Aberta",F286="Avulso"),H286,0))</f>
        <v>0</v>
      </c>
      <c r="K286" s="8" t="n">
        <f aca="false">D286-I286-J286</f>
        <v>38</v>
      </c>
    </row>
    <row r="287" customFormat="false" ht="15" hidden="false" customHeight="false" outlineLevel="0" collapsed="false">
      <c r="A287" s="8" t="s">
        <v>499</v>
      </c>
      <c r="B287" s="8" t="s">
        <v>500</v>
      </c>
      <c r="C287" s="8" t="s">
        <v>157</v>
      </c>
      <c r="D287" s="8" t="n">
        <v>5</v>
      </c>
      <c r="E287" s="8" t="n">
        <v>476043</v>
      </c>
      <c r="F287" s="11" t="str">
        <f aca="false">INDEX(Caixas!$C:$C,MATCH(C287,Caixas!$A:$A,0))</f>
        <v>Devolução fechada</v>
      </c>
      <c r="G287" s="9" t="n">
        <v>0</v>
      </c>
      <c r="H287" s="9" t="n">
        <v>0</v>
      </c>
      <c r="I287" s="8" t="n">
        <f aca="false">IF(F287="Inteira CBP",D287,IF(OR(F287="Aberta",F287="Avulso"),G287,0))</f>
        <v>0</v>
      </c>
      <c r="J287" s="8" t="n">
        <f aca="false">IF(F287="Inteira CBTBE",D287,IF(OR(F287="Aberta",F287="Avulso"),H287,0))</f>
        <v>0</v>
      </c>
      <c r="K287" s="8" t="n">
        <f aca="false">D287-I287-J287</f>
        <v>5</v>
      </c>
    </row>
    <row r="288" customFormat="false" ht="15" hidden="false" customHeight="false" outlineLevel="0" collapsed="false">
      <c r="A288" s="8" t="s">
        <v>507</v>
      </c>
      <c r="B288" s="8" t="s">
        <v>508</v>
      </c>
      <c r="C288" s="8" t="s">
        <v>157</v>
      </c>
      <c r="D288" s="8" t="n">
        <v>20</v>
      </c>
      <c r="E288" s="8" t="n">
        <v>476065</v>
      </c>
      <c r="F288" s="11" t="str">
        <f aca="false">INDEX(Caixas!$C:$C,MATCH(C288,Caixas!$A:$A,0))</f>
        <v>Devolução fechada</v>
      </c>
      <c r="G288" s="9" t="n">
        <v>0</v>
      </c>
      <c r="H288" s="9" t="n">
        <v>0</v>
      </c>
      <c r="I288" s="8" t="n">
        <f aca="false">IF(F288="Inteira CBP",D288,IF(OR(F288="Aberta",F288="Avulso"),G288,0))</f>
        <v>0</v>
      </c>
      <c r="J288" s="8" t="n">
        <f aca="false">IF(F288="Inteira CBTBE",D288,IF(OR(F288="Aberta",F288="Avulso"),H288,0))</f>
        <v>0</v>
      </c>
      <c r="K288" s="8" t="n">
        <f aca="false">D288-I288-J288</f>
        <v>20</v>
      </c>
    </row>
    <row r="289" customFormat="false" ht="15" hidden="false" customHeight="false" outlineLevel="0" collapsed="false">
      <c r="A289" s="8" t="s">
        <v>499</v>
      </c>
      <c r="B289" s="8" t="s">
        <v>500</v>
      </c>
      <c r="C289" s="8" t="s">
        <v>158</v>
      </c>
      <c r="D289" s="8" t="n">
        <v>5</v>
      </c>
      <c r="E289" s="8" t="n">
        <v>476043</v>
      </c>
      <c r="F289" s="11" t="str">
        <f aca="false">INDEX(Caixas!$C:$C,MATCH(C289,Caixas!$A:$A,0))</f>
        <v>Inteira CBTBE</v>
      </c>
      <c r="G289" s="9" t="n">
        <v>0</v>
      </c>
      <c r="H289" s="9" t="n">
        <v>0</v>
      </c>
      <c r="I289" s="8" t="n">
        <f aca="false">IF(F289="Inteira CBP",D289,IF(OR(F289="Aberta",F289="Avulso"),G289,0))</f>
        <v>0</v>
      </c>
      <c r="J289" s="8" t="n">
        <f aca="false">IF(F289="Inteira CBTBE",D289,IF(OR(F289="Aberta",F289="Avulso"),H289,0))</f>
        <v>5</v>
      </c>
      <c r="K289" s="8" t="n">
        <f aca="false">D289-I289-J289</f>
        <v>0</v>
      </c>
    </row>
    <row r="290" customFormat="false" ht="15" hidden="false" customHeight="false" outlineLevel="0" collapsed="false">
      <c r="A290" s="8" t="s">
        <v>507</v>
      </c>
      <c r="B290" s="8" t="s">
        <v>508</v>
      </c>
      <c r="C290" s="8" t="s">
        <v>158</v>
      </c>
      <c r="D290" s="8" t="n">
        <v>20</v>
      </c>
      <c r="E290" s="8" t="n">
        <v>476065</v>
      </c>
      <c r="F290" s="11" t="str">
        <f aca="false">INDEX(Caixas!$C:$C,MATCH(C290,Caixas!$A:$A,0))</f>
        <v>Inteira CBTBE</v>
      </c>
      <c r="G290" s="9" t="n">
        <v>0</v>
      </c>
      <c r="H290" s="9" t="n">
        <v>0</v>
      </c>
      <c r="I290" s="8" t="n">
        <f aca="false">IF(F290="Inteira CBP",D290,IF(OR(F290="Aberta",F290="Avulso"),G290,0))</f>
        <v>0</v>
      </c>
      <c r="J290" s="8" t="n">
        <f aca="false">IF(F290="Inteira CBTBE",D290,IF(OR(F290="Aberta",F290="Avulso"),H290,0))</f>
        <v>20</v>
      </c>
      <c r="K290" s="8" t="n">
        <f aca="false">D290-I290-J290</f>
        <v>0</v>
      </c>
    </row>
    <row r="291" customFormat="false" ht="15" hidden="false" customHeight="false" outlineLevel="0" collapsed="false">
      <c r="A291" s="8" t="s">
        <v>511</v>
      </c>
      <c r="B291" s="8" t="s">
        <v>512</v>
      </c>
      <c r="C291" s="8" t="s">
        <v>159</v>
      </c>
      <c r="D291" s="8" t="n">
        <v>48</v>
      </c>
      <c r="E291" s="8" t="n">
        <v>476061</v>
      </c>
      <c r="F291" s="11" t="str">
        <f aca="false">INDEX(Caixas!$C:$C,MATCH(C291,Caixas!$A:$A,0))</f>
        <v>Aberta</v>
      </c>
      <c r="G291" s="9" t="n">
        <v>48</v>
      </c>
      <c r="H291" s="9" t="n">
        <v>0</v>
      </c>
      <c r="I291" s="8" t="n">
        <f aca="false">IF(F291="Inteira CBP",D291,IF(OR(F291="Aberta",F291="Avulso"),G291,0))</f>
        <v>48</v>
      </c>
      <c r="J291" s="8" t="n">
        <f aca="false">IF(F291="Inteira CBTBE",D291,IF(OR(F291="Aberta",F291="Avulso"),H291,0))</f>
        <v>0</v>
      </c>
      <c r="K291" s="8" t="n">
        <f aca="false">D291-I291-J291</f>
        <v>0</v>
      </c>
    </row>
    <row r="292" customFormat="false" ht="15" hidden="false" customHeight="false" outlineLevel="0" collapsed="false">
      <c r="A292" s="8" t="s">
        <v>499</v>
      </c>
      <c r="B292" s="8" t="s">
        <v>500</v>
      </c>
      <c r="C292" s="8" t="s">
        <v>159</v>
      </c>
      <c r="D292" s="8" t="n">
        <v>5</v>
      </c>
      <c r="E292" s="8" t="n">
        <v>476043</v>
      </c>
      <c r="F292" s="11" t="str">
        <f aca="false">INDEX(Caixas!$C:$C,MATCH(C292,Caixas!$A:$A,0))</f>
        <v>Aberta</v>
      </c>
      <c r="G292" s="9" t="n">
        <v>0</v>
      </c>
      <c r="H292" s="9" t="n">
        <v>5</v>
      </c>
      <c r="I292" s="8" t="n">
        <f aca="false">IF(F292="Inteira CBP",D292,IF(OR(F292="Aberta",F292="Avulso"),G292,0))</f>
        <v>0</v>
      </c>
      <c r="J292" s="8" t="n">
        <f aca="false">IF(F292="Inteira CBTBE",D292,IF(OR(F292="Aberta",F292="Avulso"),H292,0))</f>
        <v>5</v>
      </c>
      <c r="K292" s="8" t="n">
        <f aca="false">D292-I292-J292</f>
        <v>0</v>
      </c>
    </row>
    <row r="293" customFormat="false" ht="15" hidden="false" customHeight="false" outlineLevel="0" collapsed="false">
      <c r="A293" s="8" t="s">
        <v>505</v>
      </c>
      <c r="B293" s="8" t="s">
        <v>506</v>
      </c>
      <c r="C293" s="8" t="s">
        <v>159</v>
      </c>
      <c r="D293" s="8" t="n">
        <v>24</v>
      </c>
      <c r="E293" s="8" t="n">
        <v>476065</v>
      </c>
      <c r="F293" s="11" t="str">
        <f aca="false">INDEX(Caixas!$C:$C,MATCH(C293,Caixas!$A:$A,0))</f>
        <v>Aberta</v>
      </c>
      <c r="G293" s="9" t="n">
        <v>0</v>
      </c>
      <c r="H293" s="9" t="n">
        <v>0</v>
      </c>
      <c r="I293" s="8" t="n">
        <f aca="false">IF(F293="Inteira CBP",D293,IF(OR(F293="Aberta",F293="Avulso"),G293,0))</f>
        <v>0</v>
      </c>
      <c r="J293" s="8" t="n">
        <f aca="false">IF(F293="Inteira CBTBE",D293,IF(OR(F293="Aberta",F293="Avulso"),H293,0))</f>
        <v>0</v>
      </c>
      <c r="K293" s="8" t="n">
        <f aca="false">D293-I293-J293</f>
        <v>24</v>
      </c>
    </row>
    <row r="294" customFormat="false" ht="15" hidden="false" customHeight="false" outlineLevel="0" collapsed="false">
      <c r="A294" s="8" t="s">
        <v>513</v>
      </c>
      <c r="B294" s="8" t="s">
        <v>514</v>
      </c>
      <c r="C294" s="8" t="s">
        <v>160</v>
      </c>
      <c r="D294" s="8" t="n">
        <v>22</v>
      </c>
      <c r="E294" s="8" t="n">
        <v>476061</v>
      </c>
      <c r="F294" s="11" t="str">
        <f aca="false">INDEX(Caixas!$C:$C,MATCH(C294,Caixas!$A:$A,0))</f>
        <v>Inteira CBP</v>
      </c>
      <c r="G294" s="9" t="n">
        <v>0</v>
      </c>
      <c r="H294" s="9" t="n">
        <v>0</v>
      </c>
      <c r="I294" s="8" t="n">
        <f aca="false">IF(F294="Inteira CBP",D294,IF(OR(F294="Aberta",F294="Avulso"),G294,0))</f>
        <v>22</v>
      </c>
      <c r="J294" s="8" t="n">
        <f aca="false">IF(F294="Inteira CBTBE",D294,IF(OR(F294="Aberta",F294="Avulso"),H294,0))</f>
        <v>0</v>
      </c>
      <c r="K294" s="8" t="n">
        <f aca="false">D294-I294-J294</f>
        <v>0</v>
      </c>
    </row>
    <row r="295" customFormat="false" ht="15" hidden="false" customHeight="false" outlineLevel="0" collapsed="false">
      <c r="A295" s="8" t="s">
        <v>451</v>
      </c>
      <c r="B295" s="8" t="s">
        <v>452</v>
      </c>
      <c r="C295" s="8" t="s">
        <v>160</v>
      </c>
      <c r="D295" s="8" t="n">
        <v>24</v>
      </c>
      <c r="E295" s="8" t="n">
        <v>476043</v>
      </c>
      <c r="F295" s="11" t="str">
        <f aca="false">INDEX(Caixas!$C:$C,MATCH(C295,Caixas!$A:$A,0))</f>
        <v>Inteira CBP</v>
      </c>
      <c r="G295" s="9" t="n">
        <v>0</v>
      </c>
      <c r="H295" s="9" t="n">
        <v>0</v>
      </c>
      <c r="I295" s="8" t="n">
        <f aca="false">IF(F295="Inteira CBP",D295,IF(OR(F295="Aberta",F295="Avulso"),G295,0))</f>
        <v>24</v>
      </c>
      <c r="J295" s="8" t="n">
        <f aca="false">IF(F295="Inteira CBTBE",D295,IF(OR(F295="Aberta",F295="Avulso"),H295,0))</f>
        <v>0</v>
      </c>
      <c r="K295" s="8" t="n">
        <f aca="false">D295-I295-J295</f>
        <v>0</v>
      </c>
    </row>
    <row r="296" customFormat="false" ht="15" hidden="false" customHeight="false" outlineLevel="0" collapsed="false">
      <c r="A296" s="8" t="s">
        <v>513</v>
      </c>
      <c r="B296" s="8" t="s">
        <v>514</v>
      </c>
      <c r="C296" s="8" t="s">
        <v>161</v>
      </c>
      <c r="D296" s="8" t="n">
        <v>22</v>
      </c>
      <c r="E296" s="8" t="n">
        <v>476061</v>
      </c>
      <c r="F296" s="11" t="str">
        <f aca="false">INDEX(Caixas!$C:$C,MATCH(C296,Caixas!$A:$A,0))</f>
        <v>Inteira CBP</v>
      </c>
      <c r="G296" s="9" t="n">
        <v>0</v>
      </c>
      <c r="H296" s="9" t="n">
        <v>0</v>
      </c>
      <c r="I296" s="8" t="n">
        <f aca="false">IF(F296="Inteira CBP",D296,IF(OR(F296="Aberta",F296="Avulso"),G296,0))</f>
        <v>22</v>
      </c>
      <c r="J296" s="8" t="n">
        <f aca="false">IF(F296="Inteira CBTBE",D296,IF(OR(F296="Aberta",F296="Avulso"),H296,0))</f>
        <v>0</v>
      </c>
      <c r="K296" s="8" t="n">
        <f aca="false">D296-I296-J296</f>
        <v>0</v>
      </c>
    </row>
    <row r="297" customFormat="false" ht="15" hidden="false" customHeight="false" outlineLevel="0" collapsed="false">
      <c r="A297" s="8" t="s">
        <v>451</v>
      </c>
      <c r="B297" s="8" t="s">
        <v>452</v>
      </c>
      <c r="C297" s="8" t="s">
        <v>161</v>
      </c>
      <c r="D297" s="8" t="n">
        <v>24</v>
      </c>
      <c r="E297" s="8" t="n">
        <v>476043</v>
      </c>
      <c r="F297" s="11" t="str">
        <f aca="false">INDEX(Caixas!$C:$C,MATCH(C297,Caixas!$A:$A,0))</f>
        <v>Inteira CBP</v>
      </c>
      <c r="G297" s="9" t="n">
        <v>0</v>
      </c>
      <c r="H297" s="9" t="n">
        <v>0</v>
      </c>
      <c r="I297" s="8" t="n">
        <f aca="false">IF(F297="Inteira CBP",D297,IF(OR(F297="Aberta",F297="Avulso"),G297,0))</f>
        <v>24</v>
      </c>
      <c r="J297" s="8" t="n">
        <f aca="false">IF(F297="Inteira CBTBE",D297,IF(OR(F297="Aberta",F297="Avulso"),H297,0))</f>
        <v>0</v>
      </c>
      <c r="K297" s="8" t="n">
        <f aca="false">D297-I297-J297</f>
        <v>0</v>
      </c>
    </row>
    <row r="298" customFormat="false" ht="15" hidden="false" customHeight="false" outlineLevel="0" collapsed="false">
      <c r="A298" s="8" t="s">
        <v>513</v>
      </c>
      <c r="B298" s="8" t="s">
        <v>514</v>
      </c>
      <c r="C298" s="8" t="s">
        <v>162</v>
      </c>
      <c r="D298" s="8" t="n">
        <v>22</v>
      </c>
      <c r="E298" s="8" t="n">
        <v>476061</v>
      </c>
      <c r="F298" s="11" t="str">
        <f aca="false">INDEX(Caixas!$C:$C,MATCH(C298,Caixas!$A:$A,0))</f>
        <v>Inteira CBP</v>
      </c>
      <c r="G298" s="9" t="n">
        <v>0</v>
      </c>
      <c r="H298" s="9" t="n">
        <v>0</v>
      </c>
      <c r="I298" s="8" t="n">
        <f aca="false">IF(F298="Inteira CBP",D298,IF(OR(F298="Aberta",F298="Avulso"),G298,0))</f>
        <v>22</v>
      </c>
      <c r="J298" s="8" t="n">
        <f aca="false">IF(F298="Inteira CBTBE",D298,IF(OR(F298="Aberta",F298="Avulso"),H298,0))</f>
        <v>0</v>
      </c>
      <c r="K298" s="8" t="n">
        <f aca="false">D298-I298-J298</f>
        <v>0</v>
      </c>
    </row>
    <row r="299" customFormat="false" ht="15" hidden="false" customHeight="false" outlineLevel="0" collapsed="false">
      <c r="A299" s="8" t="s">
        <v>515</v>
      </c>
      <c r="B299" s="8" t="s">
        <v>516</v>
      </c>
      <c r="C299" s="8" t="s">
        <v>162</v>
      </c>
      <c r="D299" s="8" t="n">
        <v>36</v>
      </c>
      <c r="E299" s="8" t="n">
        <v>476043</v>
      </c>
      <c r="F299" s="11" t="str">
        <f aca="false">INDEX(Caixas!$C:$C,MATCH(C299,Caixas!$A:$A,0))</f>
        <v>Inteira CBP</v>
      </c>
      <c r="G299" s="9" t="n">
        <v>0</v>
      </c>
      <c r="H299" s="9" t="n">
        <v>0</v>
      </c>
      <c r="I299" s="8" t="n">
        <f aca="false">IF(F299="Inteira CBP",D299,IF(OR(F299="Aberta",F299="Avulso"),G299,0))</f>
        <v>36</v>
      </c>
      <c r="J299" s="8" t="n">
        <f aca="false">IF(F299="Inteira CBTBE",D299,IF(OR(F299="Aberta",F299="Avulso"),H299,0))</f>
        <v>0</v>
      </c>
      <c r="K299" s="8" t="n">
        <f aca="false">D299-I299-J299</f>
        <v>0</v>
      </c>
    </row>
    <row r="300" customFormat="false" ht="15" hidden="false" customHeight="false" outlineLevel="0" collapsed="false">
      <c r="A300" s="8" t="s">
        <v>517</v>
      </c>
      <c r="B300" s="8" t="s">
        <v>518</v>
      </c>
      <c r="C300" s="8" t="s">
        <v>163</v>
      </c>
      <c r="D300" s="8" t="n">
        <v>26</v>
      </c>
      <c r="E300" s="8" t="n">
        <v>476061</v>
      </c>
      <c r="F300" s="11" t="str">
        <f aca="false">INDEX(Caixas!$C:$C,MATCH(C300,Caixas!$A:$A,0))</f>
        <v>Aberta</v>
      </c>
      <c r="G300" s="9" t="n">
        <v>26</v>
      </c>
      <c r="H300" s="9" t="n">
        <v>0</v>
      </c>
      <c r="I300" s="8" t="n">
        <f aca="false">IF(F300="Inteira CBP",D300,IF(OR(F300="Aberta",F300="Avulso"),G300,0))</f>
        <v>26</v>
      </c>
      <c r="J300" s="8" t="n">
        <f aca="false">IF(F300="Inteira CBTBE",D300,IF(OR(F300="Aberta",F300="Avulso"),H300,0))</f>
        <v>0</v>
      </c>
      <c r="K300" s="8" t="n">
        <f aca="false">D300-I300-J300</f>
        <v>0</v>
      </c>
    </row>
    <row r="301" customFormat="false" ht="15" hidden="false" customHeight="false" outlineLevel="0" collapsed="false">
      <c r="A301" s="8" t="s">
        <v>515</v>
      </c>
      <c r="B301" s="8" t="s">
        <v>516</v>
      </c>
      <c r="C301" s="8" t="s">
        <v>163</v>
      </c>
      <c r="D301" s="8" t="n">
        <v>36</v>
      </c>
      <c r="E301" s="8" t="n">
        <v>476043</v>
      </c>
      <c r="F301" s="11" t="str">
        <f aca="false">INDEX(Caixas!$C:$C,MATCH(C301,Caixas!$A:$A,0))</f>
        <v>Aberta</v>
      </c>
      <c r="G301" s="9" t="n">
        <v>0</v>
      </c>
      <c r="H301" s="9" t="n">
        <v>36</v>
      </c>
      <c r="I301" s="8" t="n">
        <f aca="false">IF(F301="Inteira CBP",D301,IF(OR(F301="Aberta",F301="Avulso"),G301,0))</f>
        <v>0</v>
      </c>
      <c r="J301" s="8" t="n">
        <f aca="false">IF(F301="Inteira CBTBE",D301,IF(OR(F301="Aberta",F301="Avulso"),H301,0))</f>
        <v>36</v>
      </c>
      <c r="K301" s="8" t="n">
        <f aca="false">D301-I301-J301</f>
        <v>0</v>
      </c>
    </row>
    <row r="302" customFormat="false" ht="15" hidden="false" customHeight="false" outlineLevel="0" collapsed="false">
      <c r="A302" s="8" t="s">
        <v>445</v>
      </c>
      <c r="B302" s="8" t="s">
        <v>446</v>
      </c>
      <c r="C302" s="8" t="s">
        <v>163</v>
      </c>
      <c r="D302" s="8" t="n">
        <v>38</v>
      </c>
      <c r="E302" s="8" t="n">
        <v>476065</v>
      </c>
      <c r="F302" s="11" t="str">
        <f aca="false">INDEX(Caixas!$C:$C,MATCH(C302,Caixas!$A:$A,0))</f>
        <v>Aberta</v>
      </c>
      <c r="G302" s="9" t="n">
        <v>38</v>
      </c>
      <c r="H302" s="9" t="n">
        <v>0</v>
      </c>
      <c r="I302" s="8" t="n">
        <f aca="false">IF(F302="Inteira CBP",D302,IF(OR(F302="Aberta",F302="Avulso"),G302,0))</f>
        <v>38</v>
      </c>
      <c r="J302" s="8" t="n">
        <f aca="false">IF(F302="Inteira CBTBE",D302,IF(OR(F302="Aberta",F302="Avulso"),H302,0))</f>
        <v>0</v>
      </c>
      <c r="K302" s="8" t="n">
        <f aca="false">D302-I302-J302</f>
        <v>0</v>
      </c>
    </row>
    <row r="303" customFormat="false" ht="15" hidden="false" customHeight="false" outlineLevel="0" collapsed="false">
      <c r="A303" s="8" t="s">
        <v>517</v>
      </c>
      <c r="B303" s="8" t="s">
        <v>518</v>
      </c>
      <c r="C303" s="8" t="s">
        <v>164</v>
      </c>
      <c r="D303" s="8" t="n">
        <v>26</v>
      </c>
      <c r="E303" s="8" t="n">
        <v>476061</v>
      </c>
      <c r="F303" s="11" t="str">
        <f aca="false">INDEX(Caixas!$C:$C,MATCH(C303,Caixas!$A:$A,0))</f>
        <v>Aberta</v>
      </c>
      <c r="G303" s="9" t="n">
        <v>10</v>
      </c>
      <c r="H303" s="9" t="n">
        <v>0</v>
      </c>
      <c r="I303" s="8" t="n">
        <f aca="false">IF(F303="Inteira CBP",D303,IF(OR(F303="Aberta",F303="Avulso"),G303,0))</f>
        <v>10</v>
      </c>
      <c r="J303" s="8" t="n">
        <f aca="false">IF(F303="Inteira CBTBE",D303,IF(OR(F303="Aberta",F303="Avulso"),H303,0))</f>
        <v>0</v>
      </c>
      <c r="K303" s="8" t="n">
        <f aca="false">D303-I303-J303</f>
        <v>16</v>
      </c>
    </row>
    <row r="304" customFormat="false" ht="15" hidden="false" customHeight="false" outlineLevel="0" collapsed="false">
      <c r="A304" s="8" t="s">
        <v>515</v>
      </c>
      <c r="B304" s="8" t="s">
        <v>516</v>
      </c>
      <c r="C304" s="8" t="s">
        <v>164</v>
      </c>
      <c r="D304" s="8" t="n">
        <v>36</v>
      </c>
      <c r="E304" s="8" t="n">
        <v>476043</v>
      </c>
      <c r="F304" s="11" t="str">
        <f aca="false">INDEX(Caixas!$C:$C,MATCH(C304,Caixas!$A:$A,0))</f>
        <v>Aberta</v>
      </c>
      <c r="G304" s="9" t="n">
        <v>0</v>
      </c>
      <c r="H304" s="9" t="n">
        <v>1</v>
      </c>
      <c r="I304" s="8" t="n">
        <f aca="false">IF(F304="Inteira CBP",D304,IF(OR(F304="Aberta",F304="Avulso"),G304,0))</f>
        <v>0</v>
      </c>
      <c r="J304" s="8" t="n">
        <f aca="false">IF(F304="Inteira CBTBE",D304,IF(OR(F304="Aberta",F304="Avulso"),H304,0))</f>
        <v>1</v>
      </c>
      <c r="K304" s="8" t="n">
        <f aca="false">D304-I304-J304</f>
        <v>35</v>
      </c>
    </row>
    <row r="305" customFormat="false" ht="15" hidden="false" customHeight="false" outlineLevel="0" collapsed="false">
      <c r="A305" s="8" t="s">
        <v>519</v>
      </c>
      <c r="B305" s="8" t="s">
        <v>520</v>
      </c>
      <c r="C305" s="8" t="s">
        <v>165</v>
      </c>
      <c r="D305" s="8" t="n">
        <v>5</v>
      </c>
      <c r="E305" s="8" t="n">
        <v>476061</v>
      </c>
      <c r="F305" s="11" t="str">
        <f aca="false">INDEX(Caixas!$C:$C,MATCH(C305,Caixas!$A:$A,0))</f>
        <v>Devolução fechada</v>
      </c>
      <c r="G305" s="9" t="n">
        <v>0</v>
      </c>
      <c r="H305" s="9" t="n">
        <v>0</v>
      </c>
      <c r="I305" s="8" t="n">
        <f aca="false">IF(F305="Inteira CBP",D305,IF(OR(F305="Aberta",F305="Avulso"),G305,0))</f>
        <v>0</v>
      </c>
      <c r="J305" s="8" t="n">
        <f aca="false">IF(F305="Inteira CBTBE",D305,IF(OR(F305="Aberta",F305="Avulso"),H305,0))</f>
        <v>0</v>
      </c>
      <c r="K305" s="8" t="n">
        <f aca="false">D305-I305-J305</f>
        <v>5</v>
      </c>
    </row>
    <row r="306" customFormat="false" ht="15" hidden="false" customHeight="false" outlineLevel="0" collapsed="false">
      <c r="A306" s="8" t="s">
        <v>515</v>
      </c>
      <c r="B306" s="8" t="s">
        <v>516</v>
      </c>
      <c r="C306" s="8" t="s">
        <v>165</v>
      </c>
      <c r="D306" s="8" t="n">
        <v>36</v>
      </c>
      <c r="E306" s="8" t="n">
        <v>476043</v>
      </c>
      <c r="F306" s="11" t="str">
        <f aca="false">INDEX(Caixas!$C:$C,MATCH(C306,Caixas!$A:$A,0))</f>
        <v>Devolução fechada</v>
      </c>
      <c r="G306" s="9" t="n">
        <v>0</v>
      </c>
      <c r="H306" s="9" t="n">
        <v>0</v>
      </c>
      <c r="I306" s="8" t="n">
        <f aca="false">IF(F306="Inteira CBP",D306,IF(OR(F306="Aberta",F306="Avulso"),G306,0))</f>
        <v>0</v>
      </c>
      <c r="J306" s="8" t="n">
        <f aca="false">IF(F306="Inteira CBTBE",D306,IF(OR(F306="Aberta",F306="Avulso"),H306,0))</f>
        <v>0</v>
      </c>
      <c r="K306" s="8" t="n">
        <f aca="false">D306-I306-J306</f>
        <v>36</v>
      </c>
    </row>
    <row r="307" customFormat="false" ht="15" hidden="false" customHeight="false" outlineLevel="0" collapsed="false">
      <c r="A307" s="8" t="s">
        <v>519</v>
      </c>
      <c r="B307" s="8" t="s">
        <v>520</v>
      </c>
      <c r="C307" s="8" t="s">
        <v>166</v>
      </c>
      <c r="D307" s="8" t="n">
        <v>5</v>
      </c>
      <c r="E307" s="8" t="n">
        <v>476061</v>
      </c>
      <c r="F307" s="11" t="str">
        <f aca="false">INDEX(Caixas!$C:$C,MATCH(C307,Caixas!$A:$A,0))</f>
        <v>Inteira CBP</v>
      </c>
      <c r="G307" s="9" t="n">
        <v>0</v>
      </c>
      <c r="H307" s="9" t="n">
        <v>0</v>
      </c>
      <c r="I307" s="8" t="n">
        <f aca="false">IF(F307="Inteira CBP",D307,IF(OR(F307="Aberta",F307="Avulso"),G307,0))</f>
        <v>5</v>
      </c>
      <c r="J307" s="8" t="n">
        <f aca="false">IF(F307="Inteira CBTBE",D307,IF(OR(F307="Aberta",F307="Avulso"),H307,0))</f>
        <v>0</v>
      </c>
      <c r="K307" s="8" t="n">
        <f aca="false">D307-I307-J307</f>
        <v>0</v>
      </c>
    </row>
    <row r="308" customFormat="false" ht="15" hidden="false" customHeight="false" outlineLevel="0" collapsed="false">
      <c r="A308" s="8" t="s">
        <v>521</v>
      </c>
      <c r="B308" s="8" t="s">
        <v>522</v>
      </c>
      <c r="C308" s="8" t="s">
        <v>166</v>
      </c>
      <c r="D308" s="8" t="n">
        <v>40</v>
      </c>
      <c r="E308" s="8" t="n">
        <v>476065</v>
      </c>
      <c r="F308" s="11" t="str">
        <f aca="false">INDEX(Caixas!$C:$C,MATCH(C308,Caixas!$A:$A,0))</f>
        <v>Inteira CBP</v>
      </c>
      <c r="G308" s="9" t="n">
        <v>0</v>
      </c>
      <c r="H308" s="9" t="n">
        <v>0</v>
      </c>
      <c r="I308" s="8" t="n">
        <f aca="false">IF(F308="Inteira CBP",D308,IF(OR(F308="Aberta",F308="Avulso"),G308,0))</f>
        <v>40</v>
      </c>
      <c r="J308" s="8" t="n">
        <f aca="false">IF(F308="Inteira CBTBE",D308,IF(OR(F308="Aberta",F308="Avulso"),H308,0))</f>
        <v>0</v>
      </c>
      <c r="K308" s="8" t="n">
        <f aca="false">D308-I308-J308</f>
        <v>0</v>
      </c>
    </row>
    <row r="309" customFormat="false" ht="15" hidden="false" customHeight="false" outlineLevel="0" collapsed="false">
      <c r="A309" s="8" t="s">
        <v>523</v>
      </c>
      <c r="B309" s="8" t="s">
        <v>524</v>
      </c>
      <c r="C309" s="8" t="s">
        <v>166</v>
      </c>
      <c r="D309" s="8" t="n">
        <v>22</v>
      </c>
      <c r="E309" s="8" t="n">
        <v>476043</v>
      </c>
      <c r="F309" s="11" t="str">
        <f aca="false">INDEX(Caixas!$C:$C,MATCH(C309,Caixas!$A:$A,0))</f>
        <v>Inteira CBP</v>
      </c>
      <c r="G309" s="9" t="n">
        <v>0</v>
      </c>
      <c r="H309" s="9" t="n">
        <v>0</v>
      </c>
      <c r="I309" s="8" t="n">
        <f aca="false">IF(F309="Inteira CBP",D309,IF(OR(F309="Aberta",F309="Avulso"),G309,0))</f>
        <v>22</v>
      </c>
      <c r="J309" s="8" t="n">
        <f aca="false">IF(F309="Inteira CBTBE",D309,IF(OR(F309="Aberta",F309="Avulso"),H309,0))</f>
        <v>0</v>
      </c>
      <c r="K309" s="8" t="n">
        <f aca="false">D309-I309-J309</f>
        <v>0</v>
      </c>
    </row>
    <row r="310" customFormat="false" ht="15" hidden="false" customHeight="false" outlineLevel="0" collapsed="false">
      <c r="A310" s="8" t="s">
        <v>519</v>
      </c>
      <c r="B310" s="8" t="s">
        <v>520</v>
      </c>
      <c r="C310" s="8" t="s">
        <v>168</v>
      </c>
      <c r="D310" s="8" t="n">
        <v>5</v>
      </c>
      <c r="E310" s="8" t="n">
        <v>476061</v>
      </c>
      <c r="F310" s="11" t="str">
        <f aca="false">INDEX(Caixas!$C:$C,MATCH(C310,Caixas!$A:$A,0))</f>
        <v>Devolução fechada</v>
      </c>
      <c r="G310" s="9" t="n">
        <v>0</v>
      </c>
      <c r="H310" s="9" t="n">
        <v>0</v>
      </c>
      <c r="I310" s="8" t="n">
        <f aca="false">IF(F310="Inteira CBP",D310,IF(OR(F310="Aberta",F310="Avulso"),G310,0))</f>
        <v>0</v>
      </c>
      <c r="J310" s="8" t="n">
        <f aca="false">IF(F310="Inteira CBTBE",D310,IF(OR(F310="Aberta",F310="Avulso"),H310,0))</f>
        <v>0</v>
      </c>
      <c r="K310" s="8" t="n">
        <f aca="false">D310-I310-J310</f>
        <v>5</v>
      </c>
    </row>
    <row r="311" customFormat="false" ht="15" hidden="false" customHeight="false" outlineLevel="0" collapsed="false">
      <c r="A311" s="8" t="s">
        <v>505</v>
      </c>
      <c r="B311" s="8" t="s">
        <v>506</v>
      </c>
      <c r="C311" s="8" t="s">
        <v>168</v>
      </c>
      <c r="D311" s="8" t="n">
        <v>24</v>
      </c>
      <c r="E311" s="8" t="n">
        <v>476065</v>
      </c>
      <c r="F311" s="11" t="str">
        <f aca="false">INDEX(Caixas!$C:$C,MATCH(C311,Caixas!$A:$A,0))</f>
        <v>Devolução fechada</v>
      </c>
      <c r="G311" s="9" t="n">
        <v>0</v>
      </c>
      <c r="H311" s="9" t="n">
        <v>0</v>
      </c>
      <c r="I311" s="8" t="n">
        <f aca="false">IF(F311="Inteira CBP",D311,IF(OR(F311="Aberta",F311="Avulso"),G311,0))</f>
        <v>0</v>
      </c>
      <c r="J311" s="8" t="n">
        <f aca="false">IF(F311="Inteira CBTBE",D311,IF(OR(F311="Aberta",F311="Avulso"),H311,0))</f>
        <v>0</v>
      </c>
      <c r="K311" s="8" t="n">
        <f aca="false">D311-I311-J311</f>
        <v>24</v>
      </c>
    </row>
    <row r="312" customFormat="false" ht="15" hidden="false" customHeight="false" outlineLevel="0" collapsed="false">
      <c r="A312" s="8" t="s">
        <v>525</v>
      </c>
      <c r="B312" s="8" t="s">
        <v>526</v>
      </c>
      <c r="C312" s="8" t="s">
        <v>168</v>
      </c>
      <c r="D312" s="8" t="n">
        <v>22</v>
      </c>
      <c r="E312" s="8" t="n">
        <v>476043</v>
      </c>
      <c r="F312" s="11" t="str">
        <f aca="false">INDEX(Caixas!$C:$C,MATCH(C312,Caixas!$A:$A,0))</f>
        <v>Devolução fechada</v>
      </c>
      <c r="G312" s="9" t="n">
        <v>0</v>
      </c>
      <c r="H312" s="9" t="n">
        <v>0</v>
      </c>
      <c r="I312" s="8" t="n">
        <f aca="false">IF(F312="Inteira CBP",D312,IF(OR(F312="Aberta",F312="Avulso"),G312,0))</f>
        <v>0</v>
      </c>
      <c r="J312" s="8" t="n">
        <f aca="false">IF(F312="Inteira CBTBE",D312,IF(OR(F312="Aberta",F312="Avulso"),H312,0))</f>
        <v>0</v>
      </c>
      <c r="K312" s="8" t="n">
        <f aca="false">D312-I312-J312</f>
        <v>22</v>
      </c>
    </row>
    <row r="313" customFormat="false" ht="15" hidden="false" customHeight="false" outlineLevel="0" collapsed="false">
      <c r="A313" s="8" t="s">
        <v>519</v>
      </c>
      <c r="B313" s="8" t="s">
        <v>520</v>
      </c>
      <c r="C313" s="8" t="s">
        <v>169</v>
      </c>
      <c r="D313" s="8" t="n">
        <v>5</v>
      </c>
      <c r="E313" s="8" t="n">
        <v>476061</v>
      </c>
      <c r="F313" s="11" t="str">
        <f aca="false">INDEX(Caixas!$C:$C,MATCH(C313,Caixas!$A:$A,0))</f>
        <v>Devolução fechada</v>
      </c>
      <c r="G313" s="9" t="n">
        <v>0</v>
      </c>
      <c r="H313" s="9" t="n">
        <v>0</v>
      </c>
      <c r="I313" s="8" t="n">
        <f aca="false">IF(F313="Inteira CBP",D313,IF(OR(F313="Aberta",F313="Avulso"),G313,0))</f>
        <v>0</v>
      </c>
      <c r="J313" s="8" t="n">
        <f aca="false">IF(F313="Inteira CBTBE",D313,IF(OR(F313="Aberta",F313="Avulso"),H313,0))</f>
        <v>0</v>
      </c>
      <c r="K313" s="8" t="n">
        <f aca="false">D313-I313-J313</f>
        <v>5</v>
      </c>
    </row>
    <row r="314" customFormat="false" ht="15" hidden="false" customHeight="false" outlineLevel="0" collapsed="false">
      <c r="A314" s="8" t="s">
        <v>505</v>
      </c>
      <c r="B314" s="8" t="s">
        <v>506</v>
      </c>
      <c r="C314" s="8" t="s">
        <v>169</v>
      </c>
      <c r="D314" s="8" t="n">
        <v>24</v>
      </c>
      <c r="E314" s="8" t="n">
        <v>476065</v>
      </c>
      <c r="F314" s="11" t="str">
        <f aca="false">INDEX(Caixas!$C:$C,MATCH(C314,Caixas!$A:$A,0))</f>
        <v>Devolução fechada</v>
      </c>
      <c r="G314" s="9" t="n">
        <v>0</v>
      </c>
      <c r="H314" s="9" t="n">
        <v>0</v>
      </c>
      <c r="I314" s="8" t="n">
        <f aca="false">IF(F314="Inteira CBP",D314,IF(OR(F314="Aberta",F314="Avulso"),G314,0))</f>
        <v>0</v>
      </c>
      <c r="J314" s="8" t="n">
        <f aca="false">IF(F314="Inteira CBTBE",D314,IF(OR(F314="Aberta",F314="Avulso"),H314,0))</f>
        <v>0</v>
      </c>
      <c r="K314" s="8" t="n">
        <f aca="false">D314-I314-J314</f>
        <v>24</v>
      </c>
    </row>
    <row r="315" customFormat="false" ht="15" hidden="false" customHeight="false" outlineLevel="0" collapsed="false">
      <c r="A315" s="8" t="s">
        <v>525</v>
      </c>
      <c r="B315" s="8" t="s">
        <v>526</v>
      </c>
      <c r="C315" s="8" t="s">
        <v>169</v>
      </c>
      <c r="D315" s="8" t="n">
        <v>22</v>
      </c>
      <c r="E315" s="8" t="n">
        <v>476043</v>
      </c>
      <c r="F315" s="11" t="str">
        <f aca="false">INDEX(Caixas!$C:$C,MATCH(C315,Caixas!$A:$A,0))</f>
        <v>Devolução fechada</v>
      </c>
      <c r="G315" s="9" t="n">
        <v>0</v>
      </c>
      <c r="H315" s="9" t="n">
        <v>0</v>
      </c>
      <c r="I315" s="8" t="n">
        <f aca="false">IF(F315="Inteira CBP",D315,IF(OR(F315="Aberta",F315="Avulso"),G315,0))</f>
        <v>0</v>
      </c>
      <c r="J315" s="8" t="n">
        <f aca="false">IF(F315="Inteira CBTBE",D315,IF(OR(F315="Aberta",F315="Avulso"),H315,0))</f>
        <v>0</v>
      </c>
      <c r="K315" s="8" t="n">
        <f aca="false">D315-I315-J315</f>
        <v>22</v>
      </c>
    </row>
    <row r="316" customFormat="false" ht="15" hidden="false" customHeight="false" outlineLevel="0" collapsed="false">
      <c r="A316" s="8" t="s">
        <v>519</v>
      </c>
      <c r="B316" s="8" t="s">
        <v>520</v>
      </c>
      <c r="C316" s="8" t="s">
        <v>170</v>
      </c>
      <c r="D316" s="8" t="n">
        <v>5</v>
      </c>
      <c r="E316" s="8" t="n">
        <v>476061</v>
      </c>
      <c r="F316" s="11" t="str">
        <f aca="false">INDEX(Caixas!$C:$C,MATCH(C316,Caixas!$A:$A,0))</f>
        <v>Inteira CBP</v>
      </c>
      <c r="G316" s="9" t="n">
        <v>0</v>
      </c>
      <c r="H316" s="9" t="n">
        <v>0</v>
      </c>
      <c r="I316" s="8" t="n">
        <f aca="false">IF(F316="Inteira CBP",D316,IF(OR(F316="Aberta",F316="Avulso"),G316,0))</f>
        <v>5</v>
      </c>
      <c r="J316" s="8" t="n">
        <f aca="false">IF(F316="Inteira CBTBE",D316,IF(OR(F316="Aberta",F316="Avulso"),H316,0))</f>
        <v>0</v>
      </c>
      <c r="K316" s="8" t="n">
        <f aca="false">D316-I316-J316</f>
        <v>0</v>
      </c>
    </row>
    <row r="317" customFormat="false" ht="15" hidden="false" customHeight="false" outlineLevel="0" collapsed="false">
      <c r="A317" s="8" t="s">
        <v>505</v>
      </c>
      <c r="B317" s="8" t="s">
        <v>506</v>
      </c>
      <c r="C317" s="8" t="s">
        <v>170</v>
      </c>
      <c r="D317" s="8" t="n">
        <v>24</v>
      </c>
      <c r="E317" s="8" t="n">
        <v>476065</v>
      </c>
      <c r="F317" s="11" t="str">
        <f aca="false">INDEX(Caixas!$C:$C,MATCH(C317,Caixas!$A:$A,0))</f>
        <v>Inteira CBP</v>
      </c>
      <c r="G317" s="9" t="n">
        <v>0</v>
      </c>
      <c r="H317" s="9" t="n">
        <v>0</v>
      </c>
      <c r="I317" s="8" t="n">
        <f aca="false">IF(F317="Inteira CBP",D317,IF(OR(F317="Aberta",F317="Avulso"),G317,0))</f>
        <v>24</v>
      </c>
      <c r="J317" s="8" t="n">
        <f aca="false">IF(F317="Inteira CBTBE",D317,IF(OR(F317="Aberta",F317="Avulso"),H317,0))</f>
        <v>0</v>
      </c>
      <c r="K317" s="8" t="n">
        <f aca="false">D317-I317-J317</f>
        <v>0</v>
      </c>
    </row>
    <row r="318" customFormat="false" ht="15" hidden="false" customHeight="false" outlineLevel="0" collapsed="false">
      <c r="A318" s="8" t="s">
        <v>525</v>
      </c>
      <c r="B318" s="8" t="s">
        <v>526</v>
      </c>
      <c r="C318" s="8" t="s">
        <v>170</v>
      </c>
      <c r="D318" s="8" t="n">
        <v>22</v>
      </c>
      <c r="E318" s="8" t="n">
        <v>476043</v>
      </c>
      <c r="F318" s="11" t="str">
        <f aca="false">INDEX(Caixas!$C:$C,MATCH(C318,Caixas!$A:$A,0))</f>
        <v>Inteira CBP</v>
      </c>
      <c r="G318" s="9" t="n">
        <v>0</v>
      </c>
      <c r="H318" s="9" t="n">
        <v>0</v>
      </c>
      <c r="I318" s="8" t="n">
        <f aca="false">IF(F318="Inteira CBP",D318,IF(OR(F318="Aberta",F318="Avulso"),G318,0))</f>
        <v>22</v>
      </c>
      <c r="J318" s="8" t="n">
        <f aca="false">IF(F318="Inteira CBTBE",D318,IF(OR(F318="Aberta",F318="Avulso"),H318,0))</f>
        <v>0</v>
      </c>
      <c r="K318" s="8" t="n">
        <f aca="false">D318-I318-J318</f>
        <v>0</v>
      </c>
    </row>
    <row r="319" customFormat="false" ht="15" hidden="false" customHeight="false" outlineLevel="0" collapsed="false">
      <c r="A319" s="8" t="s">
        <v>519</v>
      </c>
      <c r="B319" s="8" t="s">
        <v>520</v>
      </c>
      <c r="C319" s="8" t="s">
        <v>171</v>
      </c>
      <c r="D319" s="8" t="n">
        <v>5</v>
      </c>
      <c r="E319" s="8" t="n">
        <v>476061</v>
      </c>
      <c r="F319" s="11" t="str">
        <f aca="false">INDEX(Caixas!$C:$C,MATCH(C319,Caixas!$A:$A,0))</f>
        <v>Aberta</v>
      </c>
      <c r="G319" s="9" t="n">
        <v>0</v>
      </c>
      <c r="H319" s="9" t="n">
        <v>0</v>
      </c>
      <c r="I319" s="8" t="n">
        <f aca="false">IF(F319="Inteira CBP",D319,IF(OR(F319="Aberta",F319="Avulso"),G319,0))</f>
        <v>0</v>
      </c>
      <c r="J319" s="8" t="n">
        <f aca="false">IF(F319="Inteira CBTBE",D319,IF(OR(F319="Aberta",F319="Avulso"),H319,0))</f>
        <v>0</v>
      </c>
      <c r="K319" s="8" t="n">
        <f aca="false">D319-I319-J319</f>
        <v>5</v>
      </c>
    </row>
    <row r="320" customFormat="false" ht="15" hidden="false" customHeight="false" outlineLevel="0" collapsed="false">
      <c r="A320" s="8" t="s">
        <v>521</v>
      </c>
      <c r="B320" s="8" t="s">
        <v>522</v>
      </c>
      <c r="C320" s="8" t="s">
        <v>171</v>
      </c>
      <c r="D320" s="8" t="n">
        <v>40</v>
      </c>
      <c r="E320" s="8" t="n">
        <v>476065</v>
      </c>
      <c r="F320" s="11" t="str">
        <f aca="false">INDEX(Caixas!$C:$C,MATCH(C320,Caixas!$A:$A,0))</f>
        <v>Aberta</v>
      </c>
      <c r="G320" s="9" t="n">
        <v>0</v>
      </c>
      <c r="H320" s="9" t="n">
        <v>6</v>
      </c>
      <c r="I320" s="8" t="n">
        <f aca="false">IF(F320="Inteira CBP",D320,IF(OR(F320="Aberta",F320="Avulso"),G320,0))</f>
        <v>0</v>
      </c>
      <c r="J320" s="8" t="n">
        <f aca="false">IF(F320="Inteira CBTBE",D320,IF(OR(F320="Aberta",F320="Avulso"),H320,0))</f>
        <v>6</v>
      </c>
      <c r="K320" s="8" t="n">
        <f aca="false">D320-I320-J320</f>
        <v>34</v>
      </c>
    </row>
    <row r="321" customFormat="false" ht="15" hidden="false" customHeight="false" outlineLevel="0" collapsed="false">
      <c r="A321" s="8" t="s">
        <v>525</v>
      </c>
      <c r="B321" s="8" t="s">
        <v>526</v>
      </c>
      <c r="C321" s="8" t="s">
        <v>171</v>
      </c>
      <c r="D321" s="8" t="n">
        <v>22</v>
      </c>
      <c r="E321" s="8" t="n">
        <v>476043</v>
      </c>
      <c r="F321" s="11" t="str">
        <f aca="false">INDEX(Caixas!$C:$C,MATCH(C321,Caixas!$A:$A,0))</f>
        <v>Aberta</v>
      </c>
      <c r="G321" s="9" t="n">
        <v>0</v>
      </c>
      <c r="H321" s="9" t="n">
        <v>22</v>
      </c>
      <c r="I321" s="8" t="n">
        <f aca="false">IF(F321="Inteira CBP",D321,IF(OR(F321="Aberta",F321="Avulso"),G321,0))</f>
        <v>0</v>
      </c>
      <c r="J321" s="8" t="n">
        <f aca="false">IF(F321="Inteira CBTBE",D321,IF(OR(F321="Aberta",F321="Avulso"),H321,0))</f>
        <v>22</v>
      </c>
      <c r="K321" s="8" t="n">
        <f aca="false">D321-I321-J321</f>
        <v>0</v>
      </c>
    </row>
    <row r="322" customFormat="false" ht="15" hidden="false" customHeight="false" outlineLevel="0" collapsed="false">
      <c r="A322" s="8" t="s">
        <v>519</v>
      </c>
      <c r="B322" s="8" t="s">
        <v>520</v>
      </c>
      <c r="C322" s="8" t="s">
        <v>172</v>
      </c>
      <c r="D322" s="8" t="n">
        <v>5</v>
      </c>
      <c r="E322" s="8" t="n">
        <v>476061</v>
      </c>
      <c r="F322" s="11" t="str">
        <f aca="false">INDEX(Caixas!$C:$C,MATCH(C322,Caixas!$A:$A,0))</f>
        <v>Devolução fechada</v>
      </c>
      <c r="G322" s="9" t="n">
        <v>0</v>
      </c>
      <c r="H322" s="9" t="n">
        <v>0</v>
      </c>
      <c r="I322" s="8" t="n">
        <f aca="false">IF(F322="Inteira CBP",D322,IF(OR(F322="Aberta",F322="Avulso"),G322,0))</f>
        <v>0</v>
      </c>
      <c r="J322" s="8" t="n">
        <f aca="false">IF(F322="Inteira CBTBE",D322,IF(OR(F322="Aberta",F322="Avulso"),H322,0))</f>
        <v>0</v>
      </c>
      <c r="K322" s="8" t="n">
        <f aca="false">D322-I322-J322</f>
        <v>5</v>
      </c>
    </row>
    <row r="323" customFormat="false" ht="15" hidden="false" customHeight="false" outlineLevel="0" collapsed="false">
      <c r="A323" s="8" t="s">
        <v>521</v>
      </c>
      <c r="B323" s="8" t="s">
        <v>522</v>
      </c>
      <c r="C323" s="8" t="s">
        <v>172</v>
      </c>
      <c r="D323" s="8" t="n">
        <v>40</v>
      </c>
      <c r="E323" s="8" t="n">
        <v>476065</v>
      </c>
      <c r="F323" s="11" t="str">
        <f aca="false">INDEX(Caixas!$C:$C,MATCH(C323,Caixas!$A:$A,0))</f>
        <v>Devolução fechada</v>
      </c>
      <c r="G323" s="9" t="n">
        <v>0</v>
      </c>
      <c r="H323" s="9" t="n">
        <v>0</v>
      </c>
      <c r="I323" s="8" t="n">
        <f aca="false">IF(F323="Inteira CBP",D323,IF(OR(F323="Aberta",F323="Avulso"),G323,0))</f>
        <v>0</v>
      </c>
      <c r="J323" s="8" t="n">
        <f aca="false">IF(F323="Inteira CBTBE",D323,IF(OR(F323="Aberta",F323="Avulso"),H323,0))</f>
        <v>0</v>
      </c>
      <c r="K323" s="8" t="n">
        <f aca="false">D323-I323-J323</f>
        <v>40</v>
      </c>
    </row>
    <row r="324" customFormat="false" ht="15" hidden="false" customHeight="false" outlineLevel="0" collapsed="false">
      <c r="A324" s="8" t="s">
        <v>525</v>
      </c>
      <c r="B324" s="8" t="s">
        <v>526</v>
      </c>
      <c r="C324" s="8" t="s">
        <v>172</v>
      </c>
      <c r="D324" s="8" t="n">
        <v>22</v>
      </c>
      <c r="E324" s="8" t="n">
        <v>476043</v>
      </c>
      <c r="F324" s="11" t="str">
        <f aca="false">INDEX(Caixas!$C:$C,MATCH(C324,Caixas!$A:$A,0))</f>
        <v>Devolução fechada</v>
      </c>
      <c r="G324" s="9" t="n">
        <v>0</v>
      </c>
      <c r="H324" s="9" t="n">
        <v>0</v>
      </c>
      <c r="I324" s="8" t="n">
        <f aca="false">IF(F324="Inteira CBP",D324,IF(OR(F324="Aberta",F324="Avulso"),G324,0))</f>
        <v>0</v>
      </c>
      <c r="J324" s="8" t="n">
        <f aca="false">IF(F324="Inteira CBTBE",D324,IF(OR(F324="Aberta",F324="Avulso"),H324,0))</f>
        <v>0</v>
      </c>
      <c r="K324" s="8" t="n">
        <f aca="false">D324-I324-J324</f>
        <v>22</v>
      </c>
    </row>
    <row r="325" customFormat="false" ht="15" hidden="false" customHeight="false" outlineLevel="0" collapsed="false">
      <c r="A325" s="8" t="s">
        <v>519</v>
      </c>
      <c r="B325" s="8" t="s">
        <v>520</v>
      </c>
      <c r="C325" s="8" t="s">
        <v>173</v>
      </c>
      <c r="D325" s="8" t="n">
        <v>5</v>
      </c>
      <c r="E325" s="8" t="n">
        <v>476061</v>
      </c>
      <c r="F325" s="11" t="str">
        <f aca="false">INDEX(Caixas!$C:$C,MATCH(C325,Caixas!$A:$A,0))</f>
        <v>Aberta</v>
      </c>
      <c r="G325" s="9" t="n">
        <v>5</v>
      </c>
      <c r="H325" s="9" t="n">
        <v>0</v>
      </c>
      <c r="I325" s="8" t="n">
        <f aca="false">IF(F325="Inteira CBP",D325,IF(OR(F325="Aberta",F325="Avulso"),G325,0))</f>
        <v>5</v>
      </c>
      <c r="J325" s="8" t="n">
        <f aca="false">IF(F325="Inteira CBTBE",D325,IF(OR(F325="Aberta",F325="Avulso"),H325,0))</f>
        <v>0</v>
      </c>
      <c r="K325" s="8" t="n">
        <f aca="false">D325-I325-J325</f>
        <v>0</v>
      </c>
    </row>
    <row r="326" customFormat="false" ht="15" hidden="false" customHeight="false" outlineLevel="0" collapsed="false">
      <c r="A326" s="8" t="s">
        <v>521</v>
      </c>
      <c r="B326" s="8" t="s">
        <v>522</v>
      </c>
      <c r="C326" s="8" t="s">
        <v>173</v>
      </c>
      <c r="D326" s="8" t="n">
        <v>40</v>
      </c>
      <c r="E326" s="8" t="n">
        <v>476065</v>
      </c>
      <c r="F326" s="11" t="str">
        <f aca="false">INDEX(Caixas!$C:$C,MATCH(C326,Caixas!$A:$A,0))</f>
        <v>Aberta</v>
      </c>
      <c r="G326" s="9" t="n">
        <v>0</v>
      </c>
      <c r="H326" s="9" t="n">
        <v>40</v>
      </c>
      <c r="I326" s="8" t="n">
        <f aca="false">IF(F326="Inteira CBP",D326,IF(OR(F326="Aberta",F326="Avulso"),G326,0))</f>
        <v>0</v>
      </c>
      <c r="J326" s="8" t="n">
        <f aca="false">IF(F326="Inteira CBTBE",D326,IF(OR(F326="Aberta",F326="Avulso"),H326,0))</f>
        <v>40</v>
      </c>
      <c r="K326" s="8" t="n">
        <f aca="false">D326-I326-J326</f>
        <v>0</v>
      </c>
    </row>
    <row r="327" customFormat="false" ht="15" hidden="false" customHeight="false" outlineLevel="0" collapsed="false">
      <c r="A327" s="8" t="s">
        <v>525</v>
      </c>
      <c r="B327" s="8" t="s">
        <v>526</v>
      </c>
      <c r="C327" s="8" t="s">
        <v>173</v>
      </c>
      <c r="D327" s="8" t="n">
        <v>22</v>
      </c>
      <c r="E327" s="8" t="n">
        <v>476043</v>
      </c>
      <c r="F327" s="11" t="str">
        <f aca="false">INDEX(Caixas!$C:$C,MATCH(C327,Caixas!$A:$A,0))</f>
        <v>Aberta</v>
      </c>
      <c r="G327" s="9" t="n">
        <v>1</v>
      </c>
      <c r="H327" s="9" t="n">
        <v>0</v>
      </c>
      <c r="I327" s="8" t="n">
        <f aca="false">IF(F327="Inteira CBP",D327,IF(OR(F327="Aberta",F327="Avulso"),G327,0))</f>
        <v>1</v>
      </c>
      <c r="J327" s="8" t="n">
        <f aca="false">IF(F327="Inteira CBTBE",D327,IF(OR(F327="Aberta",F327="Avulso"),H327,0))</f>
        <v>0</v>
      </c>
      <c r="K327" s="8" t="n">
        <f aca="false">D327-I327-J327</f>
        <v>21</v>
      </c>
    </row>
    <row r="328" customFormat="false" ht="15" hidden="false" customHeight="false" outlineLevel="0" collapsed="false">
      <c r="A328" s="8" t="s">
        <v>519</v>
      </c>
      <c r="B328" s="8" t="s">
        <v>520</v>
      </c>
      <c r="C328" s="8" t="s">
        <v>174</v>
      </c>
      <c r="D328" s="8" t="n">
        <v>5</v>
      </c>
      <c r="E328" s="8" t="n">
        <v>476061</v>
      </c>
      <c r="F328" s="11" t="str">
        <f aca="false">INDEX(Caixas!$C:$C,MATCH(C328,Caixas!$A:$A,0))</f>
        <v>Aberta</v>
      </c>
      <c r="G328" s="9" t="n">
        <v>0</v>
      </c>
      <c r="H328" s="9" t="n">
        <v>0</v>
      </c>
      <c r="I328" s="8" t="n">
        <f aca="false">IF(F328="Inteira CBP",D328,IF(OR(F328="Aberta",F328="Avulso"),G328,0))</f>
        <v>0</v>
      </c>
      <c r="J328" s="8" t="n">
        <f aca="false">IF(F328="Inteira CBTBE",D328,IF(OR(F328="Aberta",F328="Avulso"),H328,0))</f>
        <v>0</v>
      </c>
      <c r="K328" s="8" t="n">
        <f aca="false">D328-I328-J328</f>
        <v>5</v>
      </c>
    </row>
    <row r="329" customFormat="false" ht="15" hidden="false" customHeight="false" outlineLevel="0" collapsed="false">
      <c r="A329" s="8" t="s">
        <v>521</v>
      </c>
      <c r="B329" s="8" t="s">
        <v>522</v>
      </c>
      <c r="C329" s="8" t="s">
        <v>174</v>
      </c>
      <c r="D329" s="8" t="n">
        <v>40</v>
      </c>
      <c r="E329" s="8" t="n">
        <v>476065</v>
      </c>
      <c r="F329" s="11" t="str">
        <f aca="false">INDEX(Caixas!$C:$C,MATCH(C329,Caixas!$A:$A,0))</f>
        <v>Aberta</v>
      </c>
      <c r="G329" s="9" t="n">
        <v>0</v>
      </c>
      <c r="H329" s="9" t="n">
        <v>40</v>
      </c>
      <c r="I329" s="8" t="n">
        <f aca="false">IF(F329="Inteira CBP",D329,IF(OR(F329="Aberta",F329="Avulso"),G329,0))</f>
        <v>0</v>
      </c>
      <c r="J329" s="8" t="n">
        <f aca="false">IF(F329="Inteira CBTBE",D329,IF(OR(F329="Aberta",F329="Avulso"),H329,0))</f>
        <v>40</v>
      </c>
      <c r="K329" s="8" t="n">
        <f aca="false">D329-I329-J329</f>
        <v>0</v>
      </c>
    </row>
    <row r="330" customFormat="false" ht="15" hidden="false" customHeight="false" outlineLevel="0" collapsed="false">
      <c r="A330" s="8" t="s">
        <v>523</v>
      </c>
      <c r="B330" s="8" t="s">
        <v>524</v>
      </c>
      <c r="C330" s="8" t="s">
        <v>174</v>
      </c>
      <c r="D330" s="8" t="n">
        <v>22</v>
      </c>
      <c r="E330" s="8" t="n">
        <v>476043</v>
      </c>
      <c r="F330" s="11" t="str">
        <f aca="false">INDEX(Caixas!$C:$C,MATCH(C330,Caixas!$A:$A,0))</f>
        <v>Aberta</v>
      </c>
      <c r="G330" s="9" t="n">
        <v>0</v>
      </c>
      <c r="H330" s="9" t="n">
        <v>18</v>
      </c>
      <c r="I330" s="8" t="n">
        <f aca="false">IF(F330="Inteira CBP",D330,IF(OR(F330="Aberta",F330="Avulso"),G330,0))</f>
        <v>0</v>
      </c>
      <c r="J330" s="8" t="n">
        <f aca="false">IF(F330="Inteira CBTBE",D330,IF(OR(F330="Aberta",F330="Avulso"),H330,0))</f>
        <v>18</v>
      </c>
      <c r="K330" s="8" t="n">
        <f aca="false">D330-I330-J330</f>
        <v>4</v>
      </c>
    </row>
    <row r="331" customFormat="false" ht="15" hidden="false" customHeight="false" outlineLevel="0" collapsed="false">
      <c r="A331" s="8" t="s">
        <v>519</v>
      </c>
      <c r="B331" s="8" t="s">
        <v>520</v>
      </c>
      <c r="C331" s="8" t="s">
        <v>175</v>
      </c>
      <c r="D331" s="8" t="n">
        <v>5</v>
      </c>
      <c r="E331" s="8" t="n">
        <v>476061</v>
      </c>
      <c r="F331" s="11" t="str">
        <f aca="false">INDEX(Caixas!$C:$C,MATCH(C331,Caixas!$A:$A,0))</f>
        <v>Devolução fechada</v>
      </c>
      <c r="G331" s="9" t="n">
        <v>0</v>
      </c>
      <c r="H331" s="9" t="n">
        <v>0</v>
      </c>
      <c r="I331" s="8" t="n">
        <f aca="false">IF(F331="Inteira CBP",D331,IF(OR(F331="Aberta",F331="Avulso"),G331,0))</f>
        <v>0</v>
      </c>
      <c r="J331" s="8" t="n">
        <f aca="false">IF(F331="Inteira CBTBE",D331,IF(OR(F331="Aberta",F331="Avulso"),H331,0))</f>
        <v>0</v>
      </c>
      <c r="K331" s="8" t="n">
        <f aca="false">D331-I331-J331</f>
        <v>5</v>
      </c>
    </row>
    <row r="332" customFormat="false" ht="15" hidden="false" customHeight="false" outlineLevel="0" collapsed="false">
      <c r="A332" s="8" t="s">
        <v>521</v>
      </c>
      <c r="B332" s="8" t="s">
        <v>522</v>
      </c>
      <c r="C332" s="8" t="s">
        <v>175</v>
      </c>
      <c r="D332" s="8" t="n">
        <v>40</v>
      </c>
      <c r="E332" s="8" t="n">
        <v>476065</v>
      </c>
      <c r="F332" s="11" t="str">
        <f aca="false">INDEX(Caixas!$C:$C,MATCH(C332,Caixas!$A:$A,0))</f>
        <v>Devolução fechada</v>
      </c>
      <c r="G332" s="9" t="n">
        <v>0</v>
      </c>
      <c r="H332" s="9" t="n">
        <v>0</v>
      </c>
      <c r="I332" s="8" t="n">
        <f aca="false">IF(F332="Inteira CBP",D332,IF(OR(F332="Aberta",F332="Avulso"),G332,0))</f>
        <v>0</v>
      </c>
      <c r="J332" s="8" t="n">
        <f aca="false">IF(F332="Inteira CBTBE",D332,IF(OR(F332="Aberta",F332="Avulso"),H332,0))</f>
        <v>0</v>
      </c>
      <c r="K332" s="8" t="n">
        <f aca="false">D332-I332-J332</f>
        <v>40</v>
      </c>
    </row>
    <row r="333" customFormat="false" ht="15" hidden="false" customHeight="false" outlineLevel="0" collapsed="false">
      <c r="A333" s="8" t="s">
        <v>519</v>
      </c>
      <c r="B333" s="8" t="s">
        <v>520</v>
      </c>
      <c r="C333" s="8" t="s">
        <v>176</v>
      </c>
      <c r="D333" s="8" t="n">
        <v>5</v>
      </c>
      <c r="E333" s="8" t="n">
        <v>476061</v>
      </c>
      <c r="F333" s="11" t="str">
        <f aca="false">INDEX(Caixas!$C:$C,MATCH(C333,Caixas!$A:$A,0))</f>
        <v>Devolução fechada</v>
      </c>
      <c r="G333" s="9" t="n">
        <v>0</v>
      </c>
      <c r="H333" s="9" t="n">
        <v>0</v>
      </c>
      <c r="I333" s="8" t="n">
        <f aca="false">IF(F333="Inteira CBP",D333,IF(OR(F333="Aberta",F333="Avulso"),G333,0))</f>
        <v>0</v>
      </c>
      <c r="J333" s="8" t="n">
        <f aca="false">IF(F333="Inteira CBTBE",D333,IF(OR(F333="Aberta",F333="Avulso"),H333,0))</f>
        <v>0</v>
      </c>
      <c r="K333" s="8" t="n">
        <f aca="false">D333-I333-J333</f>
        <v>5</v>
      </c>
    </row>
    <row r="334" customFormat="false" ht="15" hidden="false" customHeight="false" outlineLevel="0" collapsed="false">
      <c r="A334" s="8" t="s">
        <v>521</v>
      </c>
      <c r="B334" s="8" t="s">
        <v>522</v>
      </c>
      <c r="C334" s="8" t="s">
        <v>176</v>
      </c>
      <c r="D334" s="8" t="n">
        <v>40</v>
      </c>
      <c r="E334" s="8" t="n">
        <v>476065</v>
      </c>
      <c r="F334" s="11" t="str">
        <f aca="false">INDEX(Caixas!$C:$C,MATCH(C334,Caixas!$A:$A,0))</f>
        <v>Devolução fechada</v>
      </c>
      <c r="G334" s="9" t="n">
        <v>0</v>
      </c>
      <c r="H334" s="9" t="n">
        <v>0</v>
      </c>
      <c r="I334" s="8" t="n">
        <f aca="false">IF(F334="Inteira CBP",D334,IF(OR(F334="Aberta",F334="Avulso"),G334,0))</f>
        <v>0</v>
      </c>
      <c r="J334" s="8" t="n">
        <f aca="false">IF(F334="Inteira CBTBE",D334,IF(OR(F334="Aberta",F334="Avulso"),H334,0))</f>
        <v>0</v>
      </c>
      <c r="K334" s="8" t="n">
        <f aca="false">D334-I334-J334</f>
        <v>40</v>
      </c>
    </row>
    <row r="335" customFormat="false" ht="15" hidden="false" customHeight="false" outlineLevel="0" collapsed="false">
      <c r="A335" s="8" t="s">
        <v>519</v>
      </c>
      <c r="B335" s="8" t="s">
        <v>520</v>
      </c>
      <c r="C335" s="8" t="s">
        <v>177</v>
      </c>
      <c r="D335" s="8" t="n">
        <v>5</v>
      </c>
      <c r="E335" s="8" t="n">
        <v>476061</v>
      </c>
      <c r="F335" s="11" t="str">
        <f aca="false">INDEX(Caixas!$C:$C,MATCH(C335,Caixas!$A:$A,0))</f>
        <v>Inteira CBTBE</v>
      </c>
      <c r="G335" s="9" t="n">
        <v>0</v>
      </c>
      <c r="H335" s="9" t="n">
        <v>0</v>
      </c>
      <c r="I335" s="8" t="n">
        <f aca="false">IF(F335="Inteira CBP",D335,IF(OR(F335="Aberta",F335="Avulso"),G335,0))</f>
        <v>0</v>
      </c>
      <c r="J335" s="8" t="n">
        <f aca="false">IF(F335="Inteira CBTBE",D335,IF(OR(F335="Aberta",F335="Avulso"),H335,0))</f>
        <v>5</v>
      </c>
      <c r="K335" s="8" t="n">
        <f aca="false">D335-I335-J335</f>
        <v>0</v>
      </c>
    </row>
    <row r="336" customFormat="false" ht="15" hidden="false" customHeight="false" outlineLevel="0" collapsed="false">
      <c r="A336" s="8" t="s">
        <v>527</v>
      </c>
      <c r="B336" s="8" t="s">
        <v>528</v>
      </c>
      <c r="C336" s="8" t="s">
        <v>177</v>
      </c>
      <c r="D336" s="8" t="n">
        <v>20</v>
      </c>
      <c r="E336" s="8" t="n">
        <v>476043</v>
      </c>
      <c r="F336" s="11" t="str">
        <f aca="false">INDEX(Caixas!$C:$C,MATCH(C336,Caixas!$A:$A,0))</f>
        <v>Inteira CBTBE</v>
      </c>
      <c r="G336" s="9" t="n">
        <v>0</v>
      </c>
      <c r="H336" s="9" t="n">
        <v>0</v>
      </c>
      <c r="I336" s="8" t="n">
        <f aca="false">IF(F336="Inteira CBP",D336,IF(OR(F336="Aberta",F336="Avulso"),G336,0))</f>
        <v>0</v>
      </c>
      <c r="J336" s="8" t="n">
        <f aca="false">IF(F336="Inteira CBTBE",D336,IF(OR(F336="Aberta",F336="Avulso"),H336,0))</f>
        <v>20</v>
      </c>
      <c r="K336" s="8" t="n">
        <f aca="false">D336-I336-J336</f>
        <v>0</v>
      </c>
    </row>
    <row r="337" customFormat="false" ht="15" hidden="false" customHeight="false" outlineLevel="0" collapsed="false">
      <c r="A337" s="8" t="s">
        <v>505</v>
      </c>
      <c r="B337" s="8" t="s">
        <v>506</v>
      </c>
      <c r="C337" s="8" t="s">
        <v>177</v>
      </c>
      <c r="D337" s="8" t="n">
        <v>24</v>
      </c>
      <c r="E337" s="8" t="n">
        <v>476065</v>
      </c>
      <c r="F337" s="11" t="str">
        <f aca="false">INDEX(Caixas!$C:$C,MATCH(C337,Caixas!$A:$A,0))</f>
        <v>Inteira CBTBE</v>
      </c>
      <c r="G337" s="9" t="n">
        <v>0</v>
      </c>
      <c r="H337" s="9" t="n">
        <v>0</v>
      </c>
      <c r="I337" s="8" t="n">
        <f aca="false">IF(F337="Inteira CBP",D337,IF(OR(F337="Aberta",F337="Avulso"),G337,0))</f>
        <v>0</v>
      </c>
      <c r="J337" s="8" t="n">
        <f aca="false">IF(F337="Inteira CBTBE",D337,IF(OR(F337="Aberta",F337="Avulso"),H337,0))</f>
        <v>24</v>
      </c>
      <c r="K337" s="8" t="n">
        <f aca="false">D337-I337-J337</f>
        <v>0</v>
      </c>
    </row>
    <row r="338" customFormat="false" ht="15" hidden="false" customHeight="false" outlineLevel="0" collapsed="false">
      <c r="A338" s="8" t="s">
        <v>519</v>
      </c>
      <c r="B338" s="8" t="s">
        <v>520</v>
      </c>
      <c r="C338" s="8" t="s">
        <v>178</v>
      </c>
      <c r="D338" s="8" t="n">
        <v>5</v>
      </c>
      <c r="E338" s="8" t="n">
        <v>476061</v>
      </c>
      <c r="F338" s="11" t="str">
        <f aca="false">INDEX(Caixas!$C:$C,MATCH(C338,Caixas!$A:$A,0))</f>
        <v>Devolução fechada</v>
      </c>
      <c r="G338" s="9" t="n">
        <v>0</v>
      </c>
      <c r="H338" s="9" t="n">
        <v>0</v>
      </c>
      <c r="I338" s="8" t="n">
        <f aca="false">IF(F338="Inteira CBP",D338,IF(OR(F338="Aberta",F338="Avulso"),G338,0))</f>
        <v>0</v>
      </c>
      <c r="J338" s="8" t="n">
        <f aca="false">IF(F338="Inteira CBTBE",D338,IF(OR(F338="Aberta",F338="Avulso"),H338,0))</f>
        <v>0</v>
      </c>
      <c r="K338" s="8" t="n">
        <f aca="false">D338-I338-J338</f>
        <v>5</v>
      </c>
    </row>
    <row r="339" customFormat="false" ht="15" hidden="false" customHeight="false" outlineLevel="0" collapsed="false">
      <c r="A339" s="8" t="s">
        <v>527</v>
      </c>
      <c r="B339" s="8" t="s">
        <v>528</v>
      </c>
      <c r="C339" s="8" t="s">
        <v>178</v>
      </c>
      <c r="D339" s="8" t="n">
        <v>20</v>
      </c>
      <c r="E339" s="8" t="n">
        <v>476043</v>
      </c>
      <c r="F339" s="11" t="str">
        <f aca="false">INDEX(Caixas!$C:$C,MATCH(C339,Caixas!$A:$A,0))</f>
        <v>Devolução fechada</v>
      </c>
      <c r="G339" s="9" t="n">
        <v>0</v>
      </c>
      <c r="H339" s="9" t="n">
        <v>0</v>
      </c>
      <c r="I339" s="8" t="n">
        <f aca="false">IF(F339="Inteira CBP",D339,IF(OR(F339="Aberta",F339="Avulso"),G339,0))</f>
        <v>0</v>
      </c>
      <c r="J339" s="8" t="n">
        <f aca="false">IF(F339="Inteira CBTBE",D339,IF(OR(F339="Aberta",F339="Avulso"),H339,0))</f>
        <v>0</v>
      </c>
      <c r="K339" s="8" t="n">
        <f aca="false">D339-I339-J339</f>
        <v>20</v>
      </c>
    </row>
    <row r="340" customFormat="false" ht="15" hidden="false" customHeight="false" outlineLevel="0" collapsed="false">
      <c r="A340" s="8" t="s">
        <v>505</v>
      </c>
      <c r="B340" s="8" t="s">
        <v>506</v>
      </c>
      <c r="C340" s="8" t="s">
        <v>178</v>
      </c>
      <c r="D340" s="8" t="n">
        <v>24</v>
      </c>
      <c r="E340" s="8" t="n">
        <v>476065</v>
      </c>
      <c r="F340" s="11" t="str">
        <f aca="false">INDEX(Caixas!$C:$C,MATCH(C340,Caixas!$A:$A,0))</f>
        <v>Devolução fechada</v>
      </c>
      <c r="G340" s="9" t="n">
        <v>0</v>
      </c>
      <c r="H340" s="9" t="n">
        <v>0</v>
      </c>
      <c r="I340" s="8" t="n">
        <f aca="false">IF(F340="Inteira CBP",D340,IF(OR(F340="Aberta",F340="Avulso"),G340,0))</f>
        <v>0</v>
      </c>
      <c r="J340" s="8" t="n">
        <f aca="false">IF(F340="Inteira CBTBE",D340,IF(OR(F340="Aberta",F340="Avulso"),H340,0))</f>
        <v>0</v>
      </c>
      <c r="K340" s="8" t="n">
        <f aca="false">D340-I340-J340</f>
        <v>24</v>
      </c>
    </row>
    <row r="341" customFormat="false" ht="15" hidden="false" customHeight="false" outlineLevel="0" collapsed="false">
      <c r="A341" s="8" t="s">
        <v>519</v>
      </c>
      <c r="B341" s="8" t="s">
        <v>520</v>
      </c>
      <c r="C341" s="8" t="s">
        <v>179</v>
      </c>
      <c r="D341" s="8" t="n">
        <v>5</v>
      </c>
      <c r="E341" s="8" t="n">
        <v>476061</v>
      </c>
      <c r="F341" s="11" t="str">
        <f aca="false">INDEX(Caixas!$C:$C,MATCH(C341,Caixas!$A:$A,0))</f>
        <v>Aberta</v>
      </c>
      <c r="G341" s="9" t="n">
        <v>0</v>
      </c>
      <c r="H341" s="9" t="n">
        <v>0</v>
      </c>
      <c r="I341" s="8" t="n">
        <f aca="false">IF(F341="Inteira CBP",D341,IF(OR(F341="Aberta",F341="Avulso"),G341,0))</f>
        <v>0</v>
      </c>
      <c r="J341" s="8" t="n">
        <f aca="false">IF(F341="Inteira CBTBE",D341,IF(OR(F341="Aberta",F341="Avulso"),H341,0))</f>
        <v>0</v>
      </c>
      <c r="K341" s="8" t="n">
        <f aca="false">D341-I341-J341</f>
        <v>5</v>
      </c>
    </row>
    <row r="342" customFormat="false" ht="15" hidden="false" customHeight="false" outlineLevel="0" collapsed="false">
      <c r="A342" s="8" t="s">
        <v>529</v>
      </c>
      <c r="B342" s="8" t="s">
        <v>530</v>
      </c>
      <c r="C342" s="8" t="s">
        <v>179</v>
      </c>
      <c r="D342" s="8" t="n">
        <v>44</v>
      </c>
      <c r="E342" s="8" t="n">
        <v>476043</v>
      </c>
      <c r="F342" s="11" t="str">
        <f aca="false">INDEX(Caixas!$C:$C,MATCH(C342,Caixas!$A:$A,0))</f>
        <v>Aberta</v>
      </c>
      <c r="G342" s="9" t="n">
        <v>0</v>
      </c>
      <c r="H342" s="9" t="n">
        <v>44</v>
      </c>
      <c r="I342" s="8" t="n">
        <f aca="false">IF(F342="Inteira CBP",D342,IF(OR(F342="Aberta",F342="Avulso"),G342,0))</f>
        <v>0</v>
      </c>
      <c r="J342" s="8" t="n">
        <f aca="false">IF(F342="Inteira CBTBE",D342,IF(OR(F342="Aberta",F342="Avulso"),H342,0))</f>
        <v>44</v>
      </c>
      <c r="K342" s="8" t="n">
        <f aca="false">D342-I342-J342</f>
        <v>0</v>
      </c>
    </row>
    <row r="343" customFormat="false" ht="15" hidden="false" customHeight="false" outlineLevel="0" collapsed="false">
      <c r="A343" s="8" t="s">
        <v>505</v>
      </c>
      <c r="B343" s="8" t="s">
        <v>506</v>
      </c>
      <c r="C343" s="8" t="s">
        <v>179</v>
      </c>
      <c r="D343" s="8" t="n">
        <v>24</v>
      </c>
      <c r="E343" s="8" t="n">
        <v>476065</v>
      </c>
      <c r="F343" s="11" t="str">
        <f aca="false">INDEX(Caixas!$C:$C,MATCH(C343,Caixas!$A:$A,0))</f>
        <v>Aberta</v>
      </c>
      <c r="G343" s="9" t="n">
        <v>0</v>
      </c>
      <c r="H343" s="9" t="n">
        <v>0</v>
      </c>
      <c r="I343" s="8" t="n">
        <f aca="false">IF(F343="Inteira CBP",D343,IF(OR(F343="Aberta",F343="Avulso"),G343,0))</f>
        <v>0</v>
      </c>
      <c r="J343" s="8" t="n">
        <f aca="false">IF(F343="Inteira CBTBE",D343,IF(OR(F343="Aberta",F343="Avulso"),H343,0))</f>
        <v>0</v>
      </c>
      <c r="K343" s="8" t="n">
        <f aca="false">D343-I343-J343</f>
        <v>24</v>
      </c>
    </row>
    <row r="344" customFormat="false" ht="15" hidden="false" customHeight="false" outlineLevel="0" collapsed="false">
      <c r="A344" s="8" t="s">
        <v>519</v>
      </c>
      <c r="B344" s="8" t="s">
        <v>520</v>
      </c>
      <c r="C344" s="8" t="s">
        <v>180</v>
      </c>
      <c r="D344" s="8" t="n">
        <v>5</v>
      </c>
      <c r="E344" s="8" t="n">
        <v>476061</v>
      </c>
      <c r="F344" s="11" t="str">
        <f aca="false">INDEX(Caixas!$C:$C,MATCH(C344,Caixas!$A:$A,0))</f>
        <v>Aberta</v>
      </c>
      <c r="G344" s="9" t="n">
        <v>0</v>
      </c>
      <c r="H344" s="9" t="n">
        <v>0</v>
      </c>
      <c r="I344" s="8" t="n">
        <f aca="false">IF(F344="Inteira CBP",D344,IF(OR(F344="Aberta",F344="Avulso"),G344,0))</f>
        <v>0</v>
      </c>
      <c r="J344" s="8" t="n">
        <f aca="false">IF(F344="Inteira CBTBE",D344,IF(OR(F344="Aberta",F344="Avulso"),H344,0))</f>
        <v>0</v>
      </c>
      <c r="K344" s="8" t="n">
        <f aca="false">D344-I344-J344</f>
        <v>5</v>
      </c>
    </row>
    <row r="345" customFormat="false" ht="15" hidden="false" customHeight="false" outlineLevel="0" collapsed="false">
      <c r="A345" s="8" t="s">
        <v>529</v>
      </c>
      <c r="B345" s="8" t="s">
        <v>530</v>
      </c>
      <c r="C345" s="8" t="s">
        <v>180</v>
      </c>
      <c r="D345" s="8" t="n">
        <v>43</v>
      </c>
      <c r="E345" s="8" t="n">
        <v>476043</v>
      </c>
      <c r="F345" s="11" t="str">
        <f aca="false">INDEX(Caixas!$C:$C,MATCH(C345,Caixas!$A:$A,0))</f>
        <v>Aberta</v>
      </c>
      <c r="G345" s="9" t="n">
        <v>40</v>
      </c>
      <c r="H345" s="9" t="n">
        <v>3</v>
      </c>
      <c r="I345" s="8" t="n">
        <f aca="false">IF(F345="Inteira CBP",D345,IF(OR(F345="Aberta",F345="Avulso"),G345,0))</f>
        <v>40</v>
      </c>
      <c r="J345" s="8" t="n">
        <f aca="false">IF(F345="Inteira CBTBE",D345,IF(OR(F345="Aberta",F345="Avulso"),H345,0))</f>
        <v>3</v>
      </c>
      <c r="K345" s="8" t="n">
        <f aca="false">D345-I345-J345</f>
        <v>0</v>
      </c>
    </row>
    <row r="346" customFormat="false" ht="15" hidden="false" customHeight="false" outlineLevel="0" collapsed="false">
      <c r="A346" s="8" t="s">
        <v>531</v>
      </c>
      <c r="B346" s="8" t="s">
        <v>532</v>
      </c>
      <c r="C346" s="8" t="s">
        <v>180</v>
      </c>
      <c r="D346" s="8" t="n">
        <v>18</v>
      </c>
      <c r="E346" s="8" t="n">
        <v>476065</v>
      </c>
      <c r="F346" s="11" t="str">
        <f aca="false">INDEX(Caixas!$C:$C,MATCH(C346,Caixas!$A:$A,0))</f>
        <v>Aberta</v>
      </c>
      <c r="G346" s="9" t="n">
        <v>5</v>
      </c>
      <c r="H346" s="9" t="n">
        <v>12</v>
      </c>
      <c r="I346" s="8" t="n">
        <f aca="false">IF(F346="Inteira CBP",D346,IF(OR(F346="Aberta",F346="Avulso"),G346,0))</f>
        <v>5</v>
      </c>
      <c r="J346" s="8" t="n">
        <f aca="false">IF(F346="Inteira CBTBE",D346,IF(OR(F346="Aberta",F346="Avulso"),H346,0))</f>
        <v>12</v>
      </c>
      <c r="K346" s="8" t="n">
        <f aca="false">D346-I346-J346</f>
        <v>1</v>
      </c>
    </row>
    <row r="347" customFormat="false" ht="15" hidden="false" customHeight="false" outlineLevel="0" collapsed="false">
      <c r="A347" s="8" t="s">
        <v>519</v>
      </c>
      <c r="B347" s="8" t="s">
        <v>520</v>
      </c>
      <c r="C347" s="8" t="s">
        <v>181</v>
      </c>
      <c r="D347" s="8" t="n">
        <v>5</v>
      </c>
      <c r="E347" s="8" t="n">
        <v>476061</v>
      </c>
      <c r="F347" s="11" t="str">
        <f aca="false">INDEX(Caixas!$C:$C,MATCH(C347,Caixas!$A:$A,0))</f>
        <v>Devolução fechada</v>
      </c>
      <c r="G347" s="9" t="n">
        <v>0</v>
      </c>
      <c r="H347" s="9" t="n">
        <v>0</v>
      </c>
      <c r="I347" s="8" t="n">
        <f aca="false">IF(F347="Inteira CBP",D347,IF(OR(F347="Aberta",F347="Avulso"),G347,0))</f>
        <v>0</v>
      </c>
      <c r="J347" s="8" t="n">
        <f aca="false">IF(F347="Inteira CBTBE",D347,IF(OR(F347="Aberta",F347="Avulso"),H347,0))</f>
        <v>0</v>
      </c>
      <c r="K347" s="8" t="n">
        <f aca="false">D347-I347-J347</f>
        <v>5</v>
      </c>
    </row>
    <row r="348" customFormat="false" ht="15" hidden="false" customHeight="false" outlineLevel="0" collapsed="false">
      <c r="A348" s="8" t="s">
        <v>531</v>
      </c>
      <c r="B348" s="8" t="s">
        <v>532</v>
      </c>
      <c r="C348" s="8" t="s">
        <v>181</v>
      </c>
      <c r="D348" s="8" t="n">
        <v>18</v>
      </c>
      <c r="E348" s="8" t="n">
        <v>476065</v>
      </c>
      <c r="F348" s="11" t="str">
        <f aca="false">INDEX(Caixas!$C:$C,MATCH(C348,Caixas!$A:$A,0))</f>
        <v>Devolução fechada</v>
      </c>
      <c r="G348" s="9" t="n">
        <v>0</v>
      </c>
      <c r="H348" s="9" t="n">
        <v>0</v>
      </c>
      <c r="I348" s="8" t="n">
        <f aca="false">IF(F348="Inteira CBP",D348,IF(OR(F348="Aberta",F348="Avulso"),G348,0))</f>
        <v>0</v>
      </c>
      <c r="J348" s="8" t="n">
        <f aca="false">IF(F348="Inteira CBTBE",D348,IF(OR(F348="Aberta",F348="Avulso"),H348,0))</f>
        <v>0</v>
      </c>
      <c r="K348" s="8" t="n">
        <f aca="false">D348-I348-J348</f>
        <v>18</v>
      </c>
    </row>
    <row r="349" customFormat="false" ht="15" hidden="false" customHeight="false" outlineLevel="0" collapsed="false">
      <c r="A349" s="8" t="s">
        <v>519</v>
      </c>
      <c r="B349" s="8" t="s">
        <v>520</v>
      </c>
      <c r="C349" s="8" t="s">
        <v>182</v>
      </c>
      <c r="D349" s="8" t="n">
        <v>5</v>
      </c>
      <c r="E349" s="8" t="n">
        <v>476061</v>
      </c>
      <c r="F349" s="11" t="str">
        <f aca="false">INDEX(Caixas!$C:$C,MATCH(C349,Caixas!$A:$A,0))</f>
        <v>Devolução fechada</v>
      </c>
      <c r="G349" s="9" t="n">
        <v>0</v>
      </c>
      <c r="H349" s="9" t="n">
        <v>0</v>
      </c>
      <c r="I349" s="8" t="n">
        <f aca="false">IF(F349="Inteira CBP",D349,IF(OR(F349="Aberta",F349="Avulso"),G349,0))</f>
        <v>0</v>
      </c>
      <c r="J349" s="8" t="n">
        <f aca="false">IF(F349="Inteira CBTBE",D349,IF(OR(F349="Aberta",F349="Avulso"),H349,0))</f>
        <v>0</v>
      </c>
      <c r="K349" s="8" t="n">
        <f aca="false">D349-I349-J349</f>
        <v>5</v>
      </c>
    </row>
    <row r="350" customFormat="false" ht="15" hidden="false" customHeight="false" outlineLevel="0" collapsed="false">
      <c r="A350" s="8" t="s">
        <v>531</v>
      </c>
      <c r="B350" s="8" t="s">
        <v>532</v>
      </c>
      <c r="C350" s="8" t="s">
        <v>182</v>
      </c>
      <c r="D350" s="8" t="n">
        <v>18</v>
      </c>
      <c r="E350" s="8" t="n">
        <v>476065</v>
      </c>
      <c r="F350" s="11" t="str">
        <f aca="false">INDEX(Caixas!$C:$C,MATCH(C350,Caixas!$A:$A,0))</f>
        <v>Devolução fechada</v>
      </c>
      <c r="G350" s="9" t="n">
        <v>0</v>
      </c>
      <c r="H350" s="9" t="n">
        <v>0</v>
      </c>
      <c r="I350" s="8" t="n">
        <f aca="false">IF(F350="Inteira CBP",D350,IF(OR(F350="Aberta",F350="Avulso"),G350,0))</f>
        <v>0</v>
      </c>
      <c r="J350" s="8" t="n">
        <f aca="false">IF(F350="Inteira CBTBE",D350,IF(OR(F350="Aberta",F350="Avulso"),H350,0))</f>
        <v>0</v>
      </c>
      <c r="K350" s="8" t="n">
        <f aca="false">D350-I350-J350</f>
        <v>18</v>
      </c>
    </row>
    <row r="351" customFormat="false" ht="15" hidden="false" customHeight="false" outlineLevel="0" collapsed="false">
      <c r="A351" s="8" t="s">
        <v>519</v>
      </c>
      <c r="B351" s="8" t="s">
        <v>520</v>
      </c>
      <c r="C351" s="8" t="s">
        <v>183</v>
      </c>
      <c r="D351" s="8" t="n">
        <v>5</v>
      </c>
      <c r="E351" s="8" t="n">
        <v>476061</v>
      </c>
      <c r="F351" s="11" t="str">
        <f aca="false">INDEX(Caixas!$C:$C,MATCH(C351,Caixas!$A:$A,0))</f>
        <v>Devolução fechada</v>
      </c>
      <c r="G351" s="9" t="n">
        <v>0</v>
      </c>
      <c r="H351" s="9" t="n">
        <v>0</v>
      </c>
      <c r="I351" s="8" t="n">
        <f aca="false">IF(F351="Inteira CBP",D351,IF(OR(F351="Aberta",F351="Avulso"),G351,0))</f>
        <v>0</v>
      </c>
      <c r="J351" s="8" t="n">
        <f aca="false">IF(F351="Inteira CBTBE",D351,IF(OR(F351="Aberta",F351="Avulso"),H351,0))</f>
        <v>0</v>
      </c>
      <c r="K351" s="8" t="n">
        <f aca="false">D351-I351-J351</f>
        <v>5</v>
      </c>
    </row>
    <row r="352" customFormat="false" ht="15" hidden="false" customHeight="false" outlineLevel="0" collapsed="false">
      <c r="A352" s="8" t="s">
        <v>523</v>
      </c>
      <c r="B352" s="8" t="s">
        <v>524</v>
      </c>
      <c r="C352" s="8" t="s">
        <v>183</v>
      </c>
      <c r="D352" s="8" t="n">
        <v>22</v>
      </c>
      <c r="E352" s="8" t="n">
        <v>476043</v>
      </c>
      <c r="F352" s="11" t="str">
        <f aca="false">INDEX(Caixas!$C:$C,MATCH(C352,Caixas!$A:$A,0))</f>
        <v>Devolução fechada</v>
      </c>
      <c r="G352" s="9" t="n">
        <v>0</v>
      </c>
      <c r="H352" s="9" t="n">
        <v>0</v>
      </c>
      <c r="I352" s="8" t="n">
        <f aca="false">IF(F352="Inteira CBP",D352,IF(OR(F352="Aberta",F352="Avulso"),G352,0))</f>
        <v>0</v>
      </c>
      <c r="J352" s="8" t="n">
        <f aca="false">IF(F352="Inteira CBTBE",D352,IF(OR(F352="Aberta",F352="Avulso"),H352,0))</f>
        <v>0</v>
      </c>
      <c r="K352" s="8" t="n">
        <f aca="false">D352-I352-J352</f>
        <v>22</v>
      </c>
    </row>
    <row r="353" customFormat="false" ht="15" hidden="false" customHeight="false" outlineLevel="0" collapsed="false">
      <c r="A353" s="8" t="s">
        <v>531</v>
      </c>
      <c r="B353" s="8" t="s">
        <v>532</v>
      </c>
      <c r="C353" s="8" t="s">
        <v>183</v>
      </c>
      <c r="D353" s="8" t="n">
        <v>18</v>
      </c>
      <c r="E353" s="8" t="n">
        <v>476065</v>
      </c>
      <c r="F353" s="11" t="str">
        <f aca="false">INDEX(Caixas!$C:$C,MATCH(C353,Caixas!$A:$A,0))</f>
        <v>Devolução fechada</v>
      </c>
      <c r="G353" s="9" t="n">
        <v>0</v>
      </c>
      <c r="H353" s="9" t="n">
        <v>0</v>
      </c>
      <c r="I353" s="8" t="n">
        <f aca="false">IF(F353="Inteira CBP",D353,IF(OR(F353="Aberta",F353="Avulso"),G353,0))</f>
        <v>0</v>
      </c>
      <c r="J353" s="8" t="n">
        <f aca="false">IF(F353="Inteira CBTBE",D353,IF(OR(F353="Aberta",F353="Avulso"),H353,0))</f>
        <v>0</v>
      </c>
      <c r="K353" s="8" t="n">
        <f aca="false">D353-I353-J353</f>
        <v>18</v>
      </c>
    </row>
    <row r="354" customFormat="false" ht="15" hidden="false" customHeight="false" outlineLevel="0" collapsed="false">
      <c r="A354" s="8" t="s">
        <v>519</v>
      </c>
      <c r="B354" s="8" t="s">
        <v>520</v>
      </c>
      <c r="C354" s="8" t="s">
        <v>184</v>
      </c>
      <c r="D354" s="8" t="n">
        <v>5</v>
      </c>
      <c r="E354" s="8" t="n">
        <v>476061</v>
      </c>
      <c r="F354" s="11" t="str">
        <f aca="false">INDEX(Caixas!$C:$C,MATCH(C354,Caixas!$A:$A,0))</f>
        <v>Devolução fechada</v>
      </c>
      <c r="G354" s="9" t="n">
        <v>0</v>
      </c>
      <c r="H354" s="9" t="n">
        <v>0</v>
      </c>
      <c r="I354" s="8" t="n">
        <f aca="false">IF(F354="Inteira CBP",D354,IF(OR(F354="Aberta",F354="Avulso"),G354,0))</f>
        <v>0</v>
      </c>
      <c r="J354" s="8" t="n">
        <f aca="false">IF(F354="Inteira CBTBE",D354,IF(OR(F354="Aberta",F354="Avulso"),H354,0))</f>
        <v>0</v>
      </c>
      <c r="K354" s="8" t="n">
        <f aca="false">D354-I354-J354</f>
        <v>5</v>
      </c>
    </row>
    <row r="355" customFormat="false" ht="15" hidden="false" customHeight="false" outlineLevel="0" collapsed="false">
      <c r="A355" s="8" t="s">
        <v>523</v>
      </c>
      <c r="B355" s="8" t="s">
        <v>524</v>
      </c>
      <c r="C355" s="8" t="s">
        <v>184</v>
      </c>
      <c r="D355" s="8" t="n">
        <v>22</v>
      </c>
      <c r="E355" s="8" t="n">
        <v>476043</v>
      </c>
      <c r="F355" s="11" t="str">
        <f aca="false">INDEX(Caixas!$C:$C,MATCH(C355,Caixas!$A:$A,0))</f>
        <v>Devolução fechada</v>
      </c>
      <c r="G355" s="9" t="n">
        <v>0</v>
      </c>
      <c r="H355" s="9" t="n">
        <v>0</v>
      </c>
      <c r="I355" s="8" t="n">
        <f aca="false">IF(F355="Inteira CBP",D355,IF(OR(F355="Aberta",F355="Avulso"),G355,0))</f>
        <v>0</v>
      </c>
      <c r="J355" s="8" t="n">
        <f aca="false">IF(F355="Inteira CBTBE",D355,IF(OR(F355="Aberta",F355="Avulso"),H355,0))</f>
        <v>0</v>
      </c>
      <c r="K355" s="8" t="n">
        <f aca="false">D355-I355-J355</f>
        <v>22</v>
      </c>
    </row>
    <row r="356" customFormat="false" ht="15" hidden="false" customHeight="false" outlineLevel="0" collapsed="false">
      <c r="A356" s="8" t="s">
        <v>531</v>
      </c>
      <c r="B356" s="8" t="s">
        <v>532</v>
      </c>
      <c r="C356" s="8" t="s">
        <v>184</v>
      </c>
      <c r="D356" s="8" t="n">
        <v>18</v>
      </c>
      <c r="E356" s="8" t="n">
        <v>476065</v>
      </c>
      <c r="F356" s="11" t="str">
        <f aca="false">INDEX(Caixas!$C:$C,MATCH(C356,Caixas!$A:$A,0))</f>
        <v>Devolução fechada</v>
      </c>
      <c r="G356" s="9" t="n">
        <v>0</v>
      </c>
      <c r="H356" s="9" t="n">
        <v>0</v>
      </c>
      <c r="I356" s="8" t="n">
        <f aca="false">IF(F356="Inteira CBP",D356,IF(OR(F356="Aberta",F356="Avulso"),G356,0))</f>
        <v>0</v>
      </c>
      <c r="J356" s="8" t="n">
        <f aca="false">IF(F356="Inteira CBTBE",D356,IF(OR(F356="Aberta",F356="Avulso"),H356,0))</f>
        <v>0</v>
      </c>
      <c r="K356" s="8" t="n">
        <f aca="false">D356-I356-J356</f>
        <v>18</v>
      </c>
    </row>
    <row r="357" customFormat="false" ht="15" hidden="false" customHeight="false" outlineLevel="0" collapsed="false">
      <c r="A357" s="8" t="s">
        <v>519</v>
      </c>
      <c r="B357" s="8" t="s">
        <v>520</v>
      </c>
      <c r="C357" s="8" t="s">
        <v>185</v>
      </c>
      <c r="D357" s="8" t="n">
        <v>5</v>
      </c>
      <c r="E357" s="8" t="n">
        <v>476061</v>
      </c>
      <c r="F357" s="11" t="str">
        <f aca="false">INDEX(Caixas!$C:$C,MATCH(C357,Caixas!$A:$A,0))</f>
        <v>Devolução fechada</v>
      </c>
      <c r="G357" s="9" t="n">
        <v>0</v>
      </c>
      <c r="H357" s="9" t="n">
        <v>0</v>
      </c>
      <c r="I357" s="8" t="n">
        <f aca="false">IF(F357="Inteira CBP",D357,IF(OR(F357="Aberta",F357="Avulso"),G357,0))</f>
        <v>0</v>
      </c>
      <c r="J357" s="8" t="n">
        <f aca="false">IF(F357="Inteira CBTBE",D357,IF(OR(F357="Aberta",F357="Avulso"),H357,0))</f>
        <v>0</v>
      </c>
      <c r="K357" s="8" t="n">
        <f aca="false">D357-I357-J357</f>
        <v>5</v>
      </c>
    </row>
    <row r="358" customFormat="false" ht="15" hidden="false" customHeight="false" outlineLevel="0" collapsed="false">
      <c r="A358" s="8" t="s">
        <v>533</v>
      </c>
      <c r="B358" s="8" t="s">
        <v>534</v>
      </c>
      <c r="C358" s="8" t="s">
        <v>185</v>
      </c>
      <c r="D358" s="8" t="n">
        <v>24</v>
      </c>
      <c r="E358" s="8" t="n">
        <v>476043</v>
      </c>
      <c r="F358" s="11" t="str">
        <f aca="false">INDEX(Caixas!$C:$C,MATCH(C358,Caixas!$A:$A,0))</f>
        <v>Devolução fechada</v>
      </c>
      <c r="G358" s="9" t="n">
        <v>0</v>
      </c>
      <c r="H358" s="9" t="n">
        <v>0</v>
      </c>
      <c r="I358" s="8" t="n">
        <f aca="false">IF(F358="Inteira CBP",D358,IF(OR(F358="Aberta",F358="Avulso"),G358,0))</f>
        <v>0</v>
      </c>
      <c r="J358" s="8" t="n">
        <f aca="false">IF(F358="Inteira CBTBE",D358,IF(OR(F358="Aberta",F358="Avulso"),H358,0))</f>
        <v>0</v>
      </c>
      <c r="K358" s="8" t="n">
        <f aca="false">D358-I358-J358</f>
        <v>24</v>
      </c>
    </row>
    <row r="359" customFormat="false" ht="15" hidden="false" customHeight="false" outlineLevel="0" collapsed="false">
      <c r="A359" s="8" t="s">
        <v>531</v>
      </c>
      <c r="B359" s="8" t="s">
        <v>532</v>
      </c>
      <c r="C359" s="8" t="s">
        <v>185</v>
      </c>
      <c r="D359" s="8" t="n">
        <v>18</v>
      </c>
      <c r="E359" s="8" t="n">
        <v>476065</v>
      </c>
      <c r="F359" s="11" t="str">
        <f aca="false">INDEX(Caixas!$C:$C,MATCH(C359,Caixas!$A:$A,0))</f>
        <v>Devolução fechada</v>
      </c>
      <c r="G359" s="9" t="n">
        <v>0</v>
      </c>
      <c r="H359" s="9" t="n">
        <v>0</v>
      </c>
      <c r="I359" s="8" t="n">
        <f aca="false">IF(F359="Inteira CBP",D359,IF(OR(F359="Aberta",F359="Avulso"),G359,0))</f>
        <v>0</v>
      </c>
      <c r="J359" s="8" t="n">
        <f aca="false">IF(F359="Inteira CBTBE",D359,IF(OR(F359="Aberta",F359="Avulso"),H359,0))</f>
        <v>0</v>
      </c>
      <c r="K359" s="8" t="n">
        <f aca="false">D359-I359-J359</f>
        <v>18</v>
      </c>
    </row>
    <row r="360" customFormat="false" ht="15" hidden="false" customHeight="false" outlineLevel="0" collapsed="false">
      <c r="A360" s="8" t="s">
        <v>519</v>
      </c>
      <c r="B360" s="8" t="s">
        <v>520</v>
      </c>
      <c r="C360" s="8" t="s">
        <v>186</v>
      </c>
      <c r="D360" s="8" t="n">
        <v>5</v>
      </c>
      <c r="E360" s="8" t="n">
        <v>476061</v>
      </c>
      <c r="F360" s="11" t="str">
        <f aca="false">INDEX(Caixas!$C:$C,MATCH(C360,Caixas!$A:$A,0))</f>
        <v>Aberta</v>
      </c>
      <c r="G360" s="9" t="n">
        <v>0</v>
      </c>
      <c r="H360" s="9" t="n">
        <v>0</v>
      </c>
      <c r="I360" s="8" t="n">
        <f aca="false">IF(F360="Inteira CBP",D360,IF(OR(F360="Aberta",F360="Avulso"),G360,0))</f>
        <v>0</v>
      </c>
      <c r="J360" s="8" t="n">
        <f aca="false">IF(F360="Inteira CBTBE",D360,IF(OR(F360="Aberta",F360="Avulso"),H360,0))</f>
        <v>0</v>
      </c>
      <c r="K360" s="8" t="n">
        <f aca="false">D360-I360-J360</f>
        <v>5</v>
      </c>
    </row>
    <row r="361" customFormat="false" ht="15" hidden="false" customHeight="false" outlineLevel="0" collapsed="false">
      <c r="A361" s="8" t="s">
        <v>533</v>
      </c>
      <c r="B361" s="8" t="s">
        <v>534</v>
      </c>
      <c r="C361" s="8" t="s">
        <v>186</v>
      </c>
      <c r="D361" s="8" t="n">
        <v>24</v>
      </c>
      <c r="E361" s="8" t="n">
        <v>476043</v>
      </c>
      <c r="F361" s="11" t="str">
        <f aca="false">INDEX(Caixas!$C:$C,MATCH(C361,Caixas!$A:$A,0))</f>
        <v>Aberta</v>
      </c>
      <c r="G361" s="9" t="n">
        <v>18</v>
      </c>
      <c r="H361" s="9" t="n">
        <v>1</v>
      </c>
      <c r="I361" s="8" t="n">
        <f aca="false">IF(F361="Inteira CBP",D361,IF(OR(F361="Aberta",F361="Avulso"),G361,0))</f>
        <v>18</v>
      </c>
      <c r="J361" s="8" t="n">
        <f aca="false">IF(F361="Inteira CBTBE",D361,IF(OR(F361="Aberta",F361="Avulso"),H361,0))</f>
        <v>1</v>
      </c>
      <c r="K361" s="8" t="n">
        <f aca="false">D361-I361-J361</f>
        <v>5</v>
      </c>
    </row>
    <row r="362" customFormat="false" ht="15" hidden="false" customHeight="false" outlineLevel="0" collapsed="false">
      <c r="A362" s="8" t="s">
        <v>535</v>
      </c>
      <c r="B362" s="8" t="s">
        <v>536</v>
      </c>
      <c r="C362" s="8" t="s">
        <v>186</v>
      </c>
      <c r="D362" s="8" t="n">
        <v>40</v>
      </c>
      <c r="E362" s="8" t="n">
        <v>476065</v>
      </c>
      <c r="F362" s="11" t="str">
        <f aca="false">INDEX(Caixas!$C:$C,MATCH(C362,Caixas!$A:$A,0))</f>
        <v>Aberta</v>
      </c>
      <c r="G362" s="9" t="n">
        <v>0</v>
      </c>
      <c r="H362" s="9" t="n">
        <v>40</v>
      </c>
      <c r="I362" s="8" t="n">
        <f aca="false">IF(F362="Inteira CBP",D362,IF(OR(F362="Aberta",F362="Avulso"),G362,0))</f>
        <v>0</v>
      </c>
      <c r="J362" s="8" t="n">
        <f aca="false">IF(F362="Inteira CBTBE",D362,IF(OR(F362="Aberta",F362="Avulso"),H362,0))</f>
        <v>40</v>
      </c>
      <c r="K362" s="8" t="n">
        <f aca="false">D362-I362-J362</f>
        <v>0</v>
      </c>
    </row>
    <row r="363" customFormat="false" ht="15" hidden="false" customHeight="false" outlineLevel="0" collapsed="false">
      <c r="A363" s="8" t="s">
        <v>519</v>
      </c>
      <c r="B363" s="8" t="s">
        <v>520</v>
      </c>
      <c r="C363" s="8" t="s">
        <v>187</v>
      </c>
      <c r="D363" s="8" t="n">
        <v>5</v>
      </c>
      <c r="E363" s="8" t="n">
        <v>476061</v>
      </c>
      <c r="F363" s="11" t="str">
        <f aca="false">INDEX(Caixas!$C:$C,MATCH(C363,Caixas!$A:$A,0))</f>
        <v>Devolução fechada</v>
      </c>
      <c r="G363" s="9" t="n">
        <v>0</v>
      </c>
      <c r="H363" s="9" t="n">
        <v>0</v>
      </c>
      <c r="I363" s="8" t="n">
        <f aca="false">IF(F363="Inteira CBP",D363,IF(OR(F363="Aberta",F363="Avulso"),G363,0))</f>
        <v>0</v>
      </c>
      <c r="J363" s="8" t="n">
        <f aca="false">IF(F363="Inteira CBTBE",D363,IF(OR(F363="Aberta",F363="Avulso"),H363,0))</f>
        <v>0</v>
      </c>
      <c r="K363" s="8" t="n">
        <f aca="false">D363-I363-J363</f>
        <v>5</v>
      </c>
    </row>
    <row r="364" customFormat="false" ht="15" hidden="false" customHeight="false" outlineLevel="0" collapsed="false">
      <c r="A364" s="8" t="s">
        <v>535</v>
      </c>
      <c r="B364" s="8" t="s">
        <v>536</v>
      </c>
      <c r="C364" s="8" t="s">
        <v>187</v>
      </c>
      <c r="D364" s="8" t="n">
        <v>40</v>
      </c>
      <c r="E364" s="8" t="n">
        <v>476065</v>
      </c>
      <c r="F364" s="11" t="str">
        <f aca="false">INDEX(Caixas!$C:$C,MATCH(C364,Caixas!$A:$A,0))</f>
        <v>Devolução fechada</v>
      </c>
      <c r="G364" s="9" t="n">
        <v>0</v>
      </c>
      <c r="H364" s="9" t="n">
        <v>0</v>
      </c>
      <c r="I364" s="8" t="n">
        <f aca="false">IF(F364="Inteira CBP",D364,IF(OR(F364="Aberta",F364="Avulso"),G364,0))</f>
        <v>0</v>
      </c>
      <c r="J364" s="8" t="n">
        <f aca="false">IF(F364="Inteira CBTBE",D364,IF(OR(F364="Aberta",F364="Avulso"),H364,0))</f>
        <v>0</v>
      </c>
      <c r="K364" s="8" t="n">
        <f aca="false">D364-I364-J364</f>
        <v>40</v>
      </c>
    </row>
    <row r="365" customFormat="false" ht="15" hidden="false" customHeight="false" outlineLevel="0" collapsed="false">
      <c r="A365" s="8" t="s">
        <v>537</v>
      </c>
      <c r="B365" s="8" t="s">
        <v>538</v>
      </c>
      <c r="C365" s="8" t="s">
        <v>187</v>
      </c>
      <c r="D365" s="8" t="n">
        <v>18</v>
      </c>
      <c r="E365" s="8" t="n">
        <v>476043</v>
      </c>
      <c r="F365" s="11" t="str">
        <f aca="false">INDEX(Caixas!$C:$C,MATCH(C365,Caixas!$A:$A,0))</f>
        <v>Devolução fechada</v>
      </c>
      <c r="G365" s="9" t="n">
        <v>0</v>
      </c>
      <c r="H365" s="9" t="n">
        <v>0</v>
      </c>
      <c r="I365" s="8" t="n">
        <f aca="false">IF(F365="Inteira CBP",D365,IF(OR(F365="Aberta",F365="Avulso"),G365,0))</f>
        <v>0</v>
      </c>
      <c r="J365" s="8" t="n">
        <f aca="false">IF(F365="Inteira CBTBE",D365,IF(OR(F365="Aberta",F365="Avulso"),H365,0))</f>
        <v>0</v>
      </c>
      <c r="K365" s="8" t="n">
        <f aca="false">D365-I365-J365</f>
        <v>18</v>
      </c>
    </row>
    <row r="366" customFormat="false" ht="15" hidden="false" customHeight="false" outlineLevel="0" collapsed="false">
      <c r="A366" s="8" t="s">
        <v>519</v>
      </c>
      <c r="B366" s="8" t="s">
        <v>520</v>
      </c>
      <c r="C366" s="8" t="s">
        <v>188</v>
      </c>
      <c r="D366" s="8" t="n">
        <v>5</v>
      </c>
      <c r="E366" s="8" t="n">
        <v>476061</v>
      </c>
      <c r="F366" s="11" t="str">
        <f aca="false">INDEX(Caixas!$C:$C,MATCH(C366,Caixas!$A:$A,0))</f>
        <v>Devolução fechada</v>
      </c>
      <c r="G366" s="9" t="n">
        <v>0</v>
      </c>
      <c r="H366" s="9" t="n">
        <v>0</v>
      </c>
      <c r="I366" s="8" t="n">
        <f aca="false">IF(F366="Inteira CBP",D366,IF(OR(F366="Aberta",F366="Avulso"),G366,0))</f>
        <v>0</v>
      </c>
      <c r="J366" s="8" t="n">
        <f aca="false">IF(F366="Inteira CBTBE",D366,IF(OR(F366="Aberta",F366="Avulso"),H366,0))</f>
        <v>0</v>
      </c>
      <c r="K366" s="8" t="n">
        <f aca="false">D366-I366-J366</f>
        <v>5</v>
      </c>
    </row>
    <row r="367" customFormat="false" ht="15" hidden="false" customHeight="false" outlineLevel="0" collapsed="false">
      <c r="A367" s="8" t="s">
        <v>535</v>
      </c>
      <c r="B367" s="8" t="s">
        <v>536</v>
      </c>
      <c r="C367" s="8" t="s">
        <v>188</v>
      </c>
      <c r="D367" s="8" t="n">
        <v>40</v>
      </c>
      <c r="E367" s="8" t="n">
        <v>476065</v>
      </c>
      <c r="F367" s="11" t="str">
        <f aca="false">INDEX(Caixas!$C:$C,MATCH(C367,Caixas!$A:$A,0))</f>
        <v>Devolução fechada</v>
      </c>
      <c r="G367" s="9" t="n">
        <v>0</v>
      </c>
      <c r="H367" s="9" t="n">
        <v>0</v>
      </c>
      <c r="I367" s="8" t="n">
        <f aca="false">IF(F367="Inteira CBP",D367,IF(OR(F367="Aberta",F367="Avulso"),G367,0))</f>
        <v>0</v>
      </c>
      <c r="J367" s="8" t="n">
        <f aca="false">IF(F367="Inteira CBTBE",D367,IF(OR(F367="Aberta",F367="Avulso"),H367,0))</f>
        <v>0</v>
      </c>
      <c r="K367" s="8" t="n">
        <f aca="false">D367-I367-J367</f>
        <v>40</v>
      </c>
    </row>
    <row r="368" customFormat="false" ht="15" hidden="false" customHeight="false" outlineLevel="0" collapsed="false">
      <c r="A368" s="8" t="s">
        <v>537</v>
      </c>
      <c r="B368" s="8" t="s">
        <v>538</v>
      </c>
      <c r="C368" s="8" t="s">
        <v>188</v>
      </c>
      <c r="D368" s="8" t="n">
        <v>18</v>
      </c>
      <c r="E368" s="8" t="n">
        <v>476043</v>
      </c>
      <c r="F368" s="11" t="str">
        <f aca="false">INDEX(Caixas!$C:$C,MATCH(C368,Caixas!$A:$A,0))</f>
        <v>Devolução fechada</v>
      </c>
      <c r="G368" s="9" t="n">
        <v>0</v>
      </c>
      <c r="H368" s="9" t="n">
        <v>0</v>
      </c>
      <c r="I368" s="8" t="n">
        <f aca="false">IF(F368="Inteira CBP",D368,IF(OR(F368="Aberta",F368="Avulso"),G368,0))</f>
        <v>0</v>
      </c>
      <c r="J368" s="8" t="n">
        <f aca="false">IF(F368="Inteira CBTBE",D368,IF(OR(F368="Aberta",F368="Avulso"),H368,0))</f>
        <v>0</v>
      </c>
      <c r="K368" s="8" t="n">
        <f aca="false">D368-I368-J368</f>
        <v>18</v>
      </c>
    </row>
    <row r="369" customFormat="false" ht="15" hidden="false" customHeight="false" outlineLevel="0" collapsed="false">
      <c r="A369" s="8" t="s">
        <v>519</v>
      </c>
      <c r="B369" s="8" t="s">
        <v>520</v>
      </c>
      <c r="C369" s="8" t="s">
        <v>189</v>
      </c>
      <c r="D369" s="8" t="n">
        <v>5</v>
      </c>
      <c r="E369" s="8" t="n">
        <v>476061</v>
      </c>
      <c r="F369" s="11" t="str">
        <f aca="false">INDEX(Caixas!$C:$C,MATCH(C369,Caixas!$A:$A,0))</f>
        <v>Devolução fechada</v>
      </c>
      <c r="G369" s="9" t="n">
        <v>0</v>
      </c>
      <c r="H369" s="9" t="n">
        <v>0</v>
      </c>
      <c r="I369" s="8" t="n">
        <f aca="false">IF(F369="Inteira CBP",D369,IF(OR(F369="Aberta",F369="Avulso"),G369,0))</f>
        <v>0</v>
      </c>
      <c r="J369" s="8" t="n">
        <f aca="false">IF(F369="Inteira CBTBE",D369,IF(OR(F369="Aberta",F369="Avulso"),H369,0))</f>
        <v>0</v>
      </c>
      <c r="K369" s="8" t="n">
        <f aca="false">D369-I369-J369</f>
        <v>5</v>
      </c>
    </row>
    <row r="370" customFormat="false" ht="15" hidden="false" customHeight="false" outlineLevel="0" collapsed="false">
      <c r="A370" s="8" t="s">
        <v>535</v>
      </c>
      <c r="B370" s="8" t="s">
        <v>536</v>
      </c>
      <c r="C370" s="8" t="s">
        <v>189</v>
      </c>
      <c r="D370" s="8" t="n">
        <v>40</v>
      </c>
      <c r="E370" s="8" t="n">
        <v>476065</v>
      </c>
      <c r="F370" s="11" t="str">
        <f aca="false">INDEX(Caixas!$C:$C,MATCH(C370,Caixas!$A:$A,0))</f>
        <v>Devolução fechada</v>
      </c>
      <c r="G370" s="9" t="n">
        <v>0</v>
      </c>
      <c r="H370" s="9" t="n">
        <v>0</v>
      </c>
      <c r="I370" s="8" t="n">
        <f aca="false">IF(F370="Inteira CBP",D370,IF(OR(F370="Aberta",F370="Avulso"),G370,0))</f>
        <v>0</v>
      </c>
      <c r="J370" s="8" t="n">
        <f aca="false">IF(F370="Inteira CBTBE",D370,IF(OR(F370="Aberta",F370="Avulso"),H370,0))</f>
        <v>0</v>
      </c>
      <c r="K370" s="8" t="n">
        <f aca="false">D370-I370-J370</f>
        <v>40</v>
      </c>
    </row>
    <row r="371" customFormat="false" ht="15" hidden="false" customHeight="false" outlineLevel="0" collapsed="false">
      <c r="A371" s="8" t="s">
        <v>537</v>
      </c>
      <c r="B371" s="8" t="s">
        <v>538</v>
      </c>
      <c r="C371" s="8" t="s">
        <v>189</v>
      </c>
      <c r="D371" s="8" t="n">
        <v>18</v>
      </c>
      <c r="E371" s="8" t="n">
        <v>476043</v>
      </c>
      <c r="F371" s="11" t="str">
        <f aca="false">INDEX(Caixas!$C:$C,MATCH(C371,Caixas!$A:$A,0))</f>
        <v>Devolução fechada</v>
      </c>
      <c r="G371" s="9" t="n">
        <v>0</v>
      </c>
      <c r="H371" s="9" t="n">
        <v>0</v>
      </c>
      <c r="I371" s="8" t="n">
        <f aca="false">IF(F371="Inteira CBP",D371,IF(OR(F371="Aberta",F371="Avulso"),G371,0))</f>
        <v>0</v>
      </c>
      <c r="J371" s="8" t="n">
        <f aca="false">IF(F371="Inteira CBTBE",D371,IF(OR(F371="Aberta",F371="Avulso"),H371,0))</f>
        <v>0</v>
      </c>
      <c r="K371" s="8" t="n">
        <f aca="false">D371-I371-J371</f>
        <v>18</v>
      </c>
    </row>
    <row r="372" customFormat="false" ht="15" hidden="false" customHeight="false" outlineLevel="0" collapsed="false">
      <c r="A372" s="8" t="s">
        <v>519</v>
      </c>
      <c r="B372" s="8" t="s">
        <v>520</v>
      </c>
      <c r="C372" s="8" t="s">
        <v>190</v>
      </c>
      <c r="D372" s="8" t="n">
        <v>5</v>
      </c>
      <c r="E372" s="8" t="n">
        <v>476061</v>
      </c>
      <c r="F372" s="11" t="str">
        <f aca="false">INDEX(Caixas!$C:$C,MATCH(C372,Caixas!$A:$A,0))</f>
        <v>Aberta</v>
      </c>
      <c r="G372" s="9" t="n">
        <v>0</v>
      </c>
      <c r="H372" s="9" t="n">
        <v>4</v>
      </c>
      <c r="I372" s="8" t="n">
        <f aca="false">IF(F372="Inteira CBP",D372,IF(OR(F372="Aberta",F372="Avulso"),G372,0))</f>
        <v>0</v>
      </c>
      <c r="J372" s="8" t="n">
        <f aca="false">IF(F372="Inteira CBTBE",D372,IF(OR(F372="Aberta",F372="Avulso"),H372,0))</f>
        <v>4</v>
      </c>
      <c r="K372" s="8" t="n">
        <f aca="false">D372-I372-J372</f>
        <v>1</v>
      </c>
    </row>
    <row r="373" customFormat="false" ht="15" hidden="false" customHeight="false" outlineLevel="0" collapsed="false">
      <c r="A373" s="8" t="s">
        <v>527</v>
      </c>
      <c r="B373" s="8" t="s">
        <v>528</v>
      </c>
      <c r="C373" s="8" t="s">
        <v>190</v>
      </c>
      <c r="D373" s="8" t="n">
        <v>20</v>
      </c>
      <c r="E373" s="8" t="n">
        <v>476043</v>
      </c>
      <c r="F373" s="11" t="str">
        <f aca="false">INDEX(Caixas!$C:$C,MATCH(C373,Caixas!$A:$A,0))</f>
        <v>Aberta</v>
      </c>
      <c r="G373" s="9" t="n">
        <v>0</v>
      </c>
      <c r="H373" s="9" t="n">
        <v>5</v>
      </c>
      <c r="I373" s="8" t="n">
        <f aca="false">IF(F373="Inteira CBP",D373,IF(OR(F373="Aberta",F373="Avulso"),G373,0))</f>
        <v>0</v>
      </c>
      <c r="J373" s="8" t="n">
        <f aca="false">IF(F373="Inteira CBTBE",D373,IF(OR(F373="Aberta",F373="Avulso"),H373,0))</f>
        <v>5</v>
      </c>
      <c r="K373" s="8" t="n">
        <f aca="false">D373-I373-J373</f>
        <v>15</v>
      </c>
    </row>
    <row r="374" customFormat="false" ht="15" hidden="false" customHeight="false" outlineLevel="0" collapsed="false">
      <c r="A374" s="8" t="s">
        <v>535</v>
      </c>
      <c r="B374" s="8" t="s">
        <v>536</v>
      </c>
      <c r="C374" s="8" t="s">
        <v>190</v>
      </c>
      <c r="D374" s="8" t="n">
        <v>40</v>
      </c>
      <c r="E374" s="8" t="n">
        <v>476065</v>
      </c>
      <c r="F374" s="11" t="str">
        <f aca="false">INDEX(Caixas!$C:$C,MATCH(C374,Caixas!$A:$A,0))</f>
        <v>Aberta</v>
      </c>
      <c r="G374" s="9" t="n">
        <v>1</v>
      </c>
      <c r="H374" s="9" t="n">
        <v>10</v>
      </c>
      <c r="I374" s="8" t="n">
        <f aca="false">IF(F374="Inteira CBP",D374,IF(OR(F374="Aberta",F374="Avulso"),G374,0))</f>
        <v>1</v>
      </c>
      <c r="J374" s="8" t="n">
        <f aca="false">IF(F374="Inteira CBTBE",D374,IF(OR(F374="Aberta",F374="Avulso"),H374,0))</f>
        <v>10</v>
      </c>
      <c r="K374" s="8" t="n">
        <f aca="false">D374-I374-J374</f>
        <v>29</v>
      </c>
    </row>
    <row r="375" customFormat="false" ht="15" hidden="false" customHeight="false" outlineLevel="0" collapsed="false">
      <c r="A375" s="8" t="s">
        <v>519</v>
      </c>
      <c r="B375" s="8" t="s">
        <v>520</v>
      </c>
      <c r="C375" s="8" t="s">
        <v>191</v>
      </c>
      <c r="D375" s="8" t="n">
        <v>5</v>
      </c>
      <c r="E375" s="8" t="n">
        <v>476061</v>
      </c>
      <c r="F375" s="11" t="str">
        <f aca="false">INDEX(Caixas!$C:$C,MATCH(C375,Caixas!$A:$A,0))</f>
        <v>Devolução fechada</v>
      </c>
      <c r="G375" s="9" t="n">
        <v>0</v>
      </c>
      <c r="H375" s="9" t="n">
        <v>0</v>
      </c>
      <c r="I375" s="8" t="n">
        <f aca="false">IF(F375="Inteira CBP",D375,IF(OR(F375="Aberta",F375="Avulso"),G375,0))</f>
        <v>0</v>
      </c>
      <c r="J375" s="8" t="n">
        <f aca="false">IF(F375="Inteira CBTBE",D375,IF(OR(F375="Aberta",F375="Avulso"),H375,0))</f>
        <v>0</v>
      </c>
      <c r="K375" s="8" t="n">
        <f aca="false">D375-I375-J375</f>
        <v>5</v>
      </c>
    </row>
    <row r="376" customFormat="false" ht="15" hidden="false" customHeight="false" outlineLevel="0" collapsed="false">
      <c r="A376" s="8" t="s">
        <v>539</v>
      </c>
      <c r="B376" s="8" t="s">
        <v>540</v>
      </c>
      <c r="C376" s="8" t="s">
        <v>191</v>
      </c>
      <c r="D376" s="8" t="n">
        <v>60</v>
      </c>
      <c r="E376" s="8" t="n">
        <v>476043</v>
      </c>
      <c r="F376" s="11" t="str">
        <f aca="false">INDEX(Caixas!$C:$C,MATCH(C376,Caixas!$A:$A,0))</f>
        <v>Devolução fechada</v>
      </c>
      <c r="G376" s="9" t="n">
        <v>0</v>
      </c>
      <c r="H376" s="9" t="n">
        <v>0</v>
      </c>
      <c r="I376" s="8" t="n">
        <f aca="false">IF(F376="Inteira CBP",D376,IF(OR(F376="Aberta",F376="Avulso"),G376,0))</f>
        <v>0</v>
      </c>
      <c r="J376" s="8" t="n">
        <f aca="false">IF(F376="Inteira CBTBE",D376,IF(OR(F376="Aberta",F376="Avulso"),H376,0))</f>
        <v>0</v>
      </c>
      <c r="K376" s="8" t="n">
        <f aca="false">D376-I376-J376</f>
        <v>60</v>
      </c>
    </row>
    <row r="377" customFormat="false" ht="15" hidden="false" customHeight="false" outlineLevel="0" collapsed="false">
      <c r="A377" s="8" t="s">
        <v>535</v>
      </c>
      <c r="B377" s="8" t="s">
        <v>536</v>
      </c>
      <c r="C377" s="8" t="s">
        <v>191</v>
      </c>
      <c r="D377" s="8" t="n">
        <v>40</v>
      </c>
      <c r="E377" s="8" t="n">
        <v>476065</v>
      </c>
      <c r="F377" s="11" t="str">
        <f aca="false">INDEX(Caixas!$C:$C,MATCH(C377,Caixas!$A:$A,0))</f>
        <v>Devolução fechada</v>
      </c>
      <c r="G377" s="9" t="n">
        <v>0</v>
      </c>
      <c r="H377" s="9" t="n">
        <v>0</v>
      </c>
      <c r="I377" s="8" t="n">
        <f aca="false">IF(F377="Inteira CBP",D377,IF(OR(F377="Aberta",F377="Avulso"),G377,0))</f>
        <v>0</v>
      </c>
      <c r="J377" s="8" t="n">
        <f aca="false">IF(F377="Inteira CBTBE",D377,IF(OR(F377="Aberta",F377="Avulso"),H377,0))</f>
        <v>0</v>
      </c>
      <c r="K377" s="8" t="n">
        <f aca="false">D377-I377-J377</f>
        <v>40</v>
      </c>
    </row>
    <row r="378" customFormat="false" ht="15" hidden="false" customHeight="false" outlineLevel="0" collapsed="false">
      <c r="A378" s="8" t="s">
        <v>519</v>
      </c>
      <c r="B378" s="8" t="s">
        <v>520</v>
      </c>
      <c r="C378" s="8" t="s">
        <v>192</v>
      </c>
      <c r="D378" s="8" t="n">
        <v>5</v>
      </c>
      <c r="E378" s="8" t="n">
        <v>476061</v>
      </c>
      <c r="F378" s="11" t="str">
        <f aca="false">INDEX(Caixas!$C:$C,MATCH(C378,Caixas!$A:$A,0))</f>
        <v>Aberta</v>
      </c>
      <c r="G378" s="9" t="n">
        <v>5</v>
      </c>
      <c r="H378" s="9" t="n">
        <v>0</v>
      </c>
      <c r="I378" s="8" t="n">
        <f aca="false">IF(F378="Inteira CBP",D378,IF(OR(F378="Aberta",F378="Avulso"),G378,0))</f>
        <v>5</v>
      </c>
      <c r="J378" s="8" t="n">
        <f aca="false">IF(F378="Inteira CBTBE",D378,IF(OR(F378="Aberta",F378="Avulso"),H378,0))</f>
        <v>0</v>
      </c>
      <c r="K378" s="8" t="n">
        <f aca="false">D378-I378-J378</f>
        <v>0</v>
      </c>
    </row>
    <row r="379" customFormat="false" ht="15" hidden="false" customHeight="false" outlineLevel="0" collapsed="false">
      <c r="A379" s="8" t="s">
        <v>541</v>
      </c>
      <c r="B379" s="8" t="s">
        <v>542</v>
      </c>
      <c r="C379" s="8" t="s">
        <v>192</v>
      </c>
      <c r="D379" s="8" t="n">
        <v>68</v>
      </c>
      <c r="E379" s="8" t="n">
        <v>476065</v>
      </c>
      <c r="F379" s="11" t="str">
        <f aca="false">INDEX(Caixas!$C:$C,MATCH(C379,Caixas!$A:$A,0))</f>
        <v>Aberta</v>
      </c>
      <c r="G379" s="9" t="n">
        <v>68</v>
      </c>
      <c r="H379" s="9" t="n">
        <v>0</v>
      </c>
      <c r="I379" s="8" t="n">
        <f aca="false">IF(F379="Inteira CBP",D379,IF(OR(F379="Aberta",F379="Avulso"),G379,0))</f>
        <v>68</v>
      </c>
      <c r="J379" s="8" t="n">
        <f aca="false">IF(F379="Inteira CBTBE",D379,IF(OR(F379="Aberta",F379="Avulso"),H379,0))</f>
        <v>0</v>
      </c>
      <c r="K379" s="8" t="n">
        <f aca="false">D379-I379-J379</f>
        <v>0</v>
      </c>
    </row>
    <row r="380" customFormat="false" ht="15" hidden="false" customHeight="false" outlineLevel="0" collapsed="false">
      <c r="A380" s="8" t="s">
        <v>543</v>
      </c>
      <c r="B380" s="8" t="s">
        <v>544</v>
      </c>
      <c r="C380" s="8" t="s">
        <v>192</v>
      </c>
      <c r="D380" s="8" t="n">
        <v>44</v>
      </c>
      <c r="E380" s="8" t="n">
        <v>476043</v>
      </c>
      <c r="F380" s="11" t="str">
        <f aca="false">INDEX(Caixas!$C:$C,MATCH(C380,Caixas!$A:$A,0))</f>
        <v>Aberta</v>
      </c>
      <c r="G380" s="9" t="n">
        <v>3</v>
      </c>
      <c r="H380" s="9" t="n">
        <v>20</v>
      </c>
      <c r="I380" s="8" t="n">
        <f aca="false">IF(F380="Inteira CBP",D380,IF(OR(F380="Aberta",F380="Avulso"),G380,0))</f>
        <v>3</v>
      </c>
      <c r="J380" s="8" t="n">
        <f aca="false">IF(F380="Inteira CBTBE",D380,IF(OR(F380="Aberta",F380="Avulso"),H380,0))</f>
        <v>20</v>
      </c>
      <c r="K380" s="8" t="n">
        <f aca="false">D380-I380-J380</f>
        <v>21</v>
      </c>
    </row>
    <row r="381" customFormat="false" ht="15" hidden="false" customHeight="false" outlineLevel="0" collapsed="false">
      <c r="A381" s="8" t="s">
        <v>519</v>
      </c>
      <c r="B381" s="8" t="s">
        <v>520</v>
      </c>
      <c r="C381" s="8" t="s">
        <v>193</v>
      </c>
      <c r="D381" s="8" t="n">
        <v>5</v>
      </c>
      <c r="E381" s="8" t="n">
        <v>476061</v>
      </c>
      <c r="F381" s="11" t="str">
        <f aca="false">INDEX(Caixas!$C:$C,MATCH(C381,Caixas!$A:$A,0))</f>
        <v>Devolução fechada</v>
      </c>
      <c r="G381" s="9" t="n">
        <v>0</v>
      </c>
      <c r="H381" s="9" t="n">
        <v>0</v>
      </c>
      <c r="I381" s="8" t="n">
        <f aca="false">IF(F381="Inteira CBP",D381,IF(OR(F381="Aberta",F381="Avulso"),G381,0))</f>
        <v>0</v>
      </c>
      <c r="J381" s="8" t="n">
        <f aca="false">IF(F381="Inteira CBTBE",D381,IF(OR(F381="Aberta",F381="Avulso"),H381,0))</f>
        <v>0</v>
      </c>
      <c r="K381" s="8" t="n">
        <f aca="false">D381-I381-J381</f>
        <v>5</v>
      </c>
    </row>
    <row r="382" customFormat="false" ht="15" hidden="false" customHeight="false" outlineLevel="0" collapsed="false">
      <c r="A382" s="8" t="s">
        <v>545</v>
      </c>
      <c r="B382" s="8" t="s">
        <v>546</v>
      </c>
      <c r="C382" s="8" t="s">
        <v>193</v>
      </c>
      <c r="D382" s="8" t="n">
        <v>16</v>
      </c>
      <c r="E382" s="8" t="n">
        <v>476065</v>
      </c>
      <c r="F382" s="11" t="str">
        <f aca="false">INDEX(Caixas!$C:$C,MATCH(C382,Caixas!$A:$A,0))</f>
        <v>Devolução fechada</v>
      </c>
      <c r="G382" s="9" t="n">
        <v>0</v>
      </c>
      <c r="H382" s="9" t="n">
        <v>0</v>
      </c>
      <c r="I382" s="8" t="n">
        <f aca="false">IF(F382="Inteira CBP",D382,IF(OR(F382="Aberta",F382="Avulso"),G382,0))</f>
        <v>0</v>
      </c>
      <c r="J382" s="8" t="n">
        <f aca="false">IF(F382="Inteira CBTBE",D382,IF(OR(F382="Aberta",F382="Avulso"),H382,0))</f>
        <v>0</v>
      </c>
      <c r="K382" s="8" t="n">
        <f aca="false">D382-I382-J382</f>
        <v>16</v>
      </c>
    </row>
    <row r="383" customFormat="false" ht="15" hidden="false" customHeight="false" outlineLevel="0" collapsed="false">
      <c r="A383" s="8" t="s">
        <v>543</v>
      </c>
      <c r="B383" s="8" t="s">
        <v>544</v>
      </c>
      <c r="C383" s="8" t="s">
        <v>193</v>
      </c>
      <c r="D383" s="8" t="n">
        <v>44</v>
      </c>
      <c r="E383" s="8" t="n">
        <v>476043</v>
      </c>
      <c r="F383" s="11" t="str">
        <f aca="false">INDEX(Caixas!$C:$C,MATCH(C383,Caixas!$A:$A,0))</f>
        <v>Devolução fechada</v>
      </c>
      <c r="G383" s="9" t="n">
        <v>0</v>
      </c>
      <c r="H383" s="9" t="n">
        <v>0</v>
      </c>
      <c r="I383" s="8" t="n">
        <f aca="false">IF(F383="Inteira CBP",D383,IF(OR(F383="Aberta",F383="Avulso"),G383,0))</f>
        <v>0</v>
      </c>
      <c r="J383" s="8" t="n">
        <f aca="false">IF(F383="Inteira CBTBE",D383,IF(OR(F383="Aberta",F383="Avulso"),H383,0))</f>
        <v>0</v>
      </c>
      <c r="K383" s="8" t="n">
        <f aca="false">D383-I383-J383</f>
        <v>44</v>
      </c>
    </row>
    <row r="384" customFormat="false" ht="15" hidden="false" customHeight="false" outlineLevel="0" collapsed="false">
      <c r="A384" s="8" t="s">
        <v>539</v>
      </c>
      <c r="B384" s="8" t="s">
        <v>540</v>
      </c>
      <c r="C384" s="8" t="s">
        <v>194</v>
      </c>
      <c r="D384" s="8" t="n">
        <v>60</v>
      </c>
      <c r="E384" s="8" t="n">
        <v>476043</v>
      </c>
      <c r="F384" s="11" t="str">
        <f aca="false">INDEX(Caixas!$C:$C,MATCH(C384,Caixas!$A:$A,0))</f>
        <v>Devolução fechada</v>
      </c>
      <c r="G384" s="9" t="n">
        <v>0</v>
      </c>
      <c r="H384" s="9" t="n">
        <v>0</v>
      </c>
      <c r="I384" s="8" t="n">
        <f aca="false">IF(F384="Inteira CBP",D384,IF(OR(F384="Aberta",F384="Avulso"),G384,0))</f>
        <v>0</v>
      </c>
      <c r="J384" s="8" t="n">
        <f aca="false">IF(F384="Inteira CBTBE",D384,IF(OR(F384="Aberta",F384="Avulso"),H384,0))</f>
        <v>0</v>
      </c>
      <c r="K384" s="8" t="n">
        <f aca="false">D384-I384-J384</f>
        <v>60</v>
      </c>
    </row>
    <row r="385" customFormat="false" ht="15" hidden="false" customHeight="false" outlineLevel="0" collapsed="false">
      <c r="A385" s="8" t="s">
        <v>509</v>
      </c>
      <c r="B385" s="8" t="s">
        <v>510</v>
      </c>
      <c r="C385" s="8" t="s">
        <v>194</v>
      </c>
      <c r="D385" s="8" t="n">
        <v>38</v>
      </c>
      <c r="E385" s="8" t="n">
        <v>476061</v>
      </c>
      <c r="F385" s="11" t="str">
        <f aca="false">INDEX(Caixas!$C:$C,MATCH(C385,Caixas!$A:$A,0))</f>
        <v>Devolução fechada</v>
      </c>
      <c r="G385" s="9" t="n">
        <v>0</v>
      </c>
      <c r="H385" s="9" t="n">
        <v>0</v>
      </c>
      <c r="I385" s="8" t="n">
        <f aca="false">IF(F385="Inteira CBP",D385,IF(OR(F385="Aberta",F385="Avulso"),G385,0))</f>
        <v>0</v>
      </c>
      <c r="J385" s="8" t="n">
        <f aca="false">IF(F385="Inteira CBTBE",D385,IF(OR(F385="Aberta",F385="Avulso"),H385,0))</f>
        <v>0</v>
      </c>
      <c r="K385" s="8" t="n">
        <f aca="false">D385-I385-J385</f>
        <v>38</v>
      </c>
    </row>
    <row r="386" customFormat="false" ht="15" hidden="false" customHeight="false" outlineLevel="0" collapsed="false">
      <c r="A386" s="8" t="s">
        <v>545</v>
      </c>
      <c r="B386" s="8" t="s">
        <v>546</v>
      </c>
      <c r="C386" s="8" t="s">
        <v>194</v>
      </c>
      <c r="D386" s="8" t="n">
        <v>16</v>
      </c>
      <c r="E386" s="8" t="n">
        <v>476065</v>
      </c>
      <c r="F386" s="11" t="str">
        <f aca="false">INDEX(Caixas!$C:$C,MATCH(C386,Caixas!$A:$A,0))</f>
        <v>Devolução fechada</v>
      </c>
      <c r="G386" s="9" t="n">
        <v>0</v>
      </c>
      <c r="H386" s="9" t="n">
        <v>0</v>
      </c>
      <c r="I386" s="8" t="n">
        <f aca="false">IF(F386="Inteira CBP",D386,IF(OR(F386="Aberta",F386="Avulso"),G386,0))</f>
        <v>0</v>
      </c>
      <c r="J386" s="8" t="n">
        <f aca="false">IF(F386="Inteira CBTBE",D386,IF(OR(F386="Aberta",F386="Avulso"),H386,0))</f>
        <v>0</v>
      </c>
      <c r="K386" s="8" t="n">
        <f aca="false">D386-I386-J386</f>
        <v>16</v>
      </c>
    </row>
    <row r="387" customFormat="false" ht="15" hidden="false" customHeight="false" outlineLevel="0" collapsed="false">
      <c r="A387" s="8" t="s">
        <v>539</v>
      </c>
      <c r="B387" s="8" t="s">
        <v>540</v>
      </c>
      <c r="C387" s="8" t="s">
        <v>195</v>
      </c>
      <c r="D387" s="8" t="n">
        <v>60</v>
      </c>
      <c r="E387" s="8" t="n">
        <v>476043</v>
      </c>
      <c r="F387" s="11" t="str">
        <f aca="false">INDEX(Caixas!$C:$C,MATCH(C387,Caixas!$A:$A,0))</f>
        <v>Aberta</v>
      </c>
      <c r="G387" s="9" t="n">
        <v>0</v>
      </c>
      <c r="H387" s="9" t="n">
        <v>14</v>
      </c>
      <c r="I387" s="8" t="n">
        <f aca="false">IF(F387="Inteira CBP",D387,IF(OR(F387="Aberta",F387="Avulso"),G387,0))</f>
        <v>0</v>
      </c>
      <c r="J387" s="8" t="n">
        <f aca="false">IF(F387="Inteira CBTBE",D387,IF(OR(F387="Aberta",F387="Avulso"),H387,0))</f>
        <v>14</v>
      </c>
      <c r="K387" s="8" t="n">
        <f aca="false">D387-I387-J387</f>
        <v>46</v>
      </c>
    </row>
    <row r="388" customFormat="false" ht="15" hidden="false" customHeight="false" outlineLevel="0" collapsed="false">
      <c r="A388" s="8" t="s">
        <v>545</v>
      </c>
      <c r="B388" s="8" t="s">
        <v>546</v>
      </c>
      <c r="C388" s="8" t="s">
        <v>195</v>
      </c>
      <c r="D388" s="8" t="n">
        <v>16</v>
      </c>
      <c r="E388" s="8" t="n">
        <v>476065</v>
      </c>
      <c r="F388" s="11" t="str">
        <f aca="false">INDEX(Caixas!$C:$C,MATCH(C388,Caixas!$A:$A,0))</f>
        <v>Aberta</v>
      </c>
      <c r="G388" s="9" t="n">
        <v>0</v>
      </c>
      <c r="H388" s="9" t="n">
        <v>10</v>
      </c>
      <c r="I388" s="8" t="n">
        <f aca="false">IF(F388="Inteira CBP",D388,IF(OR(F388="Aberta",F388="Avulso"),G388,0))</f>
        <v>0</v>
      </c>
      <c r="J388" s="8" t="n">
        <f aca="false">IF(F388="Inteira CBTBE",D388,IF(OR(F388="Aberta",F388="Avulso"),H388,0))</f>
        <v>10</v>
      </c>
      <c r="K388" s="8" t="n">
        <f aca="false">D388-I388-J388</f>
        <v>6</v>
      </c>
    </row>
    <row r="389" customFormat="false" ht="15" hidden="false" customHeight="false" outlineLevel="0" collapsed="false">
      <c r="A389" s="8" t="s">
        <v>547</v>
      </c>
      <c r="B389" s="8" t="s">
        <v>548</v>
      </c>
      <c r="C389" s="8" t="s">
        <v>195</v>
      </c>
      <c r="D389" s="8" t="n">
        <v>28</v>
      </c>
      <c r="E389" s="8" t="n">
        <v>476061</v>
      </c>
      <c r="F389" s="11" t="str">
        <f aca="false">INDEX(Caixas!$C:$C,MATCH(C389,Caixas!$A:$A,0))</f>
        <v>Aberta</v>
      </c>
      <c r="G389" s="9" t="n">
        <v>28</v>
      </c>
      <c r="H389" s="9" t="n">
        <v>0</v>
      </c>
      <c r="I389" s="8" t="n">
        <f aca="false">IF(F389="Inteira CBP",D389,IF(OR(F389="Aberta",F389="Avulso"),G389,0))</f>
        <v>28</v>
      </c>
      <c r="J389" s="8" t="n">
        <f aca="false">IF(F389="Inteira CBTBE",D389,IF(OR(F389="Aberta",F389="Avulso"),H389,0))</f>
        <v>0</v>
      </c>
      <c r="K389" s="8" t="n">
        <f aca="false">D389-I389-J389</f>
        <v>0</v>
      </c>
    </row>
    <row r="390" customFormat="false" ht="15" hidden="false" customHeight="false" outlineLevel="0" collapsed="false">
      <c r="A390" s="8" t="s">
        <v>545</v>
      </c>
      <c r="B390" s="8" t="s">
        <v>546</v>
      </c>
      <c r="C390" s="8" t="s">
        <v>196</v>
      </c>
      <c r="D390" s="8" t="n">
        <v>16</v>
      </c>
      <c r="E390" s="8" t="n">
        <v>476065</v>
      </c>
      <c r="F390" s="11" t="str">
        <f aca="false">INDEX(Caixas!$C:$C,MATCH(C390,Caixas!$A:$A,0))</f>
        <v>Inteira CBP</v>
      </c>
      <c r="G390" s="9" t="n">
        <v>0</v>
      </c>
      <c r="H390" s="9" t="n">
        <v>0</v>
      </c>
      <c r="I390" s="8" t="n">
        <f aca="false">IF(F390="Inteira CBP",D390,IF(OR(F390="Aberta",F390="Avulso"),G390,0))</f>
        <v>16</v>
      </c>
      <c r="J390" s="8" t="n">
        <f aca="false">IF(F390="Inteira CBTBE",D390,IF(OR(F390="Aberta",F390="Avulso"),H390,0))</f>
        <v>0</v>
      </c>
      <c r="K390" s="8" t="n">
        <f aca="false">D390-I390-J390</f>
        <v>0</v>
      </c>
    </row>
    <row r="391" customFormat="false" ht="15" hidden="false" customHeight="false" outlineLevel="0" collapsed="false">
      <c r="A391" s="8" t="s">
        <v>547</v>
      </c>
      <c r="B391" s="8" t="s">
        <v>548</v>
      </c>
      <c r="C391" s="8" t="s">
        <v>196</v>
      </c>
      <c r="D391" s="8" t="n">
        <v>28</v>
      </c>
      <c r="E391" s="8" t="n">
        <v>476061</v>
      </c>
      <c r="F391" s="11" t="str">
        <f aca="false">INDEX(Caixas!$C:$C,MATCH(C391,Caixas!$A:$A,0))</f>
        <v>Inteira CBP</v>
      </c>
      <c r="G391" s="9" t="n">
        <v>0</v>
      </c>
      <c r="H391" s="9" t="n">
        <v>0</v>
      </c>
      <c r="I391" s="8" t="n">
        <f aca="false">IF(F391="Inteira CBP",D391,IF(OR(F391="Aberta",F391="Avulso"),G391,0))</f>
        <v>28</v>
      </c>
      <c r="J391" s="8" t="n">
        <f aca="false">IF(F391="Inteira CBTBE",D391,IF(OR(F391="Aberta",F391="Avulso"),H391,0))</f>
        <v>0</v>
      </c>
      <c r="K391" s="8" t="n">
        <f aca="false">D391-I391-J391</f>
        <v>0</v>
      </c>
    </row>
    <row r="392" customFormat="false" ht="15" hidden="false" customHeight="false" outlineLevel="0" collapsed="false">
      <c r="A392" s="8" t="s">
        <v>549</v>
      </c>
      <c r="B392" s="8" t="s">
        <v>550</v>
      </c>
      <c r="C392" s="8" t="s">
        <v>196</v>
      </c>
      <c r="D392" s="8" t="n">
        <v>28</v>
      </c>
      <c r="E392" s="8" t="n">
        <v>476043</v>
      </c>
      <c r="F392" s="11" t="str">
        <f aca="false">INDEX(Caixas!$C:$C,MATCH(C392,Caixas!$A:$A,0))</f>
        <v>Inteira CBP</v>
      </c>
      <c r="G392" s="9" t="n">
        <v>0</v>
      </c>
      <c r="H392" s="9" t="n">
        <v>0</v>
      </c>
      <c r="I392" s="8" t="n">
        <f aca="false">IF(F392="Inteira CBP",D392,IF(OR(F392="Aberta",F392="Avulso"),G392,0))</f>
        <v>28</v>
      </c>
      <c r="J392" s="8" t="n">
        <f aca="false">IF(F392="Inteira CBTBE",D392,IF(OR(F392="Aberta",F392="Avulso"),H392,0))</f>
        <v>0</v>
      </c>
      <c r="K392" s="8" t="n">
        <f aca="false">D392-I392-J392</f>
        <v>0</v>
      </c>
    </row>
    <row r="393" customFormat="false" ht="15" hidden="false" customHeight="false" outlineLevel="0" collapsed="false">
      <c r="A393" s="8" t="s">
        <v>545</v>
      </c>
      <c r="B393" s="8" t="s">
        <v>546</v>
      </c>
      <c r="C393" s="8" t="s">
        <v>198</v>
      </c>
      <c r="D393" s="8" t="n">
        <v>16</v>
      </c>
      <c r="E393" s="8" t="n">
        <v>476065</v>
      </c>
      <c r="F393" s="11" t="str">
        <f aca="false">INDEX(Caixas!$C:$C,MATCH(C393,Caixas!$A:$A,0))</f>
        <v>Aberta</v>
      </c>
      <c r="G393" s="9" t="n">
        <v>0</v>
      </c>
      <c r="H393" s="9" t="n">
        <v>16</v>
      </c>
      <c r="I393" s="8" t="n">
        <f aca="false">IF(F393="Inteira CBP",D393,IF(OR(F393="Aberta",F393="Avulso"),G393,0))</f>
        <v>0</v>
      </c>
      <c r="J393" s="8" t="n">
        <f aca="false">IF(F393="Inteira CBTBE",D393,IF(OR(F393="Aberta",F393="Avulso"),H393,0))</f>
        <v>16</v>
      </c>
      <c r="K393" s="8" t="n">
        <f aca="false">D393-I393-J393</f>
        <v>0</v>
      </c>
    </row>
    <row r="394" customFormat="false" ht="15" hidden="false" customHeight="false" outlineLevel="0" collapsed="false">
      <c r="A394" s="8" t="s">
        <v>551</v>
      </c>
      <c r="B394" s="8" t="s">
        <v>552</v>
      </c>
      <c r="C394" s="8" t="s">
        <v>198</v>
      </c>
      <c r="D394" s="8" t="n">
        <v>6</v>
      </c>
      <c r="E394" s="8" t="n">
        <v>476061</v>
      </c>
      <c r="F394" s="11" t="str">
        <f aca="false">INDEX(Caixas!$C:$C,MATCH(C394,Caixas!$A:$A,0))</f>
        <v>Aberta</v>
      </c>
      <c r="G394" s="9" t="n">
        <v>6</v>
      </c>
      <c r="H394" s="9" t="n">
        <v>0</v>
      </c>
      <c r="I394" s="8" t="n">
        <f aca="false">IF(F394="Inteira CBP",D394,IF(OR(F394="Aberta",F394="Avulso"),G394,0))</f>
        <v>6</v>
      </c>
      <c r="J394" s="8" t="n">
        <f aca="false">IF(F394="Inteira CBTBE",D394,IF(OR(F394="Aberta",F394="Avulso"),H394,0))</f>
        <v>0</v>
      </c>
      <c r="K394" s="8" t="n">
        <f aca="false">D394-I394-J394</f>
        <v>0</v>
      </c>
    </row>
    <row r="395" customFormat="false" ht="15" hidden="false" customHeight="false" outlineLevel="0" collapsed="false">
      <c r="A395" s="8" t="s">
        <v>549</v>
      </c>
      <c r="B395" s="8" t="s">
        <v>550</v>
      </c>
      <c r="C395" s="8" t="s">
        <v>198</v>
      </c>
      <c r="D395" s="8" t="n">
        <v>28</v>
      </c>
      <c r="E395" s="8" t="n">
        <v>476043</v>
      </c>
      <c r="F395" s="11" t="str">
        <f aca="false">INDEX(Caixas!$C:$C,MATCH(C395,Caixas!$A:$A,0))</f>
        <v>Aberta</v>
      </c>
      <c r="G395" s="9" t="n">
        <v>1</v>
      </c>
      <c r="H395" s="9" t="n">
        <v>12</v>
      </c>
      <c r="I395" s="8" t="n">
        <f aca="false">IF(F395="Inteira CBP",D395,IF(OR(F395="Aberta",F395="Avulso"),G395,0))</f>
        <v>1</v>
      </c>
      <c r="J395" s="8" t="n">
        <f aca="false">IF(F395="Inteira CBTBE",D395,IF(OR(F395="Aberta",F395="Avulso"),H395,0))</f>
        <v>12</v>
      </c>
      <c r="K395" s="8" t="n">
        <f aca="false">D395-I395-J395</f>
        <v>15</v>
      </c>
    </row>
    <row r="396" customFormat="false" ht="15" hidden="false" customHeight="false" outlineLevel="0" collapsed="false">
      <c r="A396" s="8" t="s">
        <v>527</v>
      </c>
      <c r="B396" s="8" t="s">
        <v>528</v>
      </c>
      <c r="C396" s="8" t="s">
        <v>199</v>
      </c>
      <c r="D396" s="8" t="n">
        <v>2</v>
      </c>
      <c r="E396" s="8" t="n">
        <v>476043</v>
      </c>
      <c r="F396" s="11" t="str">
        <f aca="false">INDEX(Caixas!$C:$C,MATCH(C396,Caixas!$A:$A,0))</f>
        <v>Inteira CBTBE</v>
      </c>
      <c r="G396" s="9" t="n">
        <v>0</v>
      </c>
      <c r="H396" s="9" t="n">
        <v>0</v>
      </c>
      <c r="I396" s="8" t="n">
        <f aca="false">IF(F396="Inteira CBP",D396,IF(OR(F396="Aberta",F396="Avulso"),G396,0))</f>
        <v>0</v>
      </c>
      <c r="J396" s="8" t="n">
        <f aca="false">IF(F396="Inteira CBTBE",D396,IF(OR(F396="Aberta",F396="Avulso"),H396,0))</f>
        <v>2</v>
      </c>
      <c r="K396" s="8" t="n">
        <f aca="false">D396-I396-J396</f>
        <v>0</v>
      </c>
    </row>
    <row r="397" customFormat="false" ht="15" hidden="false" customHeight="false" outlineLevel="0" collapsed="false">
      <c r="A397" s="8" t="s">
        <v>545</v>
      </c>
      <c r="B397" s="8" t="s">
        <v>546</v>
      </c>
      <c r="C397" s="8" t="s">
        <v>199</v>
      </c>
      <c r="D397" s="8" t="n">
        <v>16</v>
      </c>
      <c r="E397" s="8" t="n">
        <v>476065</v>
      </c>
      <c r="F397" s="11" t="str">
        <f aca="false">INDEX(Caixas!$C:$C,MATCH(C397,Caixas!$A:$A,0))</f>
        <v>Inteira CBTBE</v>
      </c>
      <c r="G397" s="9" t="n">
        <v>0</v>
      </c>
      <c r="H397" s="9" t="n">
        <v>0</v>
      </c>
      <c r="I397" s="8" t="n">
        <f aca="false">IF(F397="Inteira CBP",D397,IF(OR(F397="Aberta",F397="Avulso"),G397,0))</f>
        <v>0</v>
      </c>
      <c r="J397" s="8" t="n">
        <f aca="false">IF(F397="Inteira CBTBE",D397,IF(OR(F397="Aberta",F397="Avulso"),H397,0))</f>
        <v>16</v>
      </c>
      <c r="K397" s="8" t="n">
        <f aca="false">D397-I397-J397</f>
        <v>0</v>
      </c>
    </row>
    <row r="398" customFormat="false" ht="15" hidden="false" customHeight="false" outlineLevel="0" collapsed="false">
      <c r="A398" s="8" t="s">
        <v>515</v>
      </c>
      <c r="B398" s="8" t="s">
        <v>516</v>
      </c>
      <c r="C398" s="8" t="s">
        <v>199</v>
      </c>
      <c r="D398" s="8" t="n">
        <v>31</v>
      </c>
      <c r="E398" s="8" t="n">
        <v>476043</v>
      </c>
      <c r="F398" s="11" t="str">
        <f aca="false">INDEX(Caixas!$C:$C,MATCH(C398,Caixas!$A:$A,0))</f>
        <v>Inteira CBTBE</v>
      </c>
      <c r="G398" s="9" t="n">
        <v>0</v>
      </c>
      <c r="H398" s="9" t="n">
        <v>0</v>
      </c>
      <c r="I398" s="8" t="n">
        <f aca="false">IF(F398="Inteira CBP",D398,IF(OR(F398="Aberta",F398="Avulso"),G398,0))</f>
        <v>0</v>
      </c>
      <c r="J398" s="8" t="n">
        <f aca="false">IF(F398="Inteira CBTBE",D398,IF(OR(F398="Aberta",F398="Avulso"),H398,0))</f>
        <v>31</v>
      </c>
      <c r="K398" s="8" t="n">
        <f aca="false">D398-I398-J398</f>
        <v>0</v>
      </c>
    </row>
    <row r="399" customFormat="false" ht="15" hidden="false" customHeight="false" outlineLevel="0" collapsed="false">
      <c r="A399" s="8" t="s">
        <v>551</v>
      </c>
      <c r="B399" s="8" t="s">
        <v>552</v>
      </c>
      <c r="C399" s="8" t="s">
        <v>199</v>
      </c>
      <c r="D399" s="8" t="n">
        <v>6</v>
      </c>
      <c r="E399" s="8" t="n">
        <v>476061</v>
      </c>
      <c r="F399" s="11" t="str">
        <f aca="false">INDEX(Caixas!$C:$C,MATCH(C399,Caixas!$A:$A,0))</f>
        <v>Inteira CBTBE</v>
      </c>
      <c r="G399" s="9" t="n">
        <v>0</v>
      </c>
      <c r="H399" s="9" t="n">
        <v>0</v>
      </c>
      <c r="I399" s="8" t="n">
        <f aca="false">IF(F399="Inteira CBP",D399,IF(OR(F399="Aberta",F399="Avulso"),G399,0))</f>
        <v>0</v>
      </c>
      <c r="J399" s="8" t="n">
        <f aca="false">IF(F399="Inteira CBTBE",D399,IF(OR(F399="Aberta",F399="Avulso"),H399,0))</f>
        <v>6</v>
      </c>
      <c r="K399" s="8" t="n">
        <f aca="false">D399-I399-J399</f>
        <v>0</v>
      </c>
    </row>
    <row r="400" customFormat="false" ht="15" hidden="false" customHeight="false" outlineLevel="0" collapsed="false">
      <c r="A400" s="8" t="s">
        <v>553</v>
      </c>
      <c r="B400" s="8" t="s">
        <v>554</v>
      </c>
      <c r="C400" s="8" t="s">
        <v>200</v>
      </c>
      <c r="D400" s="8" t="n">
        <v>7</v>
      </c>
      <c r="E400" s="8" t="n">
        <v>476065</v>
      </c>
      <c r="F400" s="11" t="str">
        <f aca="false">INDEX(Caixas!$C:$C,MATCH(C400,Caixas!$A:$A,0))</f>
        <v>Inteira CBP</v>
      </c>
      <c r="G400" s="9" t="n">
        <v>0</v>
      </c>
      <c r="H400" s="9" t="n">
        <v>0</v>
      </c>
      <c r="I400" s="8" t="n">
        <f aca="false">IF(F400="Inteira CBP",D400,IF(OR(F400="Aberta",F400="Avulso"),G400,0))</f>
        <v>7</v>
      </c>
      <c r="J400" s="8" t="n">
        <f aca="false">IF(F400="Inteira CBTBE",D400,IF(OR(F400="Aberta",F400="Avulso"),H400,0))</f>
        <v>0</v>
      </c>
      <c r="K400" s="8" t="n">
        <f aca="false">D400-I400-J400</f>
        <v>0</v>
      </c>
    </row>
    <row r="401" customFormat="false" ht="15" hidden="false" customHeight="false" outlineLevel="0" collapsed="false">
      <c r="A401" s="8" t="s">
        <v>523</v>
      </c>
      <c r="B401" s="8" t="s">
        <v>524</v>
      </c>
      <c r="C401" s="8" t="s">
        <v>200</v>
      </c>
      <c r="D401" s="8" t="n">
        <v>2</v>
      </c>
      <c r="E401" s="8" t="n">
        <v>476043</v>
      </c>
      <c r="F401" s="11" t="str">
        <f aca="false">INDEX(Caixas!$C:$C,MATCH(C401,Caixas!$A:$A,0))</f>
        <v>Inteira CBP</v>
      </c>
      <c r="G401" s="9" t="n">
        <v>0</v>
      </c>
      <c r="H401" s="9" t="n">
        <v>0</v>
      </c>
      <c r="I401" s="8" t="n">
        <f aca="false">IF(F401="Inteira CBP",D401,IF(OR(F401="Aberta",F401="Avulso"),G401,0))</f>
        <v>2</v>
      </c>
      <c r="J401" s="8" t="n">
        <f aca="false">IF(F401="Inteira CBTBE",D401,IF(OR(F401="Aberta",F401="Avulso"),H401,0))</f>
        <v>0</v>
      </c>
      <c r="K401" s="8" t="n">
        <f aca="false">D401-I401-J401</f>
        <v>0</v>
      </c>
    </row>
    <row r="402" customFormat="false" ht="15" hidden="false" customHeight="false" outlineLevel="0" collapsed="false">
      <c r="A402" s="8" t="s">
        <v>537</v>
      </c>
      <c r="B402" s="8" t="s">
        <v>538</v>
      </c>
      <c r="C402" s="8" t="s">
        <v>200</v>
      </c>
      <c r="D402" s="8" t="n">
        <v>16</v>
      </c>
      <c r="E402" s="8" t="n">
        <v>476043</v>
      </c>
      <c r="F402" s="11" t="str">
        <f aca="false">INDEX(Caixas!$C:$C,MATCH(C402,Caixas!$A:$A,0))</f>
        <v>Inteira CBP</v>
      </c>
      <c r="G402" s="9" t="n">
        <v>0</v>
      </c>
      <c r="H402" s="9" t="n">
        <v>0</v>
      </c>
      <c r="I402" s="8" t="n">
        <f aca="false">IF(F402="Inteira CBP",D402,IF(OR(F402="Aberta",F402="Avulso"),G402,0))</f>
        <v>16</v>
      </c>
      <c r="J402" s="8" t="n">
        <f aca="false">IF(F402="Inteira CBTBE",D402,IF(OR(F402="Aberta",F402="Avulso"),H402,0))</f>
        <v>0</v>
      </c>
      <c r="K402" s="8" t="n">
        <f aca="false">D402-I402-J402</f>
        <v>0</v>
      </c>
    </row>
    <row r="403" customFormat="false" ht="15" hidden="false" customHeight="false" outlineLevel="0" collapsed="false">
      <c r="A403" s="8" t="s">
        <v>551</v>
      </c>
      <c r="B403" s="8" t="s">
        <v>552</v>
      </c>
      <c r="C403" s="8" t="s">
        <v>200</v>
      </c>
      <c r="D403" s="8" t="n">
        <v>6</v>
      </c>
      <c r="E403" s="8" t="n">
        <v>476061</v>
      </c>
      <c r="F403" s="11" t="str">
        <f aca="false">INDEX(Caixas!$C:$C,MATCH(C403,Caixas!$A:$A,0))</f>
        <v>Inteira CBP</v>
      </c>
      <c r="G403" s="9" t="n">
        <v>0</v>
      </c>
      <c r="H403" s="9" t="n">
        <v>0</v>
      </c>
      <c r="I403" s="8" t="n">
        <f aca="false">IF(F403="Inteira CBP",D403,IF(OR(F403="Aberta",F403="Avulso"),G403,0))</f>
        <v>6</v>
      </c>
      <c r="J403" s="8" t="n">
        <f aca="false">IF(F403="Inteira CBTBE",D403,IF(OR(F403="Aberta",F403="Avulso"),H403,0))</f>
        <v>0</v>
      </c>
      <c r="K403" s="8" t="n">
        <f aca="false">D403-I403-J403</f>
        <v>0</v>
      </c>
    </row>
    <row r="404" customFormat="false" ht="15" hidden="false" customHeight="false" outlineLevel="0" collapsed="false">
      <c r="A404" s="8" t="s">
        <v>553</v>
      </c>
      <c r="B404" s="8" t="s">
        <v>554</v>
      </c>
      <c r="C404" s="8" t="s">
        <v>201</v>
      </c>
      <c r="D404" s="8" t="n">
        <v>7</v>
      </c>
      <c r="E404" s="8" t="n">
        <v>476065</v>
      </c>
      <c r="F404" s="11" t="str">
        <f aca="false">INDEX(Caixas!$C:$C,MATCH(C404,Caixas!$A:$A,0))</f>
        <v>Inteira CBTBE</v>
      </c>
      <c r="G404" s="9" t="n">
        <v>0</v>
      </c>
      <c r="H404" s="9" t="n">
        <v>0</v>
      </c>
      <c r="I404" s="8" t="n">
        <f aca="false">IF(F404="Inteira CBP",D404,IF(OR(F404="Aberta",F404="Avulso"),G404,0))</f>
        <v>0</v>
      </c>
      <c r="J404" s="8" t="n">
        <f aca="false">IF(F404="Inteira CBTBE",D404,IF(OR(F404="Aberta",F404="Avulso"),H404,0))</f>
        <v>7</v>
      </c>
      <c r="K404" s="8" t="n">
        <f aca="false">D404-I404-J404</f>
        <v>0</v>
      </c>
    </row>
    <row r="405" customFormat="false" ht="15" hidden="false" customHeight="false" outlineLevel="0" collapsed="false">
      <c r="A405" s="8" t="s">
        <v>523</v>
      </c>
      <c r="B405" s="8" t="s">
        <v>524</v>
      </c>
      <c r="C405" s="8" t="s">
        <v>201</v>
      </c>
      <c r="D405" s="8" t="n">
        <v>6</v>
      </c>
      <c r="E405" s="8" t="n">
        <v>476043</v>
      </c>
      <c r="F405" s="11" t="str">
        <f aca="false">INDEX(Caixas!$C:$C,MATCH(C405,Caixas!$A:$A,0))</f>
        <v>Inteira CBTBE</v>
      </c>
      <c r="G405" s="9" t="n">
        <v>0</v>
      </c>
      <c r="H405" s="9" t="n">
        <v>0</v>
      </c>
      <c r="I405" s="8" t="n">
        <f aca="false">IF(F405="Inteira CBP",D405,IF(OR(F405="Aberta",F405="Avulso"),G405,0))</f>
        <v>0</v>
      </c>
      <c r="J405" s="8" t="n">
        <f aca="false">IF(F405="Inteira CBTBE",D405,IF(OR(F405="Aberta",F405="Avulso"),H405,0))</f>
        <v>6</v>
      </c>
      <c r="K405" s="8" t="n">
        <f aca="false">D405-I405-J405</f>
        <v>0</v>
      </c>
    </row>
    <row r="406" customFormat="false" ht="15" hidden="false" customHeight="false" outlineLevel="0" collapsed="false">
      <c r="A406" s="8" t="s">
        <v>527</v>
      </c>
      <c r="B406" s="8" t="s">
        <v>528</v>
      </c>
      <c r="C406" s="8" t="s">
        <v>201</v>
      </c>
      <c r="D406" s="8" t="n">
        <v>8</v>
      </c>
      <c r="E406" s="8" t="n">
        <v>476043</v>
      </c>
      <c r="F406" s="11" t="str">
        <f aca="false">INDEX(Caixas!$C:$C,MATCH(C406,Caixas!$A:$A,0))</f>
        <v>Inteira CBTBE</v>
      </c>
      <c r="G406" s="9" t="n">
        <v>0</v>
      </c>
      <c r="H406" s="9" t="n">
        <v>0</v>
      </c>
      <c r="I406" s="8" t="n">
        <f aca="false">IF(F406="Inteira CBP",D406,IF(OR(F406="Aberta",F406="Avulso"),G406,0))</f>
        <v>0</v>
      </c>
      <c r="J406" s="8" t="n">
        <f aca="false">IF(F406="Inteira CBTBE",D406,IF(OR(F406="Aberta",F406="Avulso"),H406,0))</f>
        <v>8</v>
      </c>
      <c r="K406" s="8" t="n">
        <f aca="false">D406-I406-J406</f>
        <v>0</v>
      </c>
    </row>
    <row r="407" customFormat="false" ht="15" hidden="false" customHeight="false" outlineLevel="0" collapsed="false">
      <c r="A407" s="8" t="s">
        <v>533</v>
      </c>
      <c r="B407" s="8" t="s">
        <v>534</v>
      </c>
      <c r="C407" s="8" t="s">
        <v>201</v>
      </c>
      <c r="D407" s="8" t="n">
        <v>8</v>
      </c>
      <c r="E407" s="8" t="n">
        <v>476043</v>
      </c>
      <c r="F407" s="11" t="str">
        <f aca="false">INDEX(Caixas!$C:$C,MATCH(C407,Caixas!$A:$A,0))</f>
        <v>Inteira CBTBE</v>
      </c>
      <c r="G407" s="9" t="n">
        <v>0</v>
      </c>
      <c r="H407" s="9" t="n">
        <v>0</v>
      </c>
      <c r="I407" s="8" t="n">
        <f aca="false">IF(F407="Inteira CBP",D407,IF(OR(F407="Aberta",F407="Avulso"),G407,0))</f>
        <v>0</v>
      </c>
      <c r="J407" s="8" t="n">
        <f aca="false">IF(F407="Inteira CBTBE",D407,IF(OR(F407="Aberta",F407="Avulso"),H407,0))</f>
        <v>8</v>
      </c>
      <c r="K407" s="8" t="n">
        <f aca="false">D407-I407-J407</f>
        <v>0</v>
      </c>
    </row>
    <row r="408" customFormat="false" ht="15" hidden="false" customHeight="false" outlineLevel="0" collapsed="false">
      <c r="A408" s="8" t="s">
        <v>551</v>
      </c>
      <c r="B408" s="8" t="s">
        <v>552</v>
      </c>
      <c r="C408" s="8" t="s">
        <v>201</v>
      </c>
      <c r="D408" s="8" t="n">
        <v>6</v>
      </c>
      <c r="E408" s="8" t="n">
        <v>476061</v>
      </c>
      <c r="F408" s="11" t="str">
        <f aca="false">INDEX(Caixas!$C:$C,MATCH(C408,Caixas!$A:$A,0))</f>
        <v>Inteira CBTBE</v>
      </c>
      <c r="G408" s="9" t="n">
        <v>0</v>
      </c>
      <c r="H408" s="9" t="n">
        <v>0</v>
      </c>
      <c r="I408" s="8" t="n">
        <f aca="false">IF(F408="Inteira CBP",D408,IF(OR(F408="Aberta",F408="Avulso"),G408,0))</f>
        <v>0</v>
      </c>
      <c r="J408" s="8" t="n">
        <f aca="false">IF(F408="Inteira CBTBE",D408,IF(OR(F408="Aberta",F408="Avulso"),H408,0))</f>
        <v>6</v>
      </c>
      <c r="K408" s="8" t="n">
        <f aca="false">D408-I408-J408</f>
        <v>0</v>
      </c>
    </row>
    <row r="409" customFormat="false" ht="15" hidden="false" customHeight="false" outlineLevel="0" collapsed="false">
      <c r="A409" s="8" t="s">
        <v>525</v>
      </c>
      <c r="B409" s="8" t="s">
        <v>526</v>
      </c>
      <c r="C409" s="8" t="s">
        <v>201</v>
      </c>
      <c r="D409" s="8" t="n">
        <v>8</v>
      </c>
      <c r="E409" s="8" t="n">
        <v>476043</v>
      </c>
      <c r="F409" s="11" t="str">
        <f aca="false">INDEX(Caixas!$C:$C,MATCH(C409,Caixas!$A:$A,0))</f>
        <v>Inteira CBTBE</v>
      </c>
      <c r="G409" s="9" t="n">
        <v>0</v>
      </c>
      <c r="H409" s="9" t="n">
        <v>0</v>
      </c>
      <c r="I409" s="8" t="n">
        <f aca="false">IF(F409="Inteira CBP",D409,IF(OR(F409="Aberta",F409="Avulso"),G409,0))</f>
        <v>0</v>
      </c>
      <c r="J409" s="8" t="n">
        <f aca="false">IF(F409="Inteira CBTBE",D409,IF(OR(F409="Aberta",F409="Avulso"),H409,0))</f>
        <v>8</v>
      </c>
      <c r="K409" s="8" t="n">
        <f aca="false">D409-I409-J409</f>
        <v>0</v>
      </c>
    </row>
    <row r="410" customFormat="false" ht="15" hidden="false" customHeight="false" outlineLevel="0" collapsed="false">
      <c r="A410" s="8" t="s">
        <v>553</v>
      </c>
      <c r="B410" s="8" t="s">
        <v>554</v>
      </c>
      <c r="C410" s="8" t="s">
        <v>202</v>
      </c>
      <c r="D410" s="8" t="n">
        <v>7</v>
      </c>
      <c r="E410" s="8" t="n">
        <v>476065</v>
      </c>
      <c r="F410" s="11" t="str">
        <f aca="false">INDEX(Caixas!$C:$C,MATCH(C410,Caixas!$A:$A,0))</f>
        <v>Inteira CBP</v>
      </c>
      <c r="G410" s="9" t="n">
        <v>0</v>
      </c>
      <c r="H410" s="9" t="n">
        <v>0</v>
      </c>
      <c r="I410" s="8" t="n">
        <f aca="false">IF(F410="Inteira CBP",D410,IF(OR(F410="Aberta",F410="Avulso"),G410,0))</f>
        <v>7</v>
      </c>
      <c r="J410" s="8" t="n">
        <f aca="false">IF(F410="Inteira CBTBE",D410,IF(OR(F410="Aberta",F410="Avulso"),H410,0))</f>
        <v>0</v>
      </c>
      <c r="K410" s="8" t="n">
        <f aca="false">D410-I410-J410</f>
        <v>0</v>
      </c>
    </row>
    <row r="411" customFormat="false" ht="15" hidden="false" customHeight="false" outlineLevel="0" collapsed="false">
      <c r="A411" s="8" t="s">
        <v>543</v>
      </c>
      <c r="B411" s="8" t="s">
        <v>544</v>
      </c>
      <c r="C411" s="8" t="s">
        <v>202</v>
      </c>
      <c r="D411" s="8" t="n">
        <v>17</v>
      </c>
      <c r="E411" s="8" t="n">
        <v>476043</v>
      </c>
      <c r="F411" s="11" t="str">
        <f aca="false">INDEX(Caixas!$C:$C,MATCH(C411,Caixas!$A:$A,0))</f>
        <v>Inteira CBP</v>
      </c>
      <c r="G411" s="9" t="n">
        <v>0</v>
      </c>
      <c r="H411" s="9" t="n">
        <v>0</v>
      </c>
      <c r="I411" s="8" t="n">
        <f aca="false">IF(F411="Inteira CBP",D411,IF(OR(F411="Aberta",F411="Avulso"),G411,0))</f>
        <v>17</v>
      </c>
      <c r="J411" s="8" t="n">
        <f aca="false">IF(F411="Inteira CBTBE",D411,IF(OR(F411="Aberta",F411="Avulso"),H411,0))</f>
        <v>0</v>
      </c>
      <c r="K411" s="8" t="n">
        <f aca="false">D411-I411-J411</f>
        <v>0</v>
      </c>
    </row>
    <row r="412" customFormat="false" ht="15" hidden="false" customHeight="false" outlineLevel="0" collapsed="false">
      <c r="A412" s="8" t="s">
        <v>551</v>
      </c>
      <c r="B412" s="8" t="s">
        <v>552</v>
      </c>
      <c r="C412" s="8" t="s">
        <v>202</v>
      </c>
      <c r="D412" s="8" t="n">
        <v>6</v>
      </c>
      <c r="E412" s="8" t="n">
        <v>476061</v>
      </c>
      <c r="F412" s="11" t="str">
        <f aca="false">INDEX(Caixas!$C:$C,MATCH(C412,Caixas!$A:$A,0))</f>
        <v>Inteira CBP</v>
      </c>
      <c r="G412" s="9" t="n">
        <v>0</v>
      </c>
      <c r="H412" s="9" t="n">
        <v>0</v>
      </c>
      <c r="I412" s="8" t="n">
        <f aca="false">IF(F412="Inteira CBP",D412,IF(OR(F412="Aberta",F412="Avulso"),G412,0))</f>
        <v>6</v>
      </c>
      <c r="J412" s="8" t="n">
        <f aca="false">IF(F412="Inteira CBTBE",D412,IF(OR(F412="Aberta",F412="Avulso"),H412,0))</f>
        <v>0</v>
      </c>
      <c r="K412" s="8" t="n">
        <f aca="false">D412-I412-J412</f>
        <v>0</v>
      </c>
    </row>
    <row r="413" customFormat="false" ht="15" hidden="false" customHeight="false" outlineLevel="0" collapsed="false">
      <c r="A413" s="8" t="s">
        <v>549</v>
      </c>
      <c r="B413" s="8" t="s">
        <v>550</v>
      </c>
      <c r="C413" s="8" t="s">
        <v>202</v>
      </c>
      <c r="D413" s="8" t="n">
        <v>14</v>
      </c>
      <c r="E413" s="8" t="n">
        <v>476043</v>
      </c>
      <c r="F413" s="11" t="str">
        <f aca="false">INDEX(Caixas!$C:$C,MATCH(C413,Caixas!$A:$A,0))</f>
        <v>Inteira CBP</v>
      </c>
      <c r="G413" s="9" t="n">
        <v>0</v>
      </c>
      <c r="H413" s="9" t="n">
        <v>0</v>
      </c>
      <c r="I413" s="8" t="n">
        <f aca="false">IF(F413="Inteira CBP",D413,IF(OR(F413="Aberta",F413="Avulso"),G413,0))</f>
        <v>14</v>
      </c>
      <c r="J413" s="8" t="n">
        <f aca="false">IF(F413="Inteira CBTBE",D413,IF(OR(F413="Aberta",F413="Avulso"),H413,0))</f>
        <v>0</v>
      </c>
      <c r="K413" s="8" t="n">
        <f aca="false">D413-I413-J413</f>
        <v>0</v>
      </c>
    </row>
    <row r="414" customFormat="false" ht="15" hidden="false" customHeight="false" outlineLevel="0" collapsed="false">
      <c r="A414" s="8" t="s">
        <v>553</v>
      </c>
      <c r="B414" s="8" t="s">
        <v>554</v>
      </c>
      <c r="C414" s="8" t="s">
        <v>203</v>
      </c>
      <c r="D414" s="8" t="n">
        <v>7</v>
      </c>
      <c r="E414" s="8" t="n">
        <v>476065</v>
      </c>
      <c r="F414" s="11" t="str">
        <f aca="false">INDEX(Caixas!$C:$C,MATCH(C414,Caixas!$A:$A,0))</f>
        <v>Aberta</v>
      </c>
      <c r="G414" s="9" t="n">
        <v>0</v>
      </c>
      <c r="H414" s="9" t="n">
        <v>5</v>
      </c>
      <c r="I414" s="8" t="n">
        <f aca="false">IF(F414="Inteira CBP",D414,IF(OR(F414="Aberta",F414="Avulso"),G414,0))</f>
        <v>0</v>
      </c>
      <c r="J414" s="8" t="n">
        <f aca="false">IF(F414="Inteira CBTBE",D414,IF(OR(F414="Aberta",F414="Avulso"),H414,0))</f>
        <v>5</v>
      </c>
      <c r="K414" s="8" t="n">
        <f aca="false">D414-I414-J414</f>
        <v>2</v>
      </c>
    </row>
    <row r="415" customFormat="false" ht="15" hidden="false" customHeight="false" outlineLevel="0" collapsed="false">
      <c r="A415" s="8" t="s">
        <v>555</v>
      </c>
      <c r="B415" s="8" t="s">
        <v>556</v>
      </c>
      <c r="C415" s="8" t="s">
        <v>203</v>
      </c>
      <c r="D415" s="8" t="n">
        <v>29</v>
      </c>
      <c r="E415" s="8" t="n">
        <v>476043</v>
      </c>
      <c r="F415" s="11" t="str">
        <f aca="false">INDEX(Caixas!$C:$C,MATCH(C415,Caixas!$A:$A,0))</f>
        <v>Aberta</v>
      </c>
      <c r="G415" s="9" t="n">
        <v>0</v>
      </c>
      <c r="H415" s="9" t="n">
        <v>9</v>
      </c>
      <c r="I415" s="8" t="n">
        <f aca="false">IF(F415="Inteira CBP",D415,IF(OR(F415="Aberta",F415="Avulso"),G415,0))</f>
        <v>0</v>
      </c>
      <c r="J415" s="8" t="n">
        <f aca="false">IF(F415="Inteira CBTBE",D415,IF(OR(F415="Aberta",F415="Avulso"),H415,0))</f>
        <v>9</v>
      </c>
      <c r="K415" s="8" t="n">
        <f aca="false">D415-I415-J415</f>
        <v>20</v>
      </c>
    </row>
    <row r="416" customFormat="false" ht="15" hidden="false" customHeight="false" outlineLevel="0" collapsed="false">
      <c r="A416" s="8" t="s">
        <v>551</v>
      </c>
      <c r="B416" s="8" t="s">
        <v>552</v>
      </c>
      <c r="C416" s="8" t="s">
        <v>203</v>
      </c>
      <c r="D416" s="8" t="n">
        <v>6</v>
      </c>
      <c r="E416" s="8" t="n">
        <v>476061</v>
      </c>
      <c r="F416" s="11" t="str">
        <f aca="false">INDEX(Caixas!$C:$C,MATCH(C416,Caixas!$A:$A,0))</f>
        <v>Aberta</v>
      </c>
      <c r="G416" s="9" t="n">
        <v>6</v>
      </c>
      <c r="H416" s="9" t="n">
        <v>0</v>
      </c>
      <c r="I416" s="8" t="n">
        <f aca="false">IF(F416="Inteira CBP",D416,IF(OR(F416="Aberta",F416="Avulso"),G416,0))</f>
        <v>6</v>
      </c>
      <c r="J416" s="8" t="n">
        <f aca="false">IF(F416="Inteira CBTBE",D416,IF(OR(F416="Aberta",F416="Avulso"),H416,0))</f>
        <v>0</v>
      </c>
      <c r="K416" s="8" t="n">
        <f aca="false">D416-I416-J416</f>
        <v>0</v>
      </c>
    </row>
    <row r="417" customFormat="false" ht="15" hidden="false" customHeight="false" outlineLevel="0" collapsed="false">
      <c r="A417" s="8" t="s">
        <v>553</v>
      </c>
      <c r="B417" s="8" t="s">
        <v>554</v>
      </c>
      <c r="C417" s="8" t="s">
        <v>204</v>
      </c>
      <c r="D417" s="8" t="n">
        <v>7</v>
      </c>
      <c r="E417" s="8" t="n">
        <v>476065</v>
      </c>
      <c r="F417" s="11" t="str">
        <f aca="false">INDEX(Caixas!$C:$C,MATCH(C417,Caixas!$A:$A,0))</f>
        <v>Inteira CBP</v>
      </c>
      <c r="G417" s="9" t="n">
        <v>0</v>
      </c>
      <c r="H417" s="9" t="n">
        <v>0</v>
      </c>
      <c r="I417" s="8" t="n">
        <f aca="false">IF(F417="Inteira CBP",D417,IF(OR(F417="Aberta",F417="Avulso"),G417,0))</f>
        <v>7</v>
      </c>
      <c r="J417" s="8" t="n">
        <f aca="false">IF(F417="Inteira CBTBE",D417,IF(OR(F417="Aberta",F417="Avulso"),H417,0))</f>
        <v>0</v>
      </c>
      <c r="K417" s="8" t="n">
        <f aca="false">D417-I417-J417</f>
        <v>0</v>
      </c>
    </row>
    <row r="418" customFormat="false" ht="15" hidden="false" customHeight="false" outlineLevel="0" collapsed="false">
      <c r="A418" s="8" t="s">
        <v>555</v>
      </c>
      <c r="B418" s="8" t="s">
        <v>556</v>
      </c>
      <c r="C418" s="8" t="s">
        <v>204</v>
      </c>
      <c r="D418" s="8" t="n">
        <v>27</v>
      </c>
      <c r="E418" s="8" t="n">
        <v>476043</v>
      </c>
      <c r="F418" s="11" t="str">
        <f aca="false">INDEX(Caixas!$C:$C,MATCH(C418,Caixas!$A:$A,0))</f>
        <v>Inteira CBP</v>
      </c>
      <c r="G418" s="9" t="n">
        <v>0</v>
      </c>
      <c r="H418" s="9" t="n">
        <v>0</v>
      </c>
      <c r="I418" s="8" t="n">
        <f aca="false">IF(F418="Inteira CBP",D418,IF(OR(F418="Aberta",F418="Avulso"),G418,0))</f>
        <v>27</v>
      </c>
      <c r="J418" s="8" t="n">
        <f aca="false">IF(F418="Inteira CBTBE",D418,IF(OR(F418="Aberta",F418="Avulso"),H418,0))</f>
        <v>0</v>
      </c>
      <c r="K418" s="8" t="n">
        <f aca="false">D418-I418-J418</f>
        <v>0</v>
      </c>
    </row>
    <row r="419" customFormat="false" ht="15" hidden="false" customHeight="false" outlineLevel="0" collapsed="false">
      <c r="A419" s="8" t="s">
        <v>551</v>
      </c>
      <c r="B419" s="8" t="s">
        <v>552</v>
      </c>
      <c r="C419" s="8" t="s">
        <v>204</v>
      </c>
      <c r="D419" s="8" t="n">
        <v>6</v>
      </c>
      <c r="E419" s="8" t="n">
        <v>476061</v>
      </c>
      <c r="F419" s="11" t="str">
        <f aca="false">INDEX(Caixas!$C:$C,MATCH(C419,Caixas!$A:$A,0))</f>
        <v>Inteira CBP</v>
      </c>
      <c r="G419" s="9" t="n">
        <v>0</v>
      </c>
      <c r="H419" s="9" t="n">
        <v>0</v>
      </c>
      <c r="I419" s="8" t="n">
        <f aca="false">IF(F419="Inteira CBP",D419,IF(OR(F419="Aberta",F419="Avulso"),G419,0))</f>
        <v>6</v>
      </c>
      <c r="J419" s="8" t="n">
        <f aca="false">IF(F419="Inteira CBTBE",D419,IF(OR(F419="Aberta",F419="Avulso"),H419,0))</f>
        <v>0</v>
      </c>
      <c r="K419" s="8" t="n">
        <f aca="false">D419-I419-J419</f>
        <v>0</v>
      </c>
    </row>
    <row r="420" customFormat="false" ht="15" hidden="false" customHeight="false" outlineLevel="0" collapsed="false">
      <c r="A420" s="8" t="s">
        <v>539</v>
      </c>
      <c r="B420" s="8" t="s">
        <v>540</v>
      </c>
      <c r="C420" s="8" t="s">
        <v>205</v>
      </c>
      <c r="D420" s="8" t="n">
        <v>30</v>
      </c>
      <c r="E420" s="8" t="n">
        <v>476043</v>
      </c>
      <c r="F420" s="11" t="str">
        <f aca="false">INDEX(Caixas!$C:$C,MATCH(C420,Caixas!$A:$A,0))</f>
        <v>Inteira CBP</v>
      </c>
      <c r="G420" s="9" t="n">
        <v>0</v>
      </c>
      <c r="H420" s="9" t="n">
        <v>0</v>
      </c>
      <c r="I420" s="8" t="n">
        <f aca="false">IF(F420="Inteira CBP",D420,IF(OR(F420="Aberta",F420="Avulso"),G420,0))</f>
        <v>30</v>
      </c>
      <c r="J420" s="8" t="n">
        <f aca="false">IF(F420="Inteira CBTBE",D420,IF(OR(F420="Aberta",F420="Avulso"),H420,0))</f>
        <v>0</v>
      </c>
      <c r="K420" s="8" t="n">
        <f aca="false">D420-I420-J420</f>
        <v>0</v>
      </c>
    </row>
    <row r="421" customFormat="false" ht="15" hidden="false" customHeight="false" outlineLevel="0" collapsed="false">
      <c r="A421" s="8" t="s">
        <v>553</v>
      </c>
      <c r="B421" s="8" t="s">
        <v>554</v>
      </c>
      <c r="C421" s="8" t="s">
        <v>205</v>
      </c>
      <c r="D421" s="8" t="n">
        <v>7</v>
      </c>
      <c r="E421" s="8" t="n">
        <v>476065</v>
      </c>
      <c r="F421" s="11" t="str">
        <f aca="false">INDEX(Caixas!$C:$C,MATCH(C421,Caixas!$A:$A,0))</f>
        <v>Inteira CBP</v>
      </c>
      <c r="G421" s="9" t="n">
        <v>0</v>
      </c>
      <c r="H421" s="9" t="n">
        <v>0</v>
      </c>
      <c r="I421" s="8" t="n">
        <f aca="false">IF(F421="Inteira CBP",D421,IF(OR(F421="Aberta",F421="Avulso"),G421,0))</f>
        <v>7</v>
      </c>
      <c r="J421" s="8" t="n">
        <f aca="false">IF(F421="Inteira CBTBE",D421,IF(OR(F421="Aberta",F421="Avulso"),H421,0))</f>
        <v>0</v>
      </c>
      <c r="K421" s="8" t="n">
        <f aca="false">D421-I421-J421</f>
        <v>0</v>
      </c>
    </row>
    <row r="422" customFormat="false" ht="15" hidden="false" customHeight="false" outlineLevel="0" collapsed="false">
      <c r="A422" s="8" t="s">
        <v>551</v>
      </c>
      <c r="B422" s="8" t="s">
        <v>552</v>
      </c>
      <c r="C422" s="8" t="s">
        <v>205</v>
      </c>
      <c r="D422" s="8" t="n">
        <v>6</v>
      </c>
      <c r="E422" s="8" t="n">
        <v>476061</v>
      </c>
      <c r="F422" s="11" t="str">
        <f aca="false">INDEX(Caixas!$C:$C,MATCH(C422,Caixas!$A:$A,0))</f>
        <v>Inteira CBP</v>
      </c>
      <c r="G422" s="9" t="n">
        <v>0</v>
      </c>
      <c r="H422" s="9" t="n">
        <v>0</v>
      </c>
      <c r="I422" s="8" t="n">
        <f aca="false">IF(F422="Inteira CBP",D422,IF(OR(F422="Aberta",F422="Avulso"),G422,0))</f>
        <v>6</v>
      </c>
      <c r="J422" s="8" t="n">
        <f aca="false">IF(F422="Inteira CBTBE",D422,IF(OR(F422="Aberta",F422="Avulso"),H422,0))</f>
        <v>0</v>
      </c>
      <c r="K422" s="8" t="n">
        <f aca="false">D422-I422-J422</f>
        <v>0</v>
      </c>
    </row>
    <row r="423" customFormat="false" ht="15" hidden="false" customHeight="false" outlineLevel="0" collapsed="false">
      <c r="A423" s="8" t="s">
        <v>553</v>
      </c>
      <c r="B423" s="8" t="s">
        <v>554</v>
      </c>
      <c r="C423" s="8" t="s">
        <v>207</v>
      </c>
      <c r="D423" s="8" t="n">
        <v>7</v>
      </c>
      <c r="E423" s="8" t="n">
        <v>476065</v>
      </c>
      <c r="F423" s="11" t="str">
        <f aca="false">INDEX(Caixas!$C:$C,MATCH(C423,Caixas!$A:$A,0))</f>
        <v>Inteira CBP</v>
      </c>
      <c r="G423" s="9" t="n">
        <v>0</v>
      </c>
      <c r="H423" s="9" t="n">
        <v>0</v>
      </c>
      <c r="I423" s="8" t="n">
        <f aca="false">IF(F423="Inteira CBP",D423,IF(OR(F423="Aberta",F423="Avulso"),G423,0))</f>
        <v>7</v>
      </c>
      <c r="J423" s="8" t="n">
        <f aca="false">IF(F423="Inteira CBTBE",D423,IF(OR(F423="Aberta",F423="Avulso"),H423,0))</f>
        <v>0</v>
      </c>
      <c r="K423" s="8" t="n">
        <f aca="false">D423-I423-J423</f>
        <v>0</v>
      </c>
    </row>
    <row r="424" customFormat="false" ht="15" hidden="false" customHeight="false" outlineLevel="0" collapsed="false">
      <c r="A424" s="8" t="s">
        <v>551</v>
      </c>
      <c r="B424" s="8" t="s">
        <v>552</v>
      </c>
      <c r="C424" s="8" t="s">
        <v>207</v>
      </c>
      <c r="D424" s="8" t="n">
        <v>6</v>
      </c>
      <c r="E424" s="8" t="n">
        <v>476061</v>
      </c>
      <c r="F424" s="11" t="str">
        <f aca="false">INDEX(Caixas!$C:$C,MATCH(C424,Caixas!$A:$A,0))</f>
        <v>Inteira CBP</v>
      </c>
      <c r="G424" s="9" t="n">
        <v>0</v>
      </c>
      <c r="H424" s="9" t="n">
        <v>0</v>
      </c>
      <c r="I424" s="8" t="n">
        <f aca="false">IF(F424="Inteira CBP",D424,IF(OR(F424="Aberta",F424="Avulso"),G424,0))</f>
        <v>6</v>
      </c>
      <c r="J424" s="8" t="n">
        <f aca="false">IF(F424="Inteira CBTBE",D424,IF(OR(F424="Aberta",F424="Avulso"),H424,0))</f>
        <v>0</v>
      </c>
      <c r="K424" s="8" t="n">
        <f aca="false">D424-I424-J424</f>
        <v>0</v>
      </c>
    </row>
    <row r="425" customFormat="false" ht="15" hidden="false" customHeight="false" outlineLevel="0" collapsed="false">
      <c r="A425" s="8" t="s">
        <v>557</v>
      </c>
      <c r="B425" s="8" t="s">
        <v>558</v>
      </c>
      <c r="C425" s="8" t="s">
        <v>207</v>
      </c>
      <c r="D425" s="8" t="n">
        <v>36</v>
      </c>
      <c r="E425" s="8" t="n">
        <v>476043</v>
      </c>
      <c r="F425" s="11" t="str">
        <f aca="false">INDEX(Caixas!$C:$C,MATCH(C425,Caixas!$A:$A,0))</f>
        <v>Inteira CBP</v>
      </c>
      <c r="G425" s="9" t="n">
        <v>0</v>
      </c>
      <c r="H425" s="9" t="n">
        <v>0</v>
      </c>
      <c r="I425" s="8" t="n">
        <f aca="false">IF(F425="Inteira CBP",D425,IF(OR(F425="Aberta",F425="Avulso"),G425,0))</f>
        <v>36</v>
      </c>
      <c r="J425" s="8" t="n">
        <f aca="false">IF(F425="Inteira CBTBE",D425,IF(OR(F425="Aberta",F425="Avulso"),H425,0))</f>
        <v>0</v>
      </c>
      <c r="K425" s="8" t="n">
        <f aca="false">D425-I425-J425</f>
        <v>0</v>
      </c>
    </row>
    <row r="426" customFormat="false" ht="15" hidden="false" customHeight="false" outlineLevel="0" collapsed="false">
      <c r="A426" s="8" t="s">
        <v>553</v>
      </c>
      <c r="B426" s="8" t="s">
        <v>554</v>
      </c>
      <c r="C426" s="8" t="s">
        <v>208</v>
      </c>
      <c r="D426" s="8" t="n">
        <v>7</v>
      </c>
      <c r="E426" s="8" t="n">
        <v>476065</v>
      </c>
      <c r="F426" s="11" t="str">
        <f aca="false">INDEX(Caixas!$C:$C,MATCH(C426,Caixas!$A:$A,0))</f>
        <v>Inteira CBP</v>
      </c>
      <c r="G426" s="9" t="n">
        <v>0</v>
      </c>
      <c r="H426" s="9" t="n">
        <v>0</v>
      </c>
      <c r="I426" s="8" t="n">
        <f aca="false">IF(F426="Inteira CBP",D426,IF(OR(F426="Aberta",F426="Avulso"),G426,0))</f>
        <v>7</v>
      </c>
      <c r="J426" s="8" t="n">
        <f aca="false">IF(F426="Inteira CBTBE",D426,IF(OR(F426="Aberta",F426="Avulso"),H426,0))</f>
        <v>0</v>
      </c>
      <c r="K426" s="8" t="n">
        <f aca="false">D426-I426-J426</f>
        <v>0</v>
      </c>
    </row>
    <row r="427" customFormat="false" ht="15" hidden="false" customHeight="false" outlineLevel="0" collapsed="false">
      <c r="A427" s="8" t="s">
        <v>551</v>
      </c>
      <c r="B427" s="8" t="s">
        <v>552</v>
      </c>
      <c r="C427" s="8" t="s">
        <v>208</v>
      </c>
      <c r="D427" s="8" t="n">
        <v>6</v>
      </c>
      <c r="E427" s="8" t="n">
        <v>476061</v>
      </c>
      <c r="F427" s="11" t="str">
        <f aca="false">INDEX(Caixas!$C:$C,MATCH(C427,Caixas!$A:$A,0))</f>
        <v>Inteira CBP</v>
      </c>
      <c r="G427" s="9" t="n">
        <v>0</v>
      </c>
      <c r="H427" s="9" t="n">
        <v>0</v>
      </c>
      <c r="I427" s="8" t="n">
        <f aca="false">IF(F427="Inteira CBP",D427,IF(OR(F427="Aberta",F427="Avulso"),G427,0))</f>
        <v>6</v>
      </c>
      <c r="J427" s="8" t="n">
        <f aca="false">IF(F427="Inteira CBTBE",D427,IF(OR(F427="Aberta",F427="Avulso"),H427,0))</f>
        <v>0</v>
      </c>
      <c r="K427" s="8" t="n">
        <f aca="false">D427-I427-J427</f>
        <v>0</v>
      </c>
    </row>
    <row r="428" customFormat="false" ht="15" hidden="false" customHeight="false" outlineLevel="0" collapsed="false">
      <c r="A428" s="8" t="s">
        <v>557</v>
      </c>
      <c r="B428" s="8" t="s">
        <v>558</v>
      </c>
      <c r="C428" s="8" t="s">
        <v>208</v>
      </c>
      <c r="D428" s="8" t="n">
        <v>36</v>
      </c>
      <c r="E428" s="8" t="n">
        <v>476043</v>
      </c>
      <c r="F428" s="11" t="str">
        <f aca="false">INDEX(Caixas!$C:$C,MATCH(C428,Caixas!$A:$A,0))</f>
        <v>Inteira CBP</v>
      </c>
      <c r="G428" s="9" t="n">
        <v>0</v>
      </c>
      <c r="H428" s="9" t="n">
        <v>0</v>
      </c>
      <c r="I428" s="8" t="n">
        <f aca="false">IF(F428="Inteira CBP",D428,IF(OR(F428="Aberta",F428="Avulso"),G428,0))</f>
        <v>36</v>
      </c>
      <c r="J428" s="8" t="n">
        <f aca="false">IF(F428="Inteira CBTBE",D428,IF(OR(F428="Aberta",F428="Avulso"),H428,0))</f>
        <v>0</v>
      </c>
      <c r="K428" s="8" t="n">
        <f aca="false">D428-I428-J428</f>
        <v>0</v>
      </c>
    </row>
    <row r="429" customFormat="false" ht="15" hidden="false" customHeight="false" outlineLevel="0" collapsed="false">
      <c r="A429" s="8" t="s">
        <v>553</v>
      </c>
      <c r="B429" s="8" t="s">
        <v>554</v>
      </c>
      <c r="C429" s="8" t="s">
        <v>210</v>
      </c>
      <c r="D429" s="8" t="n">
        <v>7</v>
      </c>
      <c r="E429" s="8" t="n">
        <v>476065</v>
      </c>
      <c r="F429" s="11" t="str">
        <f aca="false">INDEX(Caixas!$C:$C,MATCH(C429,Caixas!$A:$A,0))</f>
        <v>Inteira CBP</v>
      </c>
      <c r="G429" s="9" t="n">
        <v>0</v>
      </c>
      <c r="H429" s="9" t="n">
        <v>0</v>
      </c>
      <c r="I429" s="8" t="n">
        <f aca="false">IF(F429="Inteira CBP",D429,IF(OR(F429="Aberta",F429="Avulso"),G429,0))</f>
        <v>7</v>
      </c>
      <c r="J429" s="8" t="n">
        <f aca="false">IF(F429="Inteira CBTBE",D429,IF(OR(F429="Aberta",F429="Avulso"),H429,0))</f>
        <v>0</v>
      </c>
      <c r="K429" s="8" t="n">
        <f aca="false">D429-I429-J429</f>
        <v>0</v>
      </c>
    </row>
    <row r="430" customFormat="false" ht="15" hidden="false" customHeight="false" outlineLevel="0" collapsed="false">
      <c r="A430" s="8" t="s">
        <v>551</v>
      </c>
      <c r="B430" s="8" t="s">
        <v>552</v>
      </c>
      <c r="C430" s="8" t="s">
        <v>210</v>
      </c>
      <c r="D430" s="8" t="n">
        <v>6</v>
      </c>
      <c r="E430" s="8" t="n">
        <v>476061</v>
      </c>
      <c r="F430" s="11" t="str">
        <f aca="false">INDEX(Caixas!$C:$C,MATCH(C430,Caixas!$A:$A,0))</f>
        <v>Inteira CBP</v>
      </c>
      <c r="G430" s="9" t="n">
        <v>0</v>
      </c>
      <c r="H430" s="9" t="n">
        <v>0</v>
      </c>
      <c r="I430" s="8" t="n">
        <f aca="false">IF(F430="Inteira CBP",D430,IF(OR(F430="Aberta",F430="Avulso"),G430,0))</f>
        <v>6</v>
      </c>
      <c r="J430" s="8" t="n">
        <f aca="false">IF(F430="Inteira CBTBE",D430,IF(OR(F430="Aberta",F430="Avulso"),H430,0))</f>
        <v>0</v>
      </c>
      <c r="K430" s="8" t="n">
        <f aca="false">D430-I430-J430</f>
        <v>0</v>
      </c>
    </row>
    <row r="431" customFormat="false" ht="15" hidden="false" customHeight="false" outlineLevel="0" collapsed="false">
      <c r="A431" s="8" t="s">
        <v>557</v>
      </c>
      <c r="B431" s="8" t="s">
        <v>558</v>
      </c>
      <c r="C431" s="8" t="s">
        <v>210</v>
      </c>
      <c r="D431" s="8" t="n">
        <v>36</v>
      </c>
      <c r="E431" s="8" t="n">
        <v>476043</v>
      </c>
      <c r="F431" s="11" t="str">
        <f aca="false">INDEX(Caixas!$C:$C,MATCH(C431,Caixas!$A:$A,0))</f>
        <v>Inteira CBP</v>
      </c>
      <c r="G431" s="9" t="n">
        <v>0</v>
      </c>
      <c r="H431" s="9" t="n">
        <v>0</v>
      </c>
      <c r="I431" s="8" t="n">
        <f aca="false">IF(F431="Inteira CBP",D431,IF(OR(F431="Aberta",F431="Avulso"),G431,0))</f>
        <v>36</v>
      </c>
      <c r="J431" s="8" t="n">
        <f aca="false">IF(F431="Inteira CBTBE",D431,IF(OR(F431="Aberta",F431="Avulso"),H431,0))</f>
        <v>0</v>
      </c>
      <c r="K431" s="8" t="n">
        <f aca="false">D431-I431-J431</f>
        <v>0</v>
      </c>
    </row>
    <row r="432" customFormat="false" ht="15" hidden="false" customHeight="false" outlineLevel="0" collapsed="false">
      <c r="A432" s="8" t="s">
        <v>553</v>
      </c>
      <c r="B432" s="8" t="s">
        <v>554</v>
      </c>
      <c r="C432" s="8" t="s">
        <v>212</v>
      </c>
      <c r="D432" s="8" t="n">
        <v>7</v>
      </c>
      <c r="E432" s="8" t="n">
        <v>476065</v>
      </c>
      <c r="F432" s="11" t="str">
        <f aca="false">INDEX(Caixas!$C:$C,MATCH(C432,Caixas!$A:$A,0))</f>
        <v>Inteira CBP</v>
      </c>
      <c r="G432" s="9" t="n">
        <v>0</v>
      </c>
      <c r="H432" s="9" t="n">
        <v>0</v>
      </c>
      <c r="I432" s="8" t="n">
        <f aca="false">IF(F432="Inteira CBP",D432,IF(OR(F432="Aberta",F432="Avulso"),G432,0))</f>
        <v>7</v>
      </c>
      <c r="J432" s="8" t="n">
        <f aca="false">IF(F432="Inteira CBTBE",D432,IF(OR(F432="Aberta",F432="Avulso"),H432,0))</f>
        <v>0</v>
      </c>
      <c r="K432" s="8" t="n">
        <f aca="false">D432-I432-J432</f>
        <v>0</v>
      </c>
    </row>
    <row r="433" customFormat="false" ht="15" hidden="false" customHeight="false" outlineLevel="0" collapsed="false">
      <c r="A433" s="8" t="s">
        <v>551</v>
      </c>
      <c r="B433" s="8" t="s">
        <v>552</v>
      </c>
      <c r="C433" s="8" t="s">
        <v>212</v>
      </c>
      <c r="D433" s="8" t="n">
        <v>6</v>
      </c>
      <c r="E433" s="8" t="n">
        <v>476061</v>
      </c>
      <c r="F433" s="11" t="str">
        <f aca="false">INDEX(Caixas!$C:$C,MATCH(C433,Caixas!$A:$A,0))</f>
        <v>Inteira CBP</v>
      </c>
      <c r="G433" s="9" t="n">
        <v>0</v>
      </c>
      <c r="H433" s="9" t="n">
        <v>0</v>
      </c>
      <c r="I433" s="8" t="n">
        <f aca="false">IF(F433="Inteira CBP",D433,IF(OR(F433="Aberta",F433="Avulso"),G433,0))</f>
        <v>6</v>
      </c>
      <c r="J433" s="8" t="n">
        <f aca="false">IF(F433="Inteira CBTBE",D433,IF(OR(F433="Aberta",F433="Avulso"),H433,0))</f>
        <v>0</v>
      </c>
      <c r="K433" s="8" t="n">
        <f aca="false">D433-I433-J433</f>
        <v>0</v>
      </c>
    </row>
    <row r="434" customFormat="false" ht="15" hidden="false" customHeight="false" outlineLevel="0" collapsed="false">
      <c r="A434" s="8" t="s">
        <v>551</v>
      </c>
      <c r="B434" s="8" t="s">
        <v>552</v>
      </c>
      <c r="C434" s="8" t="s">
        <v>213</v>
      </c>
      <c r="D434" s="8" t="n">
        <v>6</v>
      </c>
      <c r="E434" s="8" t="n">
        <v>476061</v>
      </c>
      <c r="F434" s="11" t="str">
        <f aca="false">INDEX(Caixas!$C:$C,MATCH(C434,Caixas!$A:$A,0))</f>
        <v>Inteira CBP</v>
      </c>
      <c r="G434" s="9" t="n">
        <v>0</v>
      </c>
      <c r="H434" s="9" t="n">
        <v>0</v>
      </c>
      <c r="I434" s="8" t="n">
        <f aca="false">IF(F434="Inteira CBP",D434,IF(OR(F434="Aberta",F434="Avulso"),G434,0))</f>
        <v>6</v>
      </c>
      <c r="J434" s="8" t="n">
        <f aca="false">IF(F434="Inteira CBTBE",D434,IF(OR(F434="Aberta",F434="Avulso"),H434,0))</f>
        <v>0</v>
      </c>
      <c r="K434" s="8" t="n">
        <f aca="false">D434-I434-J434</f>
        <v>0</v>
      </c>
    </row>
    <row r="435" customFormat="false" ht="15" hidden="false" customHeight="false" outlineLevel="0" collapsed="false">
      <c r="A435" s="8" t="s">
        <v>531</v>
      </c>
      <c r="B435" s="8" t="s">
        <v>532</v>
      </c>
      <c r="C435" s="8" t="s">
        <v>213</v>
      </c>
      <c r="D435" s="8" t="n">
        <v>18</v>
      </c>
      <c r="E435" s="8" t="n">
        <v>476065</v>
      </c>
      <c r="F435" s="11" t="str">
        <f aca="false">INDEX(Caixas!$C:$C,MATCH(C435,Caixas!$A:$A,0))</f>
        <v>Inteira CBP</v>
      </c>
      <c r="G435" s="9" t="n">
        <v>0</v>
      </c>
      <c r="H435" s="9" t="n">
        <v>0</v>
      </c>
      <c r="I435" s="8" t="n">
        <f aca="false">IF(F435="Inteira CBP",D435,IF(OR(F435="Aberta",F435="Avulso"),G435,0))</f>
        <v>18</v>
      </c>
      <c r="J435" s="8" t="n">
        <f aca="false">IF(F435="Inteira CBTBE",D435,IF(OR(F435="Aberta",F435="Avulso"),H435,0))</f>
        <v>0</v>
      </c>
      <c r="K435" s="8" t="n">
        <f aca="false">D435-I435-J435</f>
        <v>0</v>
      </c>
    </row>
    <row r="436" customFormat="false" ht="15" hidden="false" customHeight="false" outlineLevel="0" collapsed="false">
      <c r="A436" s="8" t="s">
        <v>559</v>
      </c>
      <c r="B436" s="8" t="s">
        <v>560</v>
      </c>
      <c r="C436" s="8" t="s">
        <v>214</v>
      </c>
      <c r="D436" s="8" t="n">
        <v>64</v>
      </c>
      <c r="E436" s="8" t="n">
        <v>476043</v>
      </c>
      <c r="F436" s="11" t="str">
        <f aca="false">INDEX(Caixas!$C:$C,MATCH(C436,Caixas!$A:$A,0))</f>
        <v>Aberta</v>
      </c>
      <c r="G436" s="9" t="n">
        <v>0</v>
      </c>
      <c r="H436" s="9" t="n">
        <v>64</v>
      </c>
      <c r="I436" s="8" t="n">
        <f aca="false">IF(F436="Inteira CBP",D436,IF(OR(F436="Aberta",F436="Avulso"),G436,0))</f>
        <v>0</v>
      </c>
      <c r="J436" s="8" t="n">
        <f aca="false">IF(F436="Inteira CBTBE",D436,IF(OR(F436="Aberta",F436="Avulso"),H436,0))</f>
        <v>64</v>
      </c>
      <c r="K436" s="8" t="n">
        <f aca="false">D436-I436-J436</f>
        <v>0</v>
      </c>
    </row>
    <row r="437" customFormat="false" ht="15" hidden="false" customHeight="false" outlineLevel="0" collapsed="false">
      <c r="A437" s="8" t="s">
        <v>551</v>
      </c>
      <c r="B437" s="8" t="s">
        <v>552</v>
      </c>
      <c r="C437" s="8" t="s">
        <v>214</v>
      </c>
      <c r="D437" s="8" t="n">
        <v>6</v>
      </c>
      <c r="E437" s="8" t="n">
        <v>476061</v>
      </c>
      <c r="F437" s="11" t="str">
        <f aca="false">INDEX(Caixas!$C:$C,MATCH(C437,Caixas!$A:$A,0))</f>
        <v>Aberta</v>
      </c>
      <c r="G437" s="9" t="n">
        <v>6</v>
      </c>
      <c r="H437" s="9" t="n">
        <v>0</v>
      </c>
      <c r="I437" s="8" t="n">
        <f aca="false">IF(F437="Inteira CBP",D437,IF(OR(F437="Aberta",F437="Avulso"),G437,0))</f>
        <v>6</v>
      </c>
      <c r="J437" s="8" t="n">
        <f aca="false">IF(F437="Inteira CBTBE",D437,IF(OR(F437="Aberta",F437="Avulso"),H437,0))</f>
        <v>0</v>
      </c>
      <c r="K437" s="8" t="n">
        <f aca="false">D437-I437-J437</f>
        <v>0</v>
      </c>
    </row>
    <row r="438" customFormat="false" ht="15" hidden="false" customHeight="false" outlineLevel="0" collapsed="false">
      <c r="A438" s="8" t="s">
        <v>531</v>
      </c>
      <c r="B438" s="8" t="s">
        <v>532</v>
      </c>
      <c r="C438" s="8" t="s">
        <v>214</v>
      </c>
      <c r="D438" s="8" t="n">
        <v>18</v>
      </c>
      <c r="E438" s="8" t="n">
        <v>476065</v>
      </c>
      <c r="F438" s="11" t="str">
        <f aca="false">INDEX(Caixas!$C:$C,MATCH(C438,Caixas!$A:$A,0))</f>
        <v>Aberta</v>
      </c>
      <c r="G438" s="9" t="n">
        <v>0</v>
      </c>
      <c r="H438" s="9" t="n">
        <v>0</v>
      </c>
      <c r="I438" s="8" t="n">
        <f aca="false">IF(F438="Inteira CBP",D438,IF(OR(F438="Aberta",F438="Avulso"),G438,0))</f>
        <v>0</v>
      </c>
      <c r="J438" s="8" t="n">
        <f aca="false">IF(F438="Inteira CBTBE",D438,IF(OR(F438="Aberta",F438="Avulso"),H438,0))</f>
        <v>0</v>
      </c>
      <c r="K438" s="8" t="n">
        <f aca="false">D438-I438-J438</f>
        <v>18</v>
      </c>
    </row>
    <row r="439" customFormat="false" ht="15" hidden="false" customHeight="false" outlineLevel="0" collapsed="false">
      <c r="A439" s="8" t="s">
        <v>561</v>
      </c>
      <c r="B439" s="8" t="s">
        <v>562</v>
      </c>
      <c r="C439" s="8" t="s">
        <v>215</v>
      </c>
      <c r="D439" s="8" t="n">
        <v>22</v>
      </c>
      <c r="E439" s="8" t="n">
        <v>476043</v>
      </c>
      <c r="F439" s="11" t="str">
        <f aca="false">INDEX(Caixas!$C:$C,MATCH(C439,Caixas!$A:$A,0))</f>
        <v>Aberta</v>
      </c>
      <c r="G439" s="9" t="n">
        <v>0</v>
      </c>
      <c r="H439" s="9" t="n">
        <v>0</v>
      </c>
      <c r="I439" s="8" t="n">
        <f aca="false">IF(F439="Inteira CBP",D439,IF(OR(F439="Aberta",F439="Avulso"),G439,0))</f>
        <v>0</v>
      </c>
      <c r="J439" s="8" t="n">
        <f aca="false">IF(F439="Inteira CBTBE",D439,IF(OR(F439="Aberta",F439="Avulso"),H439,0))</f>
        <v>0</v>
      </c>
      <c r="K439" s="8" t="n">
        <f aca="false">D439-I439-J439</f>
        <v>22</v>
      </c>
    </row>
    <row r="440" customFormat="false" ht="15" hidden="false" customHeight="false" outlineLevel="0" collapsed="false">
      <c r="A440" s="8" t="s">
        <v>551</v>
      </c>
      <c r="B440" s="8" t="s">
        <v>552</v>
      </c>
      <c r="C440" s="8" t="s">
        <v>215</v>
      </c>
      <c r="D440" s="8" t="n">
        <v>6</v>
      </c>
      <c r="E440" s="8" t="n">
        <v>476061</v>
      </c>
      <c r="F440" s="11" t="str">
        <f aca="false">INDEX(Caixas!$C:$C,MATCH(C440,Caixas!$A:$A,0))</f>
        <v>Aberta</v>
      </c>
      <c r="G440" s="9" t="n">
        <v>6</v>
      </c>
      <c r="H440" s="9" t="n">
        <v>0</v>
      </c>
      <c r="I440" s="8" t="n">
        <f aca="false">IF(F440="Inteira CBP",D440,IF(OR(F440="Aberta",F440="Avulso"),G440,0))</f>
        <v>6</v>
      </c>
      <c r="J440" s="8" t="n">
        <f aca="false">IF(F440="Inteira CBTBE",D440,IF(OR(F440="Aberta",F440="Avulso"),H440,0))</f>
        <v>0</v>
      </c>
      <c r="K440" s="8" t="n">
        <f aca="false">D440-I440-J440</f>
        <v>0</v>
      </c>
    </row>
    <row r="441" customFormat="false" ht="15" hidden="false" customHeight="false" outlineLevel="0" collapsed="false">
      <c r="A441" s="8" t="s">
        <v>531</v>
      </c>
      <c r="B441" s="8" t="s">
        <v>532</v>
      </c>
      <c r="C441" s="8" t="s">
        <v>215</v>
      </c>
      <c r="D441" s="8" t="n">
        <v>18</v>
      </c>
      <c r="E441" s="8" t="n">
        <v>476065</v>
      </c>
      <c r="F441" s="11" t="str">
        <f aca="false">INDEX(Caixas!$C:$C,MATCH(C441,Caixas!$A:$A,0))</f>
        <v>Aberta</v>
      </c>
      <c r="G441" s="9" t="n">
        <v>0</v>
      </c>
      <c r="H441" s="9" t="n">
        <v>0</v>
      </c>
      <c r="I441" s="8" t="n">
        <f aca="false">IF(F441="Inteira CBP",D441,IF(OR(F441="Aberta",F441="Avulso"),G441,0))</f>
        <v>0</v>
      </c>
      <c r="J441" s="8" t="n">
        <f aca="false">IF(F441="Inteira CBTBE",D441,IF(OR(F441="Aberta",F441="Avulso"),H441,0))</f>
        <v>0</v>
      </c>
      <c r="K441" s="8" t="n">
        <f aca="false">D441-I441-J441</f>
        <v>18</v>
      </c>
    </row>
    <row r="442" customFormat="false" ht="15" hidden="false" customHeight="false" outlineLevel="0" collapsed="false">
      <c r="A442" s="8" t="s">
        <v>559</v>
      </c>
      <c r="B442" s="8" t="s">
        <v>560</v>
      </c>
      <c r="C442" s="8" t="s">
        <v>216</v>
      </c>
      <c r="D442" s="8" t="n">
        <v>64</v>
      </c>
      <c r="E442" s="8" t="n">
        <v>476043</v>
      </c>
      <c r="F442" s="11" t="str">
        <f aca="false">INDEX(Caixas!$C:$C,MATCH(C442,Caixas!$A:$A,0))</f>
        <v>Inteira CBTBE</v>
      </c>
      <c r="G442" s="9" t="n">
        <v>0</v>
      </c>
      <c r="H442" s="9" t="n">
        <v>0</v>
      </c>
      <c r="I442" s="8" t="n">
        <f aca="false">IF(F442="Inteira CBP",D442,IF(OR(F442="Aberta",F442="Avulso"),G442,0))</f>
        <v>0</v>
      </c>
      <c r="J442" s="8" t="n">
        <f aca="false">IF(F442="Inteira CBTBE",D442,IF(OR(F442="Aberta",F442="Avulso"),H442,0))</f>
        <v>64</v>
      </c>
      <c r="K442" s="8" t="n">
        <f aca="false">D442-I442-J442</f>
        <v>0</v>
      </c>
    </row>
    <row r="443" customFormat="false" ht="15" hidden="false" customHeight="false" outlineLevel="0" collapsed="false">
      <c r="A443" s="8" t="s">
        <v>551</v>
      </c>
      <c r="B443" s="8" t="s">
        <v>552</v>
      </c>
      <c r="C443" s="8" t="s">
        <v>216</v>
      </c>
      <c r="D443" s="8" t="n">
        <v>6</v>
      </c>
      <c r="E443" s="8" t="n">
        <v>476061</v>
      </c>
      <c r="F443" s="11" t="str">
        <f aca="false">INDEX(Caixas!$C:$C,MATCH(C443,Caixas!$A:$A,0))</f>
        <v>Inteira CBTBE</v>
      </c>
      <c r="G443" s="9" t="n">
        <v>0</v>
      </c>
      <c r="H443" s="9" t="n">
        <v>0</v>
      </c>
      <c r="I443" s="8" t="n">
        <f aca="false">IF(F443="Inteira CBP",D443,IF(OR(F443="Aberta",F443="Avulso"),G443,0))</f>
        <v>0</v>
      </c>
      <c r="J443" s="8" t="n">
        <f aca="false">IF(F443="Inteira CBTBE",D443,IF(OR(F443="Aberta",F443="Avulso"),H443,0))</f>
        <v>6</v>
      </c>
      <c r="K443" s="8" t="n">
        <f aca="false">D443-I443-J443</f>
        <v>0</v>
      </c>
    </row>
    <row r="444" customFormat="false" ht="15" hidden="false" customHeight="false" outlineLevel="0" collapsed="false">
      <c r="A444" s="8" t="s">
        <v>531</v>
      </c>
      <c r="B444" s="8" t="s">
        <v>532</v>
      </c>
      <c r="C444" s="8" t="s">
        <v>216</v>
      </c>
      <c r="D444" s="8" t="n">
        <v>18</v>
      </c>
      <c r="E444" s="8" t="n">
        <v>476065</v>
      </c>
      <c r="F444" s="11" t="str">
        <f aca="false">INDEX(Caixas!$C:$C,MATCH(C444,Caixas!$A:$A,0))</f>
        <v>Inteira CBTBE</v>
      </c>
      <c r="G444" s="9" t="n">
        <v>0</v>
      </c>
      <c r="H444" s="9" t="n">
        <v>0</v>
      </c>
      <c r="I444" s="8" t="n">
        <f aca="false">IF(F444="Inteira CBP",D444,IF(OR(F444="Aberta",F444="Avulso"),G444,0))</f>
        <v>0</v>
      </c>
      <c r="J444" s="8" t="n">
        <f aca="false">IF(F444="Inteira CBTBE",D444,IF(OR(F444="Aberta",F444="Avulso"),H444,0))</f>
        <v>18</v>
      </c>
      <c r="K444" s="8" t="n">
        <f aca="false">D444-I444-J444</f>
        <v>0</v>
      </c>
    </row>
    <row r="445" customFormat="false" ht="15" hidden="false" customHeight="false" outlineLevel="0" collapsed="false">
      <c r="A445" s="8" t="s">
        <v>559</v>
      </c>
      <c r="B445" s="8" t="s">
        <v>560</v>
      </c>
      <c r="C445" s="8" t="s">
        <v>217</v>
      </c>
      <c r="D445" s="8" t="n">
        <v>64</v>
      </c>
      <c r="E445" s="8" t="n">
        <v>476043</v>
      </c>
      <c r="F445" s="11" t="str">
        <f aca="false">INDEX(Caixas!$C:$C,MATCH(C445,Caixas!$A:$A,0))</f>
        <v>Aberta</v>
      </c>
      <c r="G445" s="9" t="n">
        <v>0</v>
      </c>
      <c r="H445" s="9" t="n">
        <v>64</v>
      </c>
      <c r="I445" s="8" t="n">
        <f aca="false">IF(F445="Inteira CBP",D445,IF(OR(F445="Aberta",F445="Avulso"),G445,0))</f>
        <v>0</v>
      </c>
      <c r="J445" s="8" t="n">
        <f aca="false">IF(F445="Inteira CBTBE",D445,IF(OR(F445="Aberta",F445="Avulso"),H445,0))</f>
        <v>64</v>
      </c>
      <c r="K445" s="8" t="n">
        <f aca="false">D445-I445-J445</f>
        <v>0</v>
      </c>
    </row>
    <row r="446" customFormat="false" ht="15" hidden="false" customHeight="false" outlineLevel="0" collapsed="false">
      <c r="A446" s="8" t="s">
        <v>551</v>
      </c>
      <c r="B446" s="8" t="s">
        <v>552</v>
      </c>
      <c r="C446" s="8" t="s">
        <v>217</v>
      </c>
      <c r="D446" s="8" t="n">
        <v>6</v>
      </c>
      <c r="E446" s="8" t="n">
        <v>476061</v>
      </c>
      <c r="F446" s="11" t="str">
        <f aca="false">INDEX(Caixas!$C:$C,MATCH(C446,Caixas!$A:$A,0))</f>
        <v>Aberta</v>
      </c>
      <c r="G446" s="9" t="n">
        <v>4</v>
      </c>
      <c r="H446" s="9" t="n">
        <v>2</v>
      </c>
      <c r="I446" s="8" t="n">
        <f aca="false">IF(F446="Inteira CBP",D446,IF(OR(F446="Aberta",F446="Avulso"),G446,0))</f>
        <v>4</v>
      </c>
      <c r="J446" s="8" t="n">
        <f aca="false">IF(F446="Inteira CBTBE",D446,IF(OR(F446="Aberta",F446="Avulso"),H446,0))</f>
        <v>2</v>
      </c>
      <c r="K446" s="8" t="n">
        <f aca="false">D446-I446-J446</f>
        <v>0</v>
      </c>
    </row>
    <row r="447" customFormat="false" ht="15" hidden="false" customHeight="false" outlineLevel="0" collapsed="false">
      <c r="A447" s="8" t="s">
        <v>531</v>
      </c>
      <c r="B447" s="8" t="s">
        <v>532</v>
      </c>
      <c r="C447" s="8" t="s">
        <v>217</v>
      </c>
      <c r="D447" s="8" t="n">
        <v>18</v>
      </c>
      <c r="E447" s="8" t="n">
        <v>476065</v>
      </c>
      <c r="F447" s="11" t="str">
        <f aca="false">INDEX(Caixas!$C:$C,MATCH(C447,Caixas!$A:$A,0))</f>
        <v>Aberta</v>
      </c>
      <c r="G447" s="9" t="n">
        <v>0</v>
      </c>
      <c r="H447" s="9" t="n">
        <v>18</v>
      </c>
      <c r="I447" s="8" t="n">
        <f aca="false">IF(F447="Inteira CBP",D447,IF(OR(F447="Aberta",F447="Avulso"),G447,0))</f>
        <v>0</v>
      </c>
      <c r="J447" s="8" t="n">
        <f aca="false">IF(F447="Inteira CBTBE",D447,IF(OR(F447="Aberta",F447="Avulso"),H447,0))</f>
        <v>18</v>
      </c>
      <c r="K447" s="8" t="n">
        <f aca="false">D447-I447-J447</f>
        <v>0</v>
      </c>
    </row>
    <row r="448" customFormat="false" ht="15" hidden="false" customHeight="false" outlineLevel="0" collapsed="false">
      <c r="A448" s="8" t="s">
        <v>521</v>
      </c>
      <c r="B448" s="8" t="s">
        <v>522</v>
      </c>
      <c r="C448" s="8" t="s">
        <v>218</v>
      </c>
      <c r="D448" s="8" t="n">
        <v>4</v>
      </c>
      <c r="E448" s="8" t="n">
        <v>476065</v>
      </c>
      <c r="F448" s="11" t="str">
        <f aca="false">INDEX(Caixas!$C:$C,MATCH(C448,Caixas!$A:$A,0))</f>
        <v>Inteira CBP</v>
      </c>
      <c r="G448" s="9" t="n">
        <v>0</v>
      </c>
      <c r="H448" s="9" t="n">
        <v>0</v>
      </c>
      <c r="I448" s="8" t="n">
        <f aca="false">IF(F448="Inteira CBP",D448,IF(OR(F448="Aberta",F448="Avulso"),G448,0))</f>
        <v>4</v>
      </c>
      <c r="J448" s="8" t="n">
        <f aca="false">IF(F448="Inteira CBTBE",D448,IF(OR(F448="Aberta",F448="Avulso"),H448,0))</f>
        <v>0</v>
      </c>
      <c r="K448" s="8" t="n">
        <f aca="false">D448-I448-J448</f>
        <v>0</v>
      </c>
    </row>
    <row r="449" customFormat="false" ht="15" hidden="false" customHeight="false" outlineLevel="0" collapsed="false">
      <c r="A449" s="8" t="s">
        <v>541</v>
      </c>
      <c r="B449" s="8" t="s">
        <v>542</v>
      </c>
      <c r="C449" s="8" t="s">
        <v>218</v>
      </c>
      <c r="D449" s="8" t="n">
        <v>2</v>
      </c>
      <c r="E449" s="8" t="n">
        <v>476065</v>
      </c>
      <c r="F449" s="11" t="str">
        <f aca="false">INDEX(Caixas!$C:$C,MATCH(C449,Caixas!$A:$A,0))</f>
        <v>Inteira CBP</v>
      </c>
      <c r="G449" s="9" t="n">
        <v>0</v>
      </c>
      <c r="H449" s="9" t="n">
        <v>0</v>
      </c>
      <c r="I449" s="8" t="n">
        <f aca="false">IF(F449="Inteira CBP",D449,IF(OR(F449="Aberta",F449="Avulso"),G449,0))</f>
        <v>2</v>
      </c>
      <c r="J449" s="8" t="n">
        <f aca="false">IF(F449="Inteira CBTBE",D449,IF(OR(F449="Aberta",F449="Avulso"),H449,0))</f>
        <v>0</v>
      </c>
      <c r="K449" s="8" t="n">
        <f aca="false">D449-I449-J449</f>
        <v>0</v>
      </c>
    </row>
    <row r="450" customFormat="false" ht="15" hidden="false" customHeight="false" outlineLevel="0" collapsed="false">
      <c r="A450" s="8" t="s">
        <v>563</v>
      </c>
      <c r="B450" s="8" t="s">
        <v>564</v>
      </c>
      <c r="C450" s="8" t="s">
        <v>218</v>
      </c>
      <c r="D450" s="8" t="n">
        <v>46</v>
      </c>
      <c r="E450" s="8" t="n">
        <v>476043</v>
      </c>
      <c r="F450" s="11" t="str">
        <f aca="false">INDEX(Caixas!$C:$C,MATCH(C450,Caixas!$A:$A,0))</f>
        <v>Inteira CBP</v>
      </c>
      <c r="G450" s="9" t="n">
        <v>0</v>
      </c>
      <c r="H450" s="9" t="n">
        <v>0</v>
      </c>
      <c r="I450" s="8" t="n">
        <f aca="false">IF(F450="Inteira CBP",D450,IF(OR(F450="Aberta",F450="Avulso"),G450,0))</f>
        <v>46</v>
      </c>
      <c r="J450" s="8" t="n">
        <f aca="false">IF(F450="Inteira CBTBE",D450,IF(OR(F450="Aberta",F450="Avulso"),H450,0))</f>
        <v>0</v>
      </c>
      <c r="K450" s="8" t="n">
        <f aca="false">D450-I450-J450</f>
        <v>0</v>
      </c>
    </row>
    <row r="451" customFormat="false" ht="15" hidden="false" customHeight="false" outlineLevel="0" collapsed="false">
      <c r="A451" s="8" t="s">
        <v>565</v>
      </c>
      <c r="B451" s="8" t="s">
        <v>566</v>
      </c>
      <c r="C451" s="8" t="s">
        <v>218</v>
      </c>
      <c r="D451" s="8" t="n">
        <v>30</v>
      </c>
      <c r="E451" s="8" t="n">
        <v>476061</v>
      </c>
      <c r="F451" s="11" t="str">
        <f aca="false">INDEX(Caixas!$C:$C,MATCH(C451,Caixas!$A:$A,0))</f>
        <v>Inteira CBP</v>
      </c>
      <c r="G451" s="9" t="n">
        <v>0</v>
      </c>
      <c r="H451" s="9" t="n">
        <v>0</v>
      </c>
      <c r="I451" s="8" t="n">
        <f aca="false">IF(F451="Inteira CBP",D451,IF(OR(F451="Aberta",F451="Avulso"),G451,0))</f>
        <v>30</v>
      </c>
      <c r="J451" s="8" t="n">
        <f aca="false">IF(F451="Inteira CBTBE",D451,IF(OR(F451="Aberta",F451="Avulso"),H451,0))</f>
        <v>0</v>
      </c>
      <c r="K451" s="8" t="n">
        <f aca="false">D451-I451-J451</f>
        <v>0</v>
      </c>
    </row>
    <row r="452" customFormat="false" ht="15" hidden="false" customHeight="false" outlineLevel="0" collapsed="false">
      <c r="A452" s="8" t="s">
        <v>445</v>
      </c>
      <c r="B452" s="8" t="s">
        <v>446</v>
      </c>
      <c r="C452" s="8" t="s">
        <v>218</v>
      </c>
      <c r="D452" s="8" t="n">
        <v>2</v>
      </c>
      <c r="E452" s="8" t="n">
        <v>476065</v>
      </c>
      <c r="F452" s="11" t="str">
        <f aca="false">INDEX(Caixas!$C:$C,MATCH(C452,Caixas!$A:$A,0))</f>
        <v>Inteira CBP</v>
      </c>
      <c r="G452" s="9" t="n">
        <v>0</v>
      </c>
      <c r="H452" s="9" t="n">
        <v>0</v>
      </c>
      <c r="I452" s="8" t="n">
        <f aca="false">IF(F452="Inteira CBP",D452,IF(OR(F452="Aberta",F452="Avulso"),G452,0))</f>
        <v>2</v>
      </c>
      <c r="J452" s="8" t="n">
        <f aca="false">IF(F452="Inteira CBTBE",D452,IF(OR(F452="Aberta",F452="Avulso"),H452,0))</f>
        <v>0</v>
      </c>
      <c r="K452" s="8" t="n">
        <f aca="false">D452-I452-J452</f>
        <v>0</v>
      </c>
    </row>
    <row r="453" customFormat="false" ht="15" hidden="false" customHeight="false" outlineLevel="0" collapsed="false">
      <c r="A453" s="8" t="s">
        <v>531</v>
      </c>
      <c r="B453" s="8" t="s">
        <v>532</v>
      </c>
      <c r="C453" s="8" t="s">
        <v>218</v>
      </c>
      <c r="D453" s="8" t="n">
        <v>12</v>
      </c>
      <c r="E453" s="8" t="n">
        <v>476065</v>
      </c>
      <c r="F453" s="11" t="str">
        <f aca="false">INDEX(Caixas!$C:$C,MATCH(C453,Caixas!$A:$A,0))</f>
        <v>Inteira CBP</v>
      </c>
      <c r="G453" s="9" t="n">
        <v>0</v>
      </c>
      <c r="H453" s="9" t="n">
        <v>0</v>
      </c>
      <c r="I453" s="8" t="n">
        <f aca="false">IF(F453="Inteira CBP",D453,IF(OR(F453="Aberta",F453="Avulso"),G453,0))</f>
        <v>12</v>
      </c>
      <c r="J453" s="8" t="n">
        <f aca="false">IF(F453="Inteira CBTBE",D453,IF(OR(F453="Aberta",F453="Avulso"),H453,0))</f>
        <v>0</v>
      </c>
      <c r="K453" s="8" t="n">
        <f aca="false">D453-I453-J453</f>
        <v>0</v>
      </c>
    </row>
    <row r="454" customFormat="false" ht="15" hidden="false" customHeight="false" outlineLevel="0" collapsed="false">
      <c r="A454" s="8" t="s">
        <v>521</v>
      </c>
      <c r="B454" s="8" t="s">
        <v>522</v>
      </c>
      <c r="C454" s="8" t="s">
        <v>220</v>
      </c>
      <c r="D454" s="8" t="n">
        <v>6</v>
      </c>
      <c r="E454" s="8" t="n">
        <v>476065</v>
      </c>
      <c r="F454" s="11" t="str">
        <f aca="false">INDEX(Caixas!$C:$C,MATCH(C454,Caixas!$A:$A,0))</f>
        <v>Aberta</v>
      </c>
      <c r="G454" s="9" t="n">
        <v>0</v>
      </c>
      <c r="H454" s="9" t="n">
        <v>6</v>
      </c>
      <c r="I454" s="8" t="n">
        <f aca="false">IF(F454="Inteira CBP",D454,IF(OR(F454="Aberta",F454="Avulso"),G454,0))</f>
        <v>0</v>
      </c>
      <c r="J454" s="8" t="n">
        <f aca="false">IF(F454="Inteira CBTBE",D454,IF(OR(F454="Aberta",F454="Avulso"),H454,0))</f>
        <v>6</v>
      </c>
      <c r="K454" s="8" t="n">
        <f aca="false">D454-I454-J454</f>
        <v>0</v>
      </c>
    </row>
    <row r="455" customFormat="false" ht="15" hidden="false" customHeight="false" outlineLevel="0" collapsed="false">
      <c r="A455" s="8" t="s">
        <v>545</v>
      </c>
      <c r="B455" s="8" t="s">
        <v>546</v>
      </c>
      <c r="C455" s="8" t="s">
        <v>220</v>
      </c>
      <c r="D455" s="8" t="n">
        <v>7</v>
      </c>
      <c r="E455" s="8" t="n">
        <v>476065</v>
      </c>
      <c r="F455" s="11" t="str">
        <f aca="false">INDEX(Caixas!$C:$C,MATCH(C455,Caixas!$A:$A,0))</f>
        <v>Aberta</v>
      </c>
      <c r="G455" s="9" t="n">
        <v>0</v>
      </c>
      <c r="H455" s="9" t="n">
        <v>7</v>
      </c>
      <c r="I455" s="8" t="n">
        <f aca="false">IF(F455="Inteira CBP",D455,IF(OR(F455="Aberta",F455="Avulso"),G455,0))</f>
        <v>0</v>
      </c>
      <c r="J455" s="8" t="n">
        <f aca="false">IF(F455="Inteira CBTBE",D455,IF(OR(F455="Aberta",F455="Avulso"),H455,0))</f>
        <v>7</v>
      </c>
      <c r="K455" s="8" t="n">
        <f aca="false">D455-I455-J455</f>
        <v>0</v>
      </c>
    </row>
    <row r="456" customFormat="false" ht="15" hidden="false" customHeight="false" outlineLevel="0" collapsed="false">
      <c r="A456" s="8" t="s">
        <v>567</v>
      </c>
      <c r="B456" s="8" t="s">
        <v>568</v>
      </c>
      <c r="C456" s="8" t="s">
        <v>220</v>
      </c>
      <c r="D456" s="8" t="n">
        <v>56</v>
      </c>
      <c r="E456" s="8" t="n">
        <v>476065</v>
      </c>
      <c r="F456" s="11" t="str">
        <f aca="false">INDEX(Caixas!$C:$C,MATCH(C456,Caixas!$A:$A,0))</f>
        <v>Aberta</v>
      </c>
      <c r="G456" s="9" t="n">
        <v>56</v>
      </c>
      <c r="H456" s="9" t="n">
        <v>0</v>
      </c>
      <c r="I456" s="8" t="n">
        <f aca="false">IF(F456="Inteira CBP",D456,IF(OR(F456="Aberta",F456="Avulso"),G456,0))</f>
        <v>56</v>
      </c>
      <c r="J456" s="8" t="n">
        <f aca="false">IF(F456="Inteira CBTBE",D456,IF(OR(F456="Aberta",F456="Avulso"),H456,0))</f>
        <v>0</v>
      </c>
      <c r="K456" s="8" t="n">
        <f aca="false">D456-I456-J456</f>
        <v>0</v>
      </c>
    </row>
    <row r="457" customFormat="false" ht="15" hidden="false" customHeight="false" outlineLevel="0" collapsed="false">
      <c r="A457" s="8" t="s">
        <v>563</v>
      </c>
      <c r="B457" s="8" t="s">
        <v>564</v>
      </c>
      <c r="C457" s="8" t="s">
        <v>220</v>
      </c>
      <c r="D457" s="8" t="n">
        <v>46</v>
      </c>
      <c r="E457" s="8" t="n">
        <v>476043</v>
      </c>
      <c r="F457" s="11" t="str">
        <f aca="false">INDEX(Caixas!$C:$C,MATCH(C457,Caixas!$A:$A,0))</f>
        <v>Aberta</v>
      </c>
      <c r="G457" s="9" t="n">
        <v>0</v>
      </c>
      <c r="H457" s="9" t="n">
        <v>41</v>
      </c>
      <c r="I457" s="8" t="n">
        <f aca="false">IF(F457="Inteira CBP",D457,IF(OR(F457="Aberta",F457="Avulso"),G457,0))</f>
        <v>0</v>
      </c>
      <c r="J457" s="8" t="n">
        <f aca="false">IF(F457="Inteira CBTBE",D457,IF(OR(F457="Aberta",F457="Avulso"),H457,0))</f>
        <v>41</v>
      </c>
      <c r="K457" s="8" t="n">
        <f aca="false">D457-I457-J457</f>
        <v>5</v>
      </c>
    </row>
    <row r="458" customFormat="false" ht="15" hidden="false" customHeight="false" outlineLevel="0" collapsed="false">
      <c r="A458" s="8" t="s">
        <v>565</v>
      </c>
      <c r="B458" s="8" t="s">
        <v>566</v>
      </c>
      <c r="C458" s="8" t="s">
        <v>220</v>
      </c>
      <c r="D458" s="8" t="n">
        <v>30</v>
      </c>
      <c r="E458" s="8" t="n">
        <v>476061</v>
      </c>
      <c r="F458" s="11" t="str">
        <f aca="false">INDEX(Caixas!$C:$C,MATCH(C458,Caixas!$A:$A,0))</f>
        <v>Aberta</v>
      </c>
      <c r="G458" s="9" t="n">
        <v>0</v>
      </c>
      <c r="H458" s="9" t="n">
        <v>30</v>
      </c>
      <c r="I458" s="8" t="n">
        <f aca="false">IF(F458="Inteira CBP",D458,IF(OR(F458="Aberta",F458="Avulso"),G458,0))</f>
        <v>0</v>
      </c>
      <c r="J458" s="8" t="n">
        <f aca="false">IF(F458="Inteira CBTBE",D458,IF(OR(F458="Aberta",F458="Avulso"),H458,0))</f>
        <v>30</v>
      </c>
      <c r="K458" s="8" t="n">
        <f aca="false">D458-I458-J458</f>
        <v>0</v>
      </c>
    </row>
    <row r="459" customFormat="false" ht="15" hidden="false" customHeight="false" outlineLevel="0" collapsed="false">
      <c r="A459" s="8" t="s">
        <v>545</v>
      </c>
      <c r="B459" s="8" t="s">
        <v>546</v>
      </c>
      <c r="C459" s="8" t="s">
        <v>221</v>
      </c>
      <c r="D459" s="8" t="n">
        <v>2</v>
      </c>
      <c r="E459" s="8" t="n">
        <v>476065</v>
      </c>
      <c r="F459" s="11" t="str">
        <f aca="false">INDEX(Caixas!$C:$C,MATCH(C459,Caixas!$A:$A,0))</f>
        <v>Aberta</v>
      </c>
      <c r="G459" s="9" t="n">
        <v>0</v>
      </c>
      <c r="H459" s="9" t="n">
        <v>2</v>
      </c>
      <c r="I459" s="8" t="n">
        <f aca="false">IF(F459="Inteira CBP",D459,IF(OR(F459="Aberta",F459="Avulso"),G459,0))</f>
        <v>0</v>
      </c>
      <c r="J459" s="8" t="n">
        <f aca="false">IF(F459="Inteira CBTBE",D459,IF(OR(F459="Aberta",F459="Avulso"),H459,0))</f>
        <v>2</v>
      </c>
      <c r="K459" s="8" t="n">
        <f aca="false">D459-I459-J459</f>
        <v>0</v>
      </c>
    </row>
    <row r="460" customFormat="false" ht="15" hidden="false" customHeight="false" outlineLevel="0" collapsed="false">
      <c r="A460" s="8" t="s">
        <v>563</v>
      </c>
      <c r="B460" s="8" t="s">
        <v>564</v>
      </c>
      <c r="C460" s="8" t="s">
        <v>221</v>
      </c>
      <c r="D460" s="8" t="n">
        <v>46</v>
      </c>
      <c r="E460" s="8" t="n">
        <v>476043</v>
      </c>
      <c r="F460" s="11" t="str">
        <f aca="false">INDEX(Caixas!$C:$C,MATCH(C460,Caixas!$A:$A,0))</f>
        <v>Aberta</v>
      </c>
      <c r="G460" s="9" t="n">
        <v>0</v>
      </c>
      <c r="H460" s="9" t="n">
        <v>0</v>
      </c>
      <c r="I460" s="8" t="n">
        <f aca="false">IF(F460="Inteira CBP",D460,IF(OR(F460="Aberta",F460="Avulso"),G460,0))</f>
        <v>0</v>
      </c>
      <c r="J460" s="8" t="n">
        <f aca="false">IF(F460="Inteira CBTBE",D460,IF(OR(F460="Aberta",F460="Avulso"),H460,0))</f>
        <v>0</v>
      </c>
      <c r="K460" s="8" t="n">
        <f aca="false">D460-I460-J460</f>
        <v>46</v>
      </c>
    </row>
    <row r="461" customFormat="false" ht="15" hidden="false" customHeight="false" outlineLevel="0" collapsed="false">
      <c r="A461" s="8" t="s">
        <v>535</v>
      </c>
      <c r="B461" s="8" t="s">
        <v>536</v>
      </c>
      <c r="C461" s="8" t="s">
        <v>221</v>
      </c>
      <c r="D461" s="8" t="n">
        <v>31</v>
      </c>
      <c r="E461" s="8" t="n">
        <v>476065</v>
      </c>
      <c r="F461" s="11" t="str">
        <f aca="false">INDEX(Caixas!$C:$C,MATCH(C461,Caixas!$A:$A,0))</f>
        <v>Aberta</v>
      </c>
      <c r="G461" s="9" t="n">
        <v>9</v>
      </c>
      <c r="H461" s="9" t="n">
        <v>22</v>
      </c>
      <c r="I461" s="8" t="n">
        <f aca="false">IF(F461="Inteira CBP",D461,IF(OR(F461="Aberta",F461="Avulso"),G461,0))</f>
        <v>9</v>
      </c>
      <c r="J461" s="8" t="n">
        <f aca="false">IF(F461="Inteira CBTBE",D461,IF(OR(F461="Aberta",F461="Avulso"),H461,0))</f>
        <v>22</v>
      </c>
      <c r="K461" s="8" t="n">
        <f aca="false">D461-I461-J461</f>
        <v>0</v>
      </c>
    </row>
    <row r="462" customFormat="false" ht="15" hidden="false" customHeight="false" outlineLevel="0" collapsed="false">
      <c r="A462" s="8" t="s">
        <v>565</v>
      </c>
      <c r="B462" s="8" t="s">
        <v>566</v>
      </c>
      <c r="C462" s="8" t="s">
        <v>221</v>
      </c>
      <c r="D462" s="8" t="n">
        <v>30</v>
      </c>
      <c r="E462" s="8" t="n">
        <v>476061</v>
      </c>
      <c r="F462" s="11" t="str">
        <f aca="false">INDEX(Caixas!$C:$C,MATCH(C462,Caixas!$A:$A,0))</f>
        <v>Aberta</v>
      </c>
      <c r="G462" s="9" t="n">
        <v>0</v>
      </c>
      <c r="H462" s="9" t="n">
        <v>29</v>
      </c>
      <c r="I462" s="8" t="n">
        <f aca="false">IF(F462="Inteira CBP",D462,IF(OR(F462="Aberta",F462="Avulso"),G462,0))</f>
        <v>0</v>
      </c>
      <c r="J462" s="8" t="n">
        <f aca="false">IF(F462="Inteira CBTBE",D462,IF(OR(F462="Aberta",F462="Avulso"),H462,0))</f>
        <v>29</v>
      </c>
      <c r="K462" s="8" t="n">
        <f aca="false">D462-I462-J462</f>
        <v>1</v>
      </c>
    </row>
    <row r="463" customFormat="false" ht="15" hidden="false" customHeight="false" outlineLevel="0" collapsed="false">
      <c r="A463" s="8" t="s">
        <v>505</v>
      </c>
      <c r="B463" s="8" t="s">
        <v>506</v>
      </c>
      <c r="C463" s="8" t="s">
        <v>221</v>
      </c>
      <c r="D463" s="8" t="n">
        <v>10</v>
      </c>
      <c r="E463" s="8" t="n">
        <v>476065</v>
      </c>
      <c r="F463" s="11" t="str">
        <f aca="false">INDEX(Caixas!$C:$C,MATCH(C463,Caixas!$A:$A,0))</f>
        <v>Aberta</v>
      </c>
      <c r="G463" s="9" t="n">
        <v>0</v>
      </c>
      <c r="H463" s="9" t="n">
        <v>0</v>
      </c>
      <c r="I463" s="8" t="n">
        <f aca="false">IF(F463="Inteira CBP",D463,IF(OR(F463="Aberta",F463="Avulso"),G463,0))</f>
        <v>0</v>
      </c>
      <c r="J463" s="8" t="n">
        <f aca="false">IF(F463="Inteira CBTBE",D463,IF(OR(F463="Aberta",F463="Avulso"),H463,0))</f>
        <v>0</v>
      </c>
      <c r="K463" s="8" t="n">
        <f aca="false">D463-I463-J463</f>
        <v>10</v>
      </c>
    </row>
    <row r="464" customFormat="false" ht="15" hidden="false" customHeight="false" outlineLevel="0" collapsed="false">
      <c r="A464" s="8" t="s">
        <v>563</v>
      </c>
      <c r="B464" s="8" t="s">
        <v>564</v>
      </c>
      <c r="C464" s="8" t="s">
        <v>222</v>
      </c>
      <c r="D464" s="8" t="n">
        <v>46</v>
      </c>
      <c r="E464" s="8" t="n">
        <v>476043</v>
      </c>
      <c r="F464" s="11" t="str">
        <f aca="false">INDEX(Caixas!$C:$C,MATCH(C464,Caixas!$A:$A,0))</f>
        <v>Devolução fechada</v>
      </c>
      <c r="G464" s="9" t="n">
        <v>0</v>
      </c>
      <c r="H464" s="9" t="n">
        <v>0</v>
      </c>
      <c r="I464" s="8" t="n">
        <f aca="false">IF(F464="Inteira CBP",D464,IF(OR(F464="Aberta",F464="Avulso"),G464,0))</f>
        <v>0</v>
      </c>
      <c r="J464" s="8" t="n">
        <f aca="false">IF(F464="Inteira CBTBE",D464,IF(OR(F464="Aberta",F464="Avulso"),H464,0))</f>
        <v>0</v>
      </c>
      <c r="K464" s="8" t="n">
        <f aca="false">D464-I464-J464</f>
        <v>46</v>
      </c>
    </row>
    <row r="465" customFormat="false" ht="15" hidden="false" customHeight="false" outlineLevel="0" collapsed="false">
      <c r="A465" s="8" t="s">
        <v>569</v>
      </c>
      <c r="B465" s="8" t="s">
        <v>570</v>
      </c>
      <c r="C465" s="8" t="s">
        <v>222</v>
      </c>
      <c r="D465" s="8" t="n">
        <v>30</v>
      </c>
      <c r="E465" s="8" t="n">
        <v>476061</v>
      </c>
      <c r="F465" s="11" t="str">
        <f aca="false">INDEX(Caixas!$C:$C,MATCH(C465,Caixas!$A:$A,0))</f>
        <v>Devolução fechada</v>
      </c>
      <c r="G465" s="9" t="n">
        <v>0</v>
      </c>
      <c r="H465" s="9" t="n">
        <v>0</v>
      </c>
      <c r="I465" s="8" t="n">
        <f aca="false">IF(F465="Inteira CBP",D465,IF(OR(F465="Aberta",F465="Avulso"),G465,0))</f>
        <v>0</v>
      </c>
      <c r="J465" s="8" t="n">
        <f aca="false">IF(F465="Inteira CBTBE",D465,IF(OR(F465="Aberta",F465="Avulso"),H465,0))</f>
        <v>0</v>
      </c>
      <c r="K465" s="8" t="n">
        <f aca="false">D465-I465-J465</f>
        <v>30</v>
      </c>
    </row>
    <row r="466" customFormat="false" ht="15" hidden="false" customHeight="false" outlineLevel="0" collapsed="false">
      <c r="A466" s="8" t="s">
        <v>571</v>
      </c>
      <c r="B466" s="8" t="s">
        <v>572</v>
      </c>
      <c r="C466" s="8" t="s">
        <v>222</v>
      </c>
      <c r="D466" s="8" t="n">
        <v>24</v>
      </c>
      <c r="E466" s="8" t="n">
        <v>476065</v>
      </c>
      <c r="F466" s="11" t="str">
        <f aca="false">INDEX(Caixas!$C:$C,MATCH(C466,Caixas!$A:$A,0))</f>
        <v>Devolução fechada</v>
      </c>
      <c r="G466" s="9" t="n">
        <v>0</v>
      </c>
      <c r="H466" s="9" t="n">
        <v>0</v>
      </c>
      <c r="I466" s="8" t="n">
        <f aca="false">IF(F466="Inteira CBP",D466,IF(OR(F466="Aberta",F466="Avulso"),G466,0))</f>
        <v>0</v>
      </c>
      <c r="J466" s="8" t="n">
        <f aca="false">IF(F466="Inteira CBTBE",D466,IF(OR(F466="Aberta",F466="Avulso"),H466,0))</f>
        <v>0</v>
      </c>
      <c r="K466" s="8" t="n">
        <f aca="false">D466-I466-J466</f>
        <v>24</v>
      </c>
    </row>
    <row r="467" customFormat="false" ht="15" hidden="false" customHeight="false" outlineLevel="0" collapsed="false">
      <c r="A467" s="8" t="s">
        <v>573</v>
      </c>
      <c r="B467" s="8" t="s">
        <v>574</v>
      </c>
      <c r="C467" s="8" t="s">
        <v>223</v>
      </c>
      <c r="D467" s="8" t="n">
        <v>34</v>
      </c>
      <c r="E467" s="8" t="n">
        <v>476043</v>
      </c>
      <c r="F467" s="11" t="str">
        <f aca="false">INDEX(Caixas!$C:$C,MATCH(C467,Caixas!$A:$A,0))</f>
        <v>Inteira CBP</v>
      </c>
      <c r="G467" s="9" t="n">
        <v>0</v>
      </c>
      <c r="H467" s="9" t="n">
        <v>0</v>
      </c>
      <c r="I467" s="8" t="n">
        <f aca="false">IF(F467="Inteira CBP",D467,IF(OR(F467="Aberta",F467="Avulso"),G467,0))</f>
        <v>34</v>
      </c>
      <c r="J467" s="8" t="n">
        <f aca="false">IF(F467="Inteira CBTBE",D467,IF(OR(F467="Aberta",F467="Avulso"),H467,0))</f>
        <v>0</v>
      </c>
      <c r="K467" s="8" t="n">
        <f aca="false">D467-I467-J467</f>
        <v>0</v>
      </c>
    </row>
    <row r="468" customFormat="false" ht="15" hidden="false" customHeight="false" outlineLevel="0" collapsed="false">
      <c r="A468" s="8" t="s">
        <v>575</v>
      </c>
      <c r="B468" s="8" t="s">
        <v>576</v>
      </c>
      <c r="C468" s="8" t="s">
        <v>223</v>
      </c>
      <c r="D468" s="8" t="n">
        <v>20</v>
      </c>
      <c r="E468" s="8" t="n">
        <v>476065</v>
      </c>
      <c r="F468" s="11" t="str">
        <f aca="false">INDEX(Caixas!$C:$C,MATCH(C468,Caixas!$A:$A,0))</f>
        <v>Inteira CBP</v>
      </c>
      <c r="G468" s="9" t="n">
        <v>0</v>
      </c>
      <c r="H468" s="9" t="n">
        <v>0</v>
      </c>
      <c r="I468" s="8" t="n">
        <f aca="false">IF(F468="Inteira CBP",D468,IF(OR(F468="Aberta",F468="Avulso"),G468,0))</f>
        <v>20</v>
      </c>
      <c r="J468" s="8" t="n">
        <f aca="false">IF(F468="Inteira CBTBE",D468,IF(OR(F468="Aberta",F468="Avulso"),H468,0))</f>
        <v>0</v>
      </c>
      <c r="K468" s="8" t="n">
        <f aca="false">D468-I468-J468</f>
        <v>0</v>
      </c>
    </row>
    <row r="469" customFormat="false" ht="15" hidden="false" customHeight="false" outlineLevel="0" collapsed="false">
      <c r="A469" s="8" t="s">
        <v>569</v>
      </c>
      <c r="B469" s="8" t="s">
        <v>570</v>
      </c>
      <c r="C469" s="8" t="s">
        <v>223</v>
      </c>
      <c r="D469" s="8" t="n">
        <v>30</v>
      </c>
      <c r="E469" s="8" t="n">
        <v>476061</v>
      </c>
      <c r="F469" s="11" t="str">
        <f aca="false">INDEX(Caixas!$C:$C,MATCH(C469,Caixas!$A:$A,0))</f>
        <v>Inteira CBP</v>
      </c>
      <c r="G469" s="9" t="n">
        <v>0</v>
      </c>
      <c r="H469" s="9" t="n">
        <v>0</v>
      </c>
      <c r="I469" s="8" t="n">
        <f aca="false">IF(F469="Inteira CBP",D469,IF(OR(F469="Aberta",F469="Avulso"),G469,0))</f>
        <v>30</v>
      </c>
      <c r="J469" s="8" t="n">
        <f aca="false">IF(F469="Inteira CBTBE",D469,IF(OR(F469="Aberta",F469="Avulso"),H469,0))</f>
        <v>0</v>
      </c>
      <c r="K469" s="8" t="n">
        <f aca="false">D469-I469-J469</f>
        <v>0</v>
      </c>
    </row>
    <row r="470" customFormat="false" ht="15" hidden="false" customHeight="false" outlineLevel="0" collapsed="false">
      <c r="A470" s="8" t="s">
        <v>573</v>
      </c>
      <c r="B470" s="8" t="s">
        <v>574</v>
      </c>
      <c r="C470" s="8" t="s">
        <v>225</v>
      </c>
      <c r="D470" s="8" t="n">
        <v>34</v>
      </c>
      <c r="E470" s="8" t="n">
        <v>476043</v>
      </c>
      <c r="F470" s="11" t="str">
        <f aca="false">INDEX(Caixas!$C:$C,MATCH(C470,Caixas!$A:$A,0))</f>
        <v>Aberta</v>
      </c>
      <c r="G470" s="9" t="n">
        <v>21</v>
      </c>
      <c r="H470" s="9" t="n">
        <v>13</v>
      </c>
      <c r="I470" s="8" t="n">
        <f aca="false">IF(F470="Inteira CBP",D470,IF(OR(F470="Aberta",F470="Avulso"),G470,0))</f>
        <v>21</v>
      </c>
      <c r="J470" s="8" t="n">
        <f aca="false">IF(F470="Inteira CBTBE",D470,IF(OR(F470="Aberta",F470="Avulso"),H470,0))</f>
        <v>13</v>
      </c>
      <c r="K470" s="8" t="n">
        <f aca="false">D470-I470-J470</f>
        <v>0</v>
      </c>
    </row>
    <row r="471" customFormat="false" ht="15" hidden="false" customHeight="false" outlineLevel="0" collapsed="false">
      <c r="A471" s="8" t="s">
        <v>575</v>
      </c>
      <c r="B471" s="8" t="s">
        <v>576</v>
      </c>
      <c r="C471" s="8" t="s">
        <v>225</v>
      </c>
      <c r="D471" s="8" t="n">
        <v>20</v>
      </c>
      <c r="E471" s="8" t="n">
        <v>476065</v>
      </c>
      <c r="F471" s="11" t="str">
        <f aca="false">INDEX(Caixas!$C:$C,MATCH(C471,Caixas!$A:$A,0))</f>
        <v>Aberta</v>
      </c>
      <c r="G471" s="9" t="n">
        <v>0</v>
      </c>
      <c r="H471" s="9" t="n">
        <v>12</v>
      </c>
      <c r="I471" s="8" t="n">
        <f aca="false">IF(F471="Inteira CBP",D471,IF(OR(F471="Aberta",F471="Avulso"),G471,0))</f>
        <v>0</v>
      </c>
      <c r="J471" s="8" t="n">
        <f aca="false">IF(F471="Inteira CBTBE",D471,IF(OR(F471="Aberta",F471="Avulso"),H471,0))</f>
        <v>12</v>
      </c>
      <c r="K471" s="8" t="n">
        <f aca="false">D471-I471-J471</f>
        <v>8</v>
      </c>
    </row>
    <row r="472" customFormat="false" ht="15" hidden="false" customHeight="false" outlineLevel="0" collapsed="false">
      <c r="A472" s="8" t="s">
        <v>569</v>
      </c>
      <c r="B472" s="8" t="s">
        <v>570</v>
      </c>
      <c r="C472" s="8" t="s">
        <v>225</v>
      </c>
      <c r="D472" s="8" t="n">
        <v>30</v>
      </c>
      <c r="E472" s="8" t="n">
        <v>476061</v>
      </c>
      <c r="F472" s="11" t="str">
        <f aca="false">INDEX(Caixas!$C:$C,MATCH(C472,Caixas!$A:$A,0))</f>
        <v>Aberta</v>
      </c>
      <c r="G472" s="9" t="n">
        <v>0</v>
      </c>
      <c r="H472" s="9" t="n">
        <v>6</v>
      </c>
      <c r="I472" s="8" t="n">
        <f aca="false">IF(F472="Inteira CBP",D472,IF(OR(F472="Aberta",F472="Avulso"),G472,0))</f>
        <v>0</v>
      </c>
      <c r="J472" s="8" t="n">
        <f aca="false">IF(F472="Inteira CBTBE",D472,IF(OR(F472="Aberta",F472="Avulso"),H472,0))</f>
        <v>6</v>
      </c>
      <c r="K472" s="8" t="n">
        <f aca="false">D472-I472-J472</f>
        <v>24</v>
      </c>
    </row>
    <row r="473" customFormat="false" ht="15" hidden="false" customHeight="false" outlineLevel="0" collapsed="false">
      <c r="A473" s="8" t="s">
        <v>573</v>
      </c>
      <c r="B473" s="8" t="s">
        <v>574</v>
      </c>
      <c r="C473" s="8" t="s">
        <v>226</v>
      </c>
      <c r="D473" s="8" t="n">
        <v>34</v>
      </c>
      <c r="E473" s="8" t="n">
        <v>476043</v>
      </c>
      <c r="F473" s="11" t="str">
        <f aca="false">INDEX(Caixas!$C:$C,MATCH(C473,Caixas!$A:$A,0))</f>
        <v>Aberta</v>
      </c>
      <c r="G473" s="9" t="n">
        <v>0</v>
      </c>
      <c r="H473" s="9" t="n">
        <v>34</v>
      </c>
      <c r="I473" s="8" t="n">
        <f aca="false">IF(F473="Inteira CBP",D473,IF(OR(F473="Aberta",F473="Avulso"),G473,0))</f>
        <v>0</v>
      </c>
      <c r="J473" s="8" t="n">
        <f aca="false">IF(F473="Inteira CBTBE",D473,IF(OR(F473="Aberta",F473="Avulso"),H473,0))</f>
        <v>34</v>
      </c>
      <c r="K473" s="8" t="n">
        <f aca="false">D473-I473-J473</f>
        <v>0</v>
      </c>
    </row>
    <row r="474" customFormat="false" ht="15" hidden="false" customHeight="false" outlineLevel="0" collapsed="false">
      <c r="A474" s="8" t="s">
        <v>575</v>
      </c>
      <c r="B474" s="8" t="s">
        <v>576</v>
      </c>
      <c r="C474" s="8" t="s">
        <v>226</v>
      </c>
      <c r="D474" s="8" t="n">
        <v>20</v>
      </c>
      <c r="E474" s="8" t="n">
        <v>476065</v>
      </c>
      <c r="F474" s="11" t="str">
        <f aca="false">INDEX(Caixas!$C:$C,MATCH(C474,Caixas!$A:$A,0))</f>
        <v>Aberta</v>
      </c>
      <c r="G474" s="9" t="n">
        <v>0</v>
      </c>
      <c r="H474" s="9" t="n">
        <v>20</v>
      </c>
      <c r="I474" s="8" t="n">
        <f aca="false">IF(F474="Inteira CBP",D474,IF(OR(F474="Aberta",F474="Avulso"),G474,0))</f>
        <v>0</v>
      </c>
      <c r="J474" s="8" t="n">
        <f aca="false">IF(F474="Inteira CBTBE",D474,IF(OR(F474="Aberta",F474="Avulso"),H474,0))</f>
        <v>20</v>
      </c>
      <c r="K474" s="8" t="n">
        <f aca="false">D474-I474-J474</f>
        <v>0</v>
      </c>
    </row>
    <row r="475" customFormat="false" ht="15" hidden="false" customHeight="false" outlineLevel="0" collapsed="false">
      <c r="A475" s="8" t="s">
        <v>569</v>
      </c>
      <c r="B475" s="8" t="s">
        <v>570</v>
      </c>
      <c r="C475" s="8" t="s">
        <v>226</v>
      </c>
      <c r="D475" s="8" t="n">
        <v>30</v>
      </c>
      <c r="E475" s="8" t="n">
        <v>476061</v>
      </c>
      <c r="F475" s="11" t="str">
        <f aca="false">INDEX(Caixas!$C:$C,MATCH(C475,Caixas!$A:$A,0))</f>
        <v>Aberta</v>
      </c>
      <c r="G475" s="9" t="n">
        <v>0</v>
      </c>
      <c r="H475" s="9" t="n">
        <v>0</v>
      </c>
      <c r="I475" s="8" t="n">
        <f aca="false">IF(F475="Inteira CBP",D475,IF(OR(F475="Aberta",F475="Avulso"),G475,0))</f>
        <v>0</v>
      </c>
      <c r="J475" s="8" t="n">
        <f aca="false">IF(F475="Inteira CBTBE",D475,IF(OR(F475="Aberta",F475="Avulso"),H475,0))</f>
        <v>0</v>
      </c>
      <c r="K475" s="8" t="n">
        <f aca="false">D475-I475-J475</f>
        <v>30</v>
      </c>
    </row>
    <row r="476" customFormat="false" ht="15" hidden="false" customHeight="false" outlineLevel="0" collapsed="false">
      <c r="A476" s="8" t="s">
        <v>577</v>
      </c>
      <c r="B476" s="8" t="s">
        <v>578</v>
      </c>
      <c r="C476" s="8" t="s">
        <v>227</v>
      </c>
      <c r="D476" s="8" t="n">
        <v>42</v>
      </c>
      <c r="E476" s="8" t="n">
        <v>476065</v>
      </c>
      <c r="F476" s="11" t="str">
        <f aca="false">INDEX(Caixas!$C:$C,MATCH(C476,Caixas!$A:$A,0))</f>
        <v>Inteira CBP</v>
      </c>
      <c r="G476" s="9" t="n">
        <v>0</v>
      </c>
      <c r="H476" s="9" t="n">
        <v>0</v>
      </c>
      <c r="I476" s="8" t="n">
        <f aca="false">IF(F476="Inteira CBP",D476,IF(OR(F476="Aberta",F476="Avulso"),G476,0))</f>
        <v>42</v>
      </c>
      <c r="J476" s="8" t="n">
        <f aca="false">IF(F476="Inteira CBTBE",D476,IF(OR(F476="Aberta",F476="Avulso"),H476,0))</f>
        <v>0</v>
      </c>
      <c r="K476" s="8" t="n">
        <f aca="false">D476-I476-J476</f>
        <v>0</v>
      </c>
    </row>
    <row r="477" customFormat="false" ht="15" hidden="false" customHeight="false" outlineLevel="0" collapsed="false">
      <c r="A477" s="8" t="s">
        <v>563</v>
      </c>
      <c r="B477" s="8" t="s">
        <v>564</v>
      </c>
      <c r="C477" s="8" t="s">
        <v>227</v>
      </c>
      <c r="D477" s="8" t="n">
        <v>46</v>
      </c>
      <c r="E477" s="8" t="n">
        <v>476043</v>
      </c>
      <c r="F477" s="11" t="str">
        <f aca="false">INDEX(Caixas!$C:$C,MATCH(C477,Caixas!$A:$A,0))</f>
        <v>Inteira CBP</v>
      </c>
      <c r="G477" s="9" t="n">
        <v>0</v>
      </c>
      <c r="H477" s="9" t="n">
        <v>0</v>
      </c>
      <c r="I477" s="8" t="n">
        <f aca="false">IF(F477="Inteira CBP",D477,IF(OR(F477="Aberta",F477="Avulso"),G477,0))</f>
        <v>46</v>
      </c>
      <c r="J477" s="8" t="n">
        <f aca="false">IF(F477="Inteira CBTBE",D477,IF(OR(F477="Aberta",F477="Avulso"),H477,0))</f>
        <v>0</v>
      </c>
      <c r="K477" s="8" t="n">
        <f aca="false">D477-I477-J477</f>
        <v>0</v>
      </c>
    </row>
    <row r="478" customFormat="false" ht="15" hidden="false" customHeight="false" outlineLevel="0" collapsed="false">
      <c r="A478" s="8" t="s">
        <v>579</v>
      </c>
      <c r="B478" s="8" t="s">
        <v>580</v>
      </c>
      <c r="C478" s="8" t="s">
        <v>227</v>
      </c>
      <c r="D478" s="8" t="n">
        <v>32</v>
      </c>
      <c r="E478" s="8" t="n">
        <v>476061</v>
      </c>
      <c r="F478" s="11" t="str">
        <f aca="false">INDEX(Caixas!$C:$C,MATCH(C478,Caixas!$A:$A,0))</f>
        <v>Inteira CBP</v>
      </c>
      <c r="G478" s="9" t="n">
        <v>0</v>
      </c>
      <c r="H478" s="9" t="n">
        <v>0</v>
      </c>
      <c r="I478" s="8" t="n">
        <f aca="false">IF(F478="Inteira CBP",D478,IF(OR(F478="Aberta",F478="Avulso"),G478,0))</f>
        <v>32</v>
      </c>
      <c r="J478" s="8" t="n">
        <f aca="false">IF(F478="Inteira CBTBE",D478,IF(OR(F478="Aberta",F478="Avulso"),H478,0))</f>
        <v>0</v>
      </c>
      <c r="K478" s="8" t="n">
        <f aca="false">D478-I478-J478</f>
        <v>0</v>
      </c>
    </row>
    <row r="479" customFormat="false" ht="15" hidden="false" customHeight="false" outlineLevel="0" collapsed="false">
      <c r="A479" s="8" t="s">
        <v>575</v>
      </c>
      <c r="B479" s="8" t="s">
        <v>576</v>
      </c>
      <c r="C479" s="8" t="s">
        <v>228</v>
      </c>
      <c r="D479" s="8" t="n">
        <v>20</v>
      </c>
      <c r="E479" s="8" t="n">
        <v>476065</v>
      </c>
      <c r="F479" s="11" t="str">
        <f aca="false">INDEX(Caixas!$C:$C,MATCH(C479,Caixas!$A:$A,0))</f>
        <v>Devolução fechada</v>
      </c>
      <c r="G479" s="9" t="n">
        <v>0</v>
      </c>
      <c r="H479" s="9" t="n">
        <v>0</v>
      </c>
      <c r="I479" s="8" t="n">
        <f aca="false">IF(F479="Inteira CBP",D479,IF(OR(F479="Aberta",F479="Avulso"),G479,0))</f>
        <v>0</v>
      </c>
      <c r="J479" s="8" t="n">
        <f aca="false">IF(F479="Inteira CBTBE",D479,IF(OR(F479="Aberta",F479="Avulso"),H479,0))</f>
        <v>0</v>
      </c>
      <c r="K479" s="8" t="n">
        <f aca="false">D479-I479-J479</f>
        <v>20</v>
      </c>
    </row>
    <row r="480" customFormat="false" ht="15" hidden="false" customHeight="false" outlineLevel="0" collapsed="false">
      <c r="A480" s="8" t="s">
        <v>581</v>
      </c>
      <c r="B480" s="8" t="s">
        <v>582</v>
      </c>
      <c r="C480" s="8" t="s">
        <v>228</v>
      </c>
      <c r="D480" s="8" t="n">
        <v>20</v>
      </c>
      <c r="E480" s="8" t="n">
        <v>476061</v>
      </c>
      <c r="F480" s="11" t="str">
        <f aca="false">INDEX(Caixas!$C:$C,MATCH(C480,Caixas!$A:$A,0))</f>
        <v>Devolução fechada</v>
      </c>
      <c r="G480" s="9" t="n">
        <v>0</v>
      </c>
      <c r="H480" s="9" t="n">
        <v>0</v>
      </c>
      <c r="I480" s="8" t="n">
        <f aca="false">IF(F480="Inteira CBP",D480,IF(OR(F480="Aberta",F480="Avulso"),G480,0))</f>
        <v>0</v>
      </c>
      <c r="J480" s="8" t="n">
        <f aca="false">IF(F480="Inteira CBTBE",D480,IF(OR(F480="Aberta",F480="Avulso"),H480,0))</f>
        <v>0</v>
      </c>
      <c r="K480" s="8" t="n">
        <f aca="false">D480-I480-J480</f>
        <v>20</v>
      </c>
    </row>
    <row r="481" customFormat="false" ht="15" hidden="false" customHeight="false" outlineLevel="0" collapsed="false">
      <c r="A481" s="8" t="s">
        <v>583</v>
      </c>
      <c r="B481" s="8" t="s">
        <v>584</v>
      </c>
      <c r="C481" s="8" t="s">
        <v>228</v>
      </c>
      <c r="D481" s="8" t="n">
        <v>24</v>
      </c>
      <c r="E481" s="8" t="n">
        <v>476043</v>
      </c>
      <c r="F481" s="11" t="str">
        <f aca="false">INDEX(Caixas!$C:$C,MATCH(C481,Caixas!$A:$A,0))</f>
        <v>Devolução fechada</v>
      </c>
      <c r="G481" s="9" t="n">
        <v>0</v>
      </c>
      <c r="H481" s="9" t="n">
        <v>0</v>
      </c>
      <c r="I481" s="8" t="n">
        <f aca="false">IF(F481="Inteira CBP",D481,IF(OR(F481="Aberta",F481="Avulso"),G481,0))</f>
        <v>0</v>
      </c>
      <c r="J481" s="8" t="n">
        <f aca="false">IF(F481="Inteira CBTBE",D481,IF(OR(F481="Aberta",F481="Avulso"),H481,0))</f>
        <v>0</v>
      </c>
      <c r="K481" s="8" t="n">
        <f aca="false">D481-I481-J481</f>
        <v>24</v>
      </c>
    </row>
    <row r="482" customFormat="false" ht="15" hidden="false" customHeight="false" outlineLevel="0" collapsed="false">
      <c r="A482" s="8" t="s">
        <v>575</v>
      </c>
      <c r="B482" s="8" t="s">
        <v>576</v>
      </c>
      <c r="C482" s="8" t="s">
        <v>229</v>
      </c>
      <c r="D482" s="8" t="n">
        <v>20</v>
      </c>
      <c r="E482" s="8" t="n">
        <v>476065</v>
      </c>
      <c r="F482" s="11" t="str">
        <f aca="false">INDEX(Caixas!$C:$C,MATCH(C482,Caixas!$A:$A,0))</f>
        <v>Devolução fechada</v>
      </c>
      <c r="G482" s="9" t="n">
        <v>0</v>
      </c>
      <c r="H482" s="9" t="n">
        <v>0</v>
      </c>
      <c r="I482" s="8" t="n">
        <f aca="false">IF(F482="Inteira CBP",D482,IF(OR(F482="Aberta",F482="Avulso"),G482,0))</f>
        <v>0</v>
      </c>
      <c r="J482" s="8" t="n">
        <f aca="false">IF(F482="Inteira CBTBE",D482,IF(OR(F482="Aberta",F482="Avulso"),H482,0))</f>
        <v>0</v>
      </c>
      <c r="K482" s="8" t="n">
        <f aca="false">D482-I482-J482</f>
        <v>20</v>
      </c>
    </row>
    <row r="483" customFormat="false" ht="15" hidden="false" customHeight="false" outlineLevel="0" collapsed="false">
      <c r="A483" s="8" t="s">
        <v>581</v>
      </c>
      <c r="B483" s="8" t="s">
        <v>582</v>
      </c>
      <c r="C483" s="8" t="s">
        <v>229</v>
      </c>
      <c r="D483" s="8" t="n">
        <v>20</v>
      </c>
      <c r="E483" s="8" t="n">
        <v>476061</v>
      </c>
      <c r="F483" s="11" t="str">
        <f aca="false">INDEX(Caixas!$C:$C,MATCH(C483,Caixas!$A:$A,0))</f>
        <v>Devolução fechada</v>
      </c>
      <c r="G483" s="9" t="n">
        <v>0</v>
      </c>
      <c r="H483" s="9" t="n">
        <v>0</v>
      </c>
      <c r="I483" s="8" t="n">
        <f aca="false">IF(F483="Inteira CBP",D483,IF(OR(F483="Aberta",F483="Avulso"),G483,0))</f>
        <v>0</v>
      </c>
      <c r="J483" s="8" t="n">
        <f aca="false">IF(F483="Inteira CBTBE",D483,IF(OR(F483="Aberta",F483="Avulso"),H483,0))</f>
        <v>0</v>
      </c>
      <c r="K483" s="8" t="n">
        <f aca="false">D483-I483-J483</f>
        <v>20</v>
      </c>
    </row>
    <row r="484" customFormat="false" ht="15" hidden="false" customHeight="false" outlineLevel="0" collapsed="false">
      <c r="A484" s="8" t="s">
        <v>583</v>
      </c>
      <c r="B484" s="8" t="s">
        <v>584</v>
      </c>
      <c r="C484" s="8" t="s">
        <v>229</v>
      </c>
      <c r="D484" s="8" t="n">
        <v>24</v>
      </c>
      <c r="E484" s="8" t="n">
        <v>476043</v>
      </c>
      <c r="F484" s="11" t="str">
        <f aca="false">INDEX(Caixas!$C:$C,MATCH(C484,Caixas!$A:$A,0))</f>
        <v>Devolução fechada</v>
      </c>
      <c r="G484" s="9" t="n">
        <v>0</v>
      </c>
      <c r="H484" s="9" t="n">
        <v>0</v>
      </c>
      <c r="I484" s="8" t="n">
        <f aca="false">IF(F484="Inteira CBP",D484,IF(OR(F484="Aberta",F484="Avulso"),G484,0))</f>
        <v>0</v>
      </c>
      <c r="J484" s="8" t="n">
        <f aca="false">IF(F484="Inteira CBTBE",D484,IF(OR(F484="Aberta",F484="Avulso"),H484,0))</f>
        <v>0</v>
      </c>
      <c r="K484" s="8" t="n">
        <f aca="false">D484-I484-J484</f>
        <v>24</v>
      </c>
    </row>
    <row r="485" customFormat="false" ht="15" hidden="false" customHeight="false" outlineLevel="0" collapsed="false">
      <c r="A485" s="8" t="s">
        <v>575</v>
      </c>
      <c r="B485" s="8" t="s">
        <v>576</v>
      </c>
      <c r="C485" s="8" t="s">
        <v>230</v>
      </c>
      <c r="D485" s="8" t="n">
        <v>20</v>
      </c>
      <c r="E485" s="8" t="n">
        <v>476065</v>
      </c>
      <c r="F485" s="11" t="str">
        <f aca="false">INDEX(Caixas!$C:$C,MATCH(C485,Caixas!$A:$A,0))</f>
        <v>Aberta</v>
      </c>
      <c r="G485" s="9" t="n">
        <v>0</v>
      </c>
      <c r="H485" s="9" t="n">
        <v>20</v>
      </c>
      <c r="I485" s="8" t="n">
        <f aca="false">IF(F485="Inteira CBP",D485,IF(OR(F485="Aberta",F485="Avulso"),G485,0))</f>
        <v>0</v>
      </c>
      <c r="J485" s="8" t="n">
        <f aca="false">IF(F485="Inteira CBTBE",D485,IF(OR(F485="Aberta",F485="Avulso"),H485,0))</f>
        <v>20</v>
      </c>
      <c r="K485" s="8" t="n">
        <f aca="false">D485-I485-J485</f>
        <v>0</v>
      </c>
    </row>
    <row r="486" customFormat="false" ht="15" hidden="false" customHeight="false" outlineLevel="0" collapsed="false">
      <c r="A486" s="8" t="s">
        <v>581</v>
      </c>
      <c r="B486" s="8" t="s">
        <v>582</v>
      </c>
      <c r="C486" s="8" t="s">
        <v>230</v>
      </c>
      <c r="D486" s="8" t="n">
        <v>20</v>
      </c>
      <c r="E486" s="8" t="n">
        <v>476061</v>
      </c>
      <c r="F486" s="11" t="str">
        <f aca="false">INDEX(Caixas!$C:$C,MATCH(C486,Caixas!$A:$A,0))</f>
        <v>Aberta</v>
      </c>
      <c r="G486" s="9" t="n">
        <v>10</v>
      </c>
      <c r="H486" s="9" t="n">
        <v>3</v>
      </c>
      <c r="I486" s="8" t="n">
        <f aca="false">IF(F486="Inteira CBP",D486,IF(OR(F486="Aberta",F486="Avulso"),G486,0))</f>
        <v>10</v>
      </c>
      <c r="J486" s="8" t="n">
        <f aca="false">IF(F486="Inteira CBTBE",D486,IF(OR(F486="Aberta",F486="Avulso"),H486,0))</f>
        <v>3</v>
      </c>
      <c r="K486" s="8" t="n">
        <f aca="false">D486-I486-J486</f>
        <v>7</v>
      </c>
    </row>
    <row r="487" customFormat="false" ht="15" hidden="false" customHeight="false" outlineLevel="0" collapsed="false">
      <c r="A487" s="8" t="s">
        <v>583</v>
      </c>
      <c r="B487" s="8" t="s">
        <v>584</v>
      </c>
      <c r="C487" s="8" t="s">
        <v>230</v>
      </c>
      <c r="D487" s="8" t="n">
        <v>24</v>
      </c>
      <c r="E487" s="8" t="n">
        <v>476043</v>
      </c>
      <c r="F487" s="11" t="str">
        <f aca="false">INDEX(Caixas!$C:$C,MATCH(C487,Caixas!$A:$A,0))</f>
        <v>Aberta</v>
      </c>
      <c r="G487" s="9" t="n">
        <v>0</v>
      </c>
      <c r="H487" s="9" t="n">
        <v>24</v>
      </c>
      <c r="I487" s="8" t="n">
        <f aca="false">IF(F487="Inteira CBP",D487,IF(OR(F487="Aberta",F487="Avulso"),G487,0))</f>
        <v>0</v>
      </c>
      <c r="J487" s="8" t="n">
        <f aca="false">IF(F487="Inteira CBTBE",D487,IF(OR(F487="Aberta",F487="Avulso"),H487,0))</f>
        <v>24</v>
      </c>
      <c r="K487" s="8" t="n">
        <f aca="false">D487-I487-J487</f>
        <v>0</v>
      </c>
    </row>
    <row r="488" customFormat="false" ht="15" hidden="false" customHeight="false" outlineLevel="0" collapsed="false">
      <c r="A488" s="8" t="s">
        <v>573</v>
      </c>
      <c r="B488" s="8" t="s">
        <v>574</v>
      </c>
      <c r="C488" s="8" t="s">
        <v>231</v>
      </c>
      <c r="D488" s="8" t="n">
        <v>34</v>
      </c>
      <c r="E488" s="8" t="n">
        <v>476043</v>
      </c>
      <c r="F488" s="11" t="str">
        <f aca="false">INDEX(Caixas!$C:$C,MATCH(C488,Caixas!$A:$A,0))</f>
        <v>Inteira CBTBE</v>
      </c>
      <c r="G488" s="9" t="n">
        <v>0</v>
      </c>
      <c r="H488" s="9" t="n">
        <v>0</v>
      </c>
      <c r="I488" s="8" t="n">
        <f aca="false">IF(F488="Inteira CBP",D488,IF(OR(F488="Aberta",F488="Avulso"),G488,0))</f>
        <v>0</v>
      </c>
      <c r="J488" s="8" t="n">
        <f aca="false">IF(F488="Inteira CBTBE",D488,IF(OR(F488="Aberta",F488="Avulso"),H488,0))</f>
        <v>34</v>
      </c>
      <c r="K488" s="8" t="n">
        <f aca="false">D488-I488-J488</f>
        <v>0</v>
      </c>
    </row>
    <row r="489" customFormat="false" ht="15" hidden="false" customHeight="false" outlineLevel="0" collapsed="false">
      <c r="A489" s="8" t="s">
        <v>581</v>
      </c>
      <c r="B489" s="8" t="s">
        <v>582</v>
      </c>
      <c r="C489" s="8" t="s">
        <v>231</v>
      </c>
      <c r="D489" s="8" t="n">
        <v>20</v>
      </c>
      <c r="E489" s="8" t="n">
        <v>476061</v>
      </c>
      <c r="F489" s="11" t="str">
        <f aca="false">INDEX(Caixas!$C:$C,MATCH(C489,Caixas!$A:$A,0))</f>
        <v>Inteira CBTBE</v>
      </c>
      <c r="G489" s="9" t="n">
        <v>0</v>
      </c>
      <c r="H489" s="9" t="n">
        <v>0</v>
      </c>
      <c r="I489" s="8" t="n">
        <f aca="false">IF(F489="Inteira CBP",D489,IF(OR(F489="Aberta",F489="Avulso"),G489,0))</f>
        <v>0</v>
      </c>
      <c r="J489" s="8" t="n">
        <f aca="false">IF(F489="Inteira CBTBE",D489,IF(OR(F489="Aberta",F489="Avulso"),H489,0))</f>
        <v>20</v>
      </c>
      <c r="K489" s="8" t="n">
        <f aca="false">D489-I489-J489</f>
        <v>0</v>
      </c>
    </row>
    <row r="490" customFormat="false" ht="15" hidden="false" customHeight="false" outlineLevel="0" collapsed="false">
      <c r="A490" s="8" t="s">
        <v>571</v>
      </c>
      <c r="B490" s="8" t="s">
        <v>572</v>
      </c>
      <c r="C490" s="8" t="s">
        <v>231</v>
      </c>
      <c r="D490" s="8" t="n">
        <v>24</v>
      </c>
      <c r="E490" s="8" t="n">
        <v>476065</v>
      </c>
      <c r="F490" s="11" t="str">
        <f aca="false">INDEX(Caixas!$C:$C,MATCH(C490,Caixas!$A:$A,0))</f>
        <v>Inteira CBTBE</v>
      </c>
      <c r="G490" s="9" t="n">
        <v>0</v>
      </c>
      <c r="H490" s="9" t="n">
        <v>0</v>
      </c>
      <c r="I490" s="8" t="n">
        <f aca="false">IF(F490="Inteira CBP",D490,IF(OR(F490="Aberta",F490="Avulso"),G490,0))</f>
        <v>0</v>
      </c>
      <c r="J490" s="8" t="n">
        <f aca="false">IF(F490="Inteira CBTBE",D490,IF(OR(F490="Aberta",F490="Avulso"),H490,0))</f>
        <v>24</v>
      </c>
      <c r="K490" s="8" t="n">
        <f aca="false">D490-I490-J490</f>
        <v>0</v>
      </c>
    </row>
    <row r="491" customFormat="false" ht="15" hidden="false" customHeight="false" outlineLevel="0" collapsed="false">
      <c r="A491" s="8" t="s">
        <v>581</v>
      </c>
      <c r="B491" s="8" t="s">
        <v>582</v>
      </c>
      <c r="C491" s="8" t="s">
        <v>232</v>
      </c>
      <c r="D491" s="8" t="n">
        <v>20</v>
      </c>
      <c r="E491" s="8" t="n">
        <v>476061</v>
      </c>
      <c r="F491" s="11" t="str">
        <f aca="false">INDEX(Caixas!$C:$C,MATCH(C491,Caixas!$A:$A,0))</f>
        <v>Devolução fechada</v>
      </c>
      <c r="G491" s="9" t="n">
        <v>0</v>
      </c>
      <c r="H491" s="9" t="n">
        <v>0</v>
      </c>
      <c r="I491" s="8" t="n">
        <f aca="false">IF(F491="Inteira CBP",D491,IF(OR(F491="Aberta",F491="Avulso"),G491,0))</f>
        <v>0</v>
      </c>
      <c r="J491" s="8" t="n">
        <f aca="false">IF(F491="Inteira CBTBE",D491,IF(OR(F491="Aberta",F491="Avulso"),H491,0))</f>
        <v>0</v>
      </c>
      <c r="K491" s="8" t="n">
        <f aca="false">D491-I491-J491</f>
        <v>20</v>
      </c>
    </row>
    <row r="492" customFormat="false" ht="15" hidden="false" customHeight="false" outlineLevel="0" collapsed="false">
      <c r="A492" s="8" t="s">
        <v>585</v>
      </c>
      <c r="B492" s="8" t="s">
        <v>586</v>
      </c>
      <c r="C492" s="8" t="s">
        <v>232</v>
      </c>
      <c r="D492" s="8" t="n">
        <v>30</v>
      </c>
      <c r="E492" s="8" t="n">
        <v>476043</v>
      </c>
      <c r="F492" s="11" t="str">
        <f aca="false">INDEX(Caixas!$C:$C,MATCH(C492,Caixas!$A:$A,0))</f>
        <v>Devolução fechada</v>
      </c>
      <c r="G492" s="9" t="n">
        <v>0</v>
      </c>
      <c r="H492" s="9" t="n">
        <v>0</v>
      </c>
      <c r="I492" s="8" t="n">
        <f aca="false">IF(F492="Inteira CBP",D492,IF(OR(F492="Aberta",F492="Avulso"),G492,0))</f>
        <v>0</v>
      </c>
      <c r="J492" s="8" t="n">
        <f aca="false">IF(F492="Inteira CBTBE",D492,IF(OR(F492="Aberta",F492="Avulso"),H492,0))</f>
        <v>0</v>
      </c>
      <c r="K492" s="8" t="n">
        <f aca="false">D492-I492-J492</f>
        <v>30</v>
      </c>
    </row>
    <row r="493" customFormat="false" ht="15" hidden="false" customHeight="false" outlineLevel="0" collapsed="false">
      <c r="A493" s="8" t="s">
        <v>575</v>
      </c>
      <c r="B493" s="8" t="s">
        <v>576</v>
      </c>
      <c r="C493" s="8" t="s">
        <v>233</v>
      </c>
      <c r="D493" s="8" t="n">
        <v>20</v>
      </c>
      <c r="E493" s="8" t="n">
        <v>476065</v>
      </c>
      <c r="F493" s="11" t="str">
        <f aca="false">INDEX(Caixas!$C:$C,MATCH(C493,Caixas!$A:$A,0))</f>
        <v>Devolução fechada</v>
      </c>
      <c r="G493" s="9" t="n">
        <v>0</v>
      </c>
      <c r="H493" s="9" t="n">
        <v>0</v>
      </c>
      <c r="I493" s="8" t="n">
        <f aca="false">IF(F493="Inteira CBP",D493,IF(OR(F493="Aberta",F493="Avulso"),G493,0))</f>
        <v>0</v>
      </c>
      <c r="J493" s="8" t="n">
        <f aca="false">IF(F493="Inteira CBTBE",D493,IF(OR(F493="Aberta",F493="Avulso"),H493,0))</f>
        <v>0</v>
      </c>
      <c r="K493" s="8" t="n">
        <f aca="false">D493-I493-J493</f>
        <v>20</v>
      </c>
    </row>
    <row r="494" customFormat="false" ht="15" hidden="false" customHeight="false" outlineLevel="0" collapsed="false">
      <c r="A494" s="8" t="s">
        <v>581</v>
      </c>
      <c r="B494" s="8" t="s">
        <v>582</v>
      </c>
      <c r="C494" s="8" t="s">
        <v>233</v>
      </c>
      <c r="D494" s="8" t="n">
        <v>20</v>
      </c>
      <c r="E494" s="8" t="n">
        <v>476061</v>
      </c>
      <c r="F494" s="11" t="str">
        <f aca="false">INDEX(Caixas!$C:$C,MATCH(C494,Caixas!$A:$A,0))</f>
        <v>Devolução fechada</v>
      </c>
      <c r="G494" s="9" t="n">
        <v>0</v>
      </c>
      <c r="H494" s="9" t="n">
        <v>0</v>
      </c>
      <c r="I494" s="8" t="n">
        <f aca="false">IF(F494="Inteira CBP",D494,IF(OR(F494="Aberta",F494="Avulso"),G494,0))</f>
        <v>0</v>
      </c>
      <c r="J494" s="8" t="n">
        <f aca="false">IF(F494="Inteira CBTBE",D494,IF(OR(F494="Aberta",F494="Avulso"),H494,0))</f>
        <v>0</v>
      </c>
      <c r="K494" s="8" t="n">
        <f aca="false">D494-I494-J494</f>
        <v>20</v>
      </c>
    </row>
    <row r="495" customFormat="false" ht="15" hidden="false" customHeight="false" outlineLevel="0" collapsed="false">
      <c r="A495" s="8" t="s">
        <v>585</v>
      </c>
      <c r="B495" s="8" t="s">
        <v>586</v>
      </c>
      <c r="C495" s="8" t="s">
        <v>233</v>
      </c>
      <c r="D495" s="8" t="n">
        <v>30</v>
      </c>
      <c r="E495" s="8" t="n">
        <v>476043</v>
      </c>
      <c r="F495" s="11" t="str">
        <f aca="false">INDEX(Caixas!$C:$C,MATCH(C495,Caixas!$A:$A,0))</f>
        <v>Devolução fechada</v>
      </c>
      <c r="G495" s="9" t="n">
        <v>0</v>
      </c>
      <c r="H495" s="9" t="n">
        <v>0</v>
      </c>
      <c r="I495" s="8" t="n">
        <f aca="false">IF(F495="Inteira CBP",D495,IF(OR(F495="Aberta",F495="Avulso"),G495,0))</f>
        <v>0</v>
      </c>
      <c r="J495" s="8" t="n">
        <f aca="false">IF(F495="Inteira CBTBE",D495,IF(OR(F495="Aberta",F495="Avulso"),H495,0))</f>
        <v>0</v>
      </c>
      <c r="K495" s="8" t="n">
        <f aca="false">D495-I495-J495</f>
        <v>30</v>
      </c>
    </row>
    <row r="496" customFormat="false" ht="15" hidden="false" customHeight="false" outlineLevel="0" collapsed="false">
      <c r="A496" s="8" t="s">
        <v>581</v>
      </c>
      <c r="B496" s="8" t="s">
        <v>582</v>
      </c>
      <c r="C496" s="8" t="s">
        <v>234</v>
      </c>
      <c r="D496" s="8" t="n">
        <v>20</v>
      </c>
      <c r="E496" s="8" t="n">
        <v>476061</v>
      </c>
      <c r="F496" s="11" t="str">
        <f aca="false">INDEX(Caixas!$C:$C,MATCH(C496,Caixas!$A:$A,0))</f>
        <v>Devolução fechada</v>
      </c>
      <c r="G496" s="9" t="n">
        <v>0</v>
      </c>
      <c r="H496" s="9" t="n">
        <v>0</v>
      </c>
      <c r="I496" s="8" t="n">
        <f aca="false">IF(F496="Inteira CBP",D496,IF(OR(F496="Aberta",F496="Avulso"),G496,0))</f>
        <v>0</v>
      </c>
      <c r="J496" s="8" t="n">
        <f aca="false">IF(F496="Inteira CBTBE",D496,IF(OR(F496="Aberta",F496="Avulso"),H496,0))</f>
        <v>0</v>
      </c>
      <c r="K496" s="8" t="n">
        <f aca="false">D496-I496-J496</f>
        <v>20</v>
      </c>
    </row>
    <row r="497" customFormat="false" ht="15" hidden="false" customHeight="false" outlineLevel="0" collapsed="false">
      <c r="A497" s="8" t="s">
        <v>583</v>
      </c>
      <c r="B497" s="8" t="s">
        <v>584</v>
      </c>
      <c r="C497" s="8" t="s">
        <v>234</v>
      </c>
      <c r="D497" s="8" t="n">
        <v>24</v>
      </c>
      <c r="E497" s="8" t="n">
        <v>476043</v>
      </c>
      <c r="F497" s="11" t="str">
        <f aca="false">INDEX(Caixas!$C:$C,MATCH(C497,Caixas!$A:$A,0))</f>
        <v>Devolução fechada</v>
      </c>
      <c r="G497" s="9" t="n">
        <v>0</v>
      </c>
      <c r="H497" s="9" t="n">
        <v>0</v>
      </c>
      <c r="I497" s="8" t="n">
        <f aca="false">IF(F497="Inteira CBP",D497,IF(OR(F497="Aberta",F497="Avulso"),G497,0))</f>
        <v>0</v>
      </c>
      <c r="J497" s="8" t="n">
        <f aca="false">IF(F497="Inteira CBTBE",D497,IF(OR(F497="Aberta",F497="Avulso"),H497,0))</f>
        <v>0</v>
      </c>
      <c r="K497" s="8" t="n">
        <f aca="false">D497-I497-J497</f>
        <v>24</v>
      </c>
    </row>
    <row r="498" customFormat="false" ht="15" hidden="false" customHeight="false" outlineLevel="0" collapsed="false">
      <c r="A498" s="8" t="s">
        <v>575</v>
      </c>
      <c r="B498" s="8" t="s">
        <v>576</v>
      </c>
      <c r="C498" s="8" t="s">
        <v>235</v>
      </c>
      <c r="D498" s="8" t="n">
        <v>20</v>
      </c>
      <c r="E498" s="8" t="n">
        <v>476065</v>
      </c>
      <c r="F498" s="11" t="str">
        <f aca="false">INDEX(Caixas!$C:$C,MATCH(C498,Caixas!$A:$A,0))</f>
        <v>Devolução fechada</v>
      </c>
      <c r="G498" s="9" t="n">
        <v>0</v>
      </c>
      <c r="H498" s="9" t="n">
        <v>0</v>
      </c>
      <c r="I498" s="8" t="n">
        <f aca="false">IF(F498="Inteira CBP",D498,IF(OR(F498="Aberta",F498="Avulso"),G498,0))</f>
        <v>0</v>
      </c>
      <c r="J498" s="8" t="n">
        <f aca="false">IF(F498="Inteira CBTBE",D498,IF(OR(F498="Aberta",F498="Avulso"),H498,0))</f>
        <v>0</v>
      </c>
      <c r="K498" s="8" t="n">
        <f aca="false">D498-I498-J498</f>
        <v>20</v>
      </c>
    </row>
    <row r="499" customFormat="false" ht="15" hidden="false" customHeight="false" outlineLevel="0" collapsed="false">
      <c r="A499" s="8" t="s">
        <v>565</v>
      </c>
      <c r="B499" s="8" t="s">
        <v>566</v>
      </c>
      <c r="C499" s="8" t="s">
        <v>235</v>
      </c>
      <c r="D499" s="8" t="n">
        <v>30</v>
      </c>
      <c r="E499" s="8" t="n">
        <v>476061</v>
      </c>
      <c r="F499" s="11" t="str">
        <f aca="false">INDEX(Caixas!$C:$C,MATCH(C499,Caixas!$A:$A,0))</f>
        <v>Devolução fechada</v>
      </c>
      <c r="G499" s="9" t="n">
        <v>0</v>
      </c>
      <c r="H499" s="9" t="n">
        <v>0</v>
      </c>
      <c r="I499" s="8" t="n">
        <f aca="false">IF(F499="Inteira CBP",D499,IF(OR(F499="Aberta",F499="Avulso"),G499,0))</f>
        <v>0</v>
      </c>
      <c r="J499" s="8" t="n">
        <f aca="false">IF(F499="Inteira CBTBE",D499,IF(OR(F499="Aberta",F499="Avulso"),H499,0))</f>
        <v>0</v>
      </c>
      <c r="K499" s="8" t="n">
        <f aca="false">D499-I499-J499</f>
        <v>30</v>
      </c>
    </row>
    <row r="500" customFormat="false" ht="15" hidden="false" customHeight="false" outlineLevel="0" collapsed="false">
      <c r="A500" s="8" t="s">
        <v>583</v>
      </c>
      <c r="B500" s="8" t="s">
        <v>584</v>
      </c>
      <c r="C500" s="8" t="s">
        <v>235</v>
      </c>
      <c r="D500" s="8" t="n">
        <v>24</v>
      </c>
      <c r="E500" s="8" t="n">
        <v>476043</v>
      </c>
      <c r="F500" s="11" t="str">
        <f aca="false">INDEX(Caixas!$C:$C,MATCH(C500,Caixas!$A:$A,0))</f>
        <v>Devolução fechada</v>
      </c>
      <c r="G500" s="9" t="n">
        <v>0</v>
      </c>
      <c r="H500" s="9" t="n">
        <v>0</v>
      </c>
      <c r="I500" s="8" t="n">
        <f aca="false">IF(F500="Inteira CBP",D500,IF(OR(F500="Aberta",F500="Avulso"),G500,0))</f>
        <v>0</v>
      </c>
      <c r="J500" s="8" t="n">
        <f aca="false">IF(F500="Inteira CBTBE",D500,IF(OR(F500="Aberta",F500="Avulso"),H500,0))</f>
        <v>0</v>
      </c>
      <c r="K500" s="8" t="n">
        <f aca="false">D500-I500-J500</f>
        <v>24</v>
      </c>
    </row>
    <row r="501" customFormat="false" ht="15" hidden="false" customHeight="false" outlineLevel="0" collapsed="false">
      <c r="A501" s="8" t="s">
        <v>565</v>
      </c>
      <c r="B501" s="8" t="s">
        <v>566</v>
      </c>
      <c r="C501" s="8" t="s">
        <v>236</v>
      </c>
      <c r="D501" s="8" t="n">
        <v>20</v>
      </c>
      <c r="E501" s="8" t="n">
        <v>476061</v>
      </c>
      <c r="F501" s="11" t="str">
        <f aca="false">INDEX(Caixas!$C:$C,MATCH(C501,Caixas!$A:$A,0))</f>
        <v>Inteira CBP</v>
      </c>
      <c r="G501" s="9" t="n">
        <v>0</v>
      </c>
      <c r="H501" s="9" t="n">
        <v>0</v>
      </c>
      <c r="I501" s="8" t="n">
        <f aca="false">IF(F501="Inteira CBP",D501,IF(OR(F501="Aberta",F501="Avulso"),G501,0))</f>
        <v>20</v>
      </c>
      <c r="J501" s="8" t="n">
        <f aca="false">IF(F501="Inteira CBTBE",D501,IF(OR(F501="Aberta",F501="Avulso"),H501,0))</f>
        <v>0</v>
      </c>
      <c r="K501" s="8" t="n">
        <f aca="false">D501-I501-J501</f>
        <v>0</v>
      </c>
    </row>
    <row r="502" customFormat="false" ht="15" hidden="false" customHeight="false" outlineLevel="0" collapsed="false">
      <c r="A502" s="8" t="s">
        <v>585</v>
      </c>
      <c r="B502" s="8" t="s">
        <v>586</v>
      </c>
      <c r="C502" s="8" t="s">
        <v>236</v>
      </c>
      <c r="D502" s="8" t="n">
        <v>30</v>
      </c>
      <c r="E502" s="8" t="n">
        <v>476043</v>
      </c>
      <c r="F502" s="11" t="str">
        <f aca="false">INDEX(Caixas!$C:$C,MATCH(C502,Caixas!$A:$A,0))</f>
        <v>Inteira CBP</v>
      </c>
      <c r="G502" s="9" t="n">
        <v>0</v>
      </c>
      <c r="H502" s="9" t="n">
        <v>0</v>
      </c>
      <c r="I502" s="8" t="n">
        <f aca="false">IF(F502="Inteira CBP",D502,IF(OR(F502="Aberta",F502="Avulso"),G502,0))</f>
        <v>30</v>
      </c>
      <c r="J502" s="8" t="n">
        <f aca="false">IF(F502="Inteira CBTBE",D502,IF(OR(F502="Aberta",F502="Avulso"),H502,0))</f>
        <v>0</v>
      </c>
      <c r="K502" s="8" t="n">
        <f aca="false">D502-I502-J502</f>
        <v>0</v>
      </c>
    </row>
    <row r="503" customFormat="false" ht="15" hidden="false" customHeight="false" outlineLevel="0" collapsed="false">
      <c r="A503" s="8" t="s">
        <v>587</v>
      </c>
      <c r="B503" s="8" t="s">
        <v>588</v>
      </c>
      <c r="C503" s="8" t="s">
        <v>236</v>
      </c>
      <c r="D503" s="8" t="n">
        <v>18</v>
      </c>
      <c r="E503" s="8" t="n">
        <v>476061</v>
      </c>
      <c r="F503" s="11" t="str">
        <f aca="false">INDEX(Caixas!$C:$C,MATCH(C503,Caixas!$A:$A,0))</f>
        <v>Inteira CBP</v>
      </c>
      <c r="G503" s="9" t="n">
        <v>0</v>
      </c>
      <c r="H503" s="9" t="n">
        <v>0</v>
      </c>
      <c r="I503" s="8" t="n">
        <f aca="false">IF(F503="Inteira CBP",D503,IF(OR(F503="Aberta",F503="Avulso"),G503,0))</f>
        <v>18</v>
      </c>
      <c r="J503" s="8" t="n">
        <f aca="false">IF(F503="Inteira CBTBE",D503,IF(OR(F503="Aberta",F503="Avulso"),H503,0))</f>
        <v>0</v>
      </c>
      <c r="K503" s="8" t="n">
        <f aca="false">D503-I503-J503</f>
        <v>0</v>
      </c>
    </row>
    <row r="504" customFormat="false" ht="15" hidden="false" customHeight="false" outlineLevel="0" collapsed="false">
      <c r="A504" s="8" t="s">
        <v>513</v>
      </c>
      <c r="B504" s="8" t="s">
        <v>514</v>
      </c>
      <c r="C504" s="8" t="s">
        <v>237</v>
      </c>
      <c r="D504" s="8" t="n">
        <v>4</v>
      </c>
      <c r="E504" s="8" t="n">
        <v>476061</v>
      </c>
      <c r="F504" s="11" t="str">
        <f aca="false">INDEX(Caixas!$C:$C,MATCH(C504,Caixas!$A:$A,0))</f>
        <v>Inteira CBP</v>
      </c>
      <c r="G504" s="9" t="n">
        <v>0</v>
      </c>
      <c r="H504" s="9" t="n">
        <v>0</v>
      </c>
      <c r="I504" s="8" t="n">
        <f aca="false">IF(F504="Inteira CBP",D504,IF(OR(F504="Aberta",F504="Avulso"),G504,0))</f>
        <v>4</v>
      </c>
      <c r="J504" s="8" t="n">
        <f aca="false">IF(F504="Inteira CBTBE",D504,IF(OR(F504="Aberta",F504="Avulso"),H504,0))</f>
        <v>0</v>
      </c>
      <c r="K504" s="8" t="n">
        <f aca="false">D504-I504-J504</f>
        <v>0</v>
      </c>
    </row>
    <row r="505" customFormat="false" ht="15" hidden="false" customHeight="false" outlineLevel="0" collapsed="false">
      <c r="A505" s="8" t="s">
        <v>577</v>
      </c>
      <c r="B505" s="8" t="s">
        <v>578</v>
      </c>
      <c r="C505" s="8" t="s">
        <v>237</v>
      </c>
      <c r="D505" s="8" t="n">
        <v>42</v>
      </c>
      <c r="E505" s="8" t="n">
        <v>476065</v>
      </c>
      <c r="F505" s="11" t="str">
        <f aca="false">INDEX(Caixas!$C:$C,MATCH(C505,Caixas!$A:$A,0))</f>
        <v>Inteira CBP</v>
      </c>
      <c r="G505" s="9" t="n">
        <v>0</v>
      </c>
      <c r="H505" s="9" t="n">
        <v>0</v>
      </c>
      <c r="I505" s="8" t="n">
        <f aca="false">IF(F505="Inteira CBP",D505,IF(OR(F505="Aberta",F505="Avulso"),G505,0))</f>
        <v>42</v>
      </c>
      <c r="J505" s="8" t="n">
        <f aca="false">IF(F505="Inteira CBTBE",D505,IF(OR(F505="Aberta",F505="Avulso"),H505,0))</f>
        <v>0</v>
      </c>
      <c r="K505" s="8" t="n">
        <f aca="false">D505-I505-J505</f>
        <v>0</v>
      </c>
    </row>
    <row r="506" customFormat="false" ht="15" hidden="false" customHeight="false" outlineLevel="0" collapsed="false">
      <c r="A506" s="8" t="s">
        <v>511</v>
      </c>
      <c r="B506" s="8" t="s">
        <v>512</v>
      </c>
      <c r="C506" s="8" t="s">
        <v>237</v>
      </c>
      <c r="D506" s="8" t="n">
        <v>22</v>
      </c>
      <c r="E506" s="8" t="n">
        <v>476061</v>
      </c>
      <c r="F506" s="11" t="str">
        <f aca="false">INDEX(Caixas!$C:$C,MATCH(C506,Caixas!$A:$A,0))</f>
        <v>Inteira CBP</v>
      </c>
      <c r="G506" s="9" t="n">
        <v>0</v>
      </c>
      <c r="H506" s="9" t="n">
        <v>0</v>
      </c>
      <c r="I506" s="8" t="n">
        <f aca="false">IF(F506="Inteira CBP",D506,IF(OR(F506="Aberta",F506="Avulso"),G506,0))</f>
        <v>22</v>
      </c>
      <c r="J506" s="8" t="n">
        <f aca="false">IF(F506="Inteira CBTBE",D506,IF(OR(F506="Aberta",F506="Avulso"),H506,0))</f>
        <v>0</v>
      </c>
      <c r="K506" s="8" t="n">
        <f aca="false">D506-I506-J506</f>
        <v>0</v>
      </c>
    </row>
    <row r="507" customFormat="false" ht="15" hidden="false" customHeight="false" outlineLevel="0" collapsed="false">
      <c r="A507" s="8" t="s">
        <v>585</v>
      </c>
      <c r="B507" s="8" t="s">
        <v>586</v>
      </c>
      <c r="C507" s="8" t="s">
        <v>237</v>
      </c>
      <c r="D507" s="8" t="n">
        <v>30</v>
      </c>
      <c r="E507" s="8" t="n">
        <v>476043</v>
      </c>
      <c r="F507" s="11" t="str">
        <f aca="false">INDEX(Caixas!$C:$C,MATCH(C507,Caixas!$A:$A,0))</f>
        <v>Inteira CBP</v>
      </c>
      <c r="G507" s="9" t="n">
        <v>0</v>
      </c>
      <c r="H507" s="9" t="n">
        <v>0</v>
      </c>
      <c r="I507" s="8" t="n">
        <f aca="false">IF(F507="Inteira CBP",D507,IF(OR(F507="Aberta",F507="Avulso"),G507,0))</f>
        <v>30</v>
      </c>
      <c r="J507" s="8" t="n">
        <f aca="false">IF(F507="Inteira CBTBE",D507,IF(OR(F507="Aberta",F507="Avulso"),H507,0))</f>
        <v>0</v>
      </c>
      <c r="K507" s="8" t="n">
        <f aca="false">D507-I507-J507</f>
        <v>0</v>
      </c>
    </row>
    <row r="508" customFormat="false" ht="15" hidden="false" customHeight="false" outlineLevel="0" collapsed="false">
      <c r="A508" s="8" t="s">
        <v>551</v>
      </c>
      <c r="B508" s="8" t="s">
        <v>552</v>
      </c>
      <c r="C508" s="8" t="s">
        <v>237</v>
      </c>
      <c r="D508" s="8" t="n">
        <v>3</v>
      </c>
      <c r="E508" s="8" t="n">
        <v>476061</v>
      </c>
      <c r="F508" s="11" t="str">
        <f aca="false">INDEX(Caixas!$C:$C,MATCH(C508,Caixas!$A:$A,0))</f>
        <v>Inteira CBP</v>
      </c>
      <c r="G508" s="9" t="n">
        <v>0</v>
      </c>
      <c r="H508" s="9" t="n">
        <v>0</v>
      </c>
      <c r="I508" s="8" t="n">
        <f aca="false">IF(F508="Inteira CBP",D508,IF(OR(F508="Aberta",F508="Avulso"),G508,0))</f>
        <v>3</v>
      </c>
      <c r="J508" s="8" t="n">
        <f aca="false">IF(F508="Inteira CBTBE",D508,IF(OR(F508="Aberta",F508="Avulso"),H508,0))</f>
        <v>0</v>
      </c>
      <c r="K508" s="8" t="n">
        <f aca="false">D508-I508-J508</f>
        <v>0</v>
      </c>
    </row>
    <row r="509" customFormat="false" ht="15" hidden="false" customHeight="false" outlineLevel="0" collapsed="false">
      <c r="A509" s="8" t="s">
        <v>547</v>
      </c>
      <c r="B509" s="8" t="s">
        <v>548</v>
      </c>
      <c r="C509" s="8" t="s">
        <v>237</v>
      </c>
      <c r="D509" s="8" t="n">
        <v>13</v>
      </c>
      <c r="E509" s="8" t="n">
        <v>476061</v>
      </c>
      <c r="F509" s="11" t="str">
        <f aca="false">INDEX(Caixas!$C:$C,MATCH(C509,Caixas!$A:$A,0))</f>
        <v>Inteira CBP</v>
      </c>
      <c r="G509" s="9" t="n">
        <v>0</v>
      </c>
      <c r="H509" s="9" t="n">
        <v>0</v>
      </c>
      <c r="I509" s="8" t="n">
        <f aca="false">IF(F509="Inteira CBP",D509,IF(OR(F509="Aberta",F509="Avulso"),G509,0))</f>
        <v>13</v>
      </c>
      <c r="J509" s="8" t="n">
        <f aca="false">IF(F509="Inteira CBTBE",D509,IF(OR(F509="Aberta",F509="Avulso"),H509,0))</f>
        <v>0</v>
      </c>
      <c r="K509" s="8" t="n">
        <f aca="false">D509-I509-J509</f>
        <v>0</v>
      </c>
    </row>
    <row r="510" customFormat="false" ht="15" hidden="false" customHeight="false" outlineLevel="0" collapsed="false">
      <c r="A510" s="8" t="s">
        <v>509</v>
      </c>
      <c r="B510" s="8" t="s">
        <v>510</v>
      </c>
      <c r="C510" s="8" t="s">
        <v>238</v>
      </c>
      <c r="D510" s="8" t="n">
        <v>26</v>
      </c>
      <c r="E510" s="8" t="n">
        <v>476061</v>
      </c>
      <c r="F510" s="11" t="str">
        <f aca="false">INDEX(Caixas!$C:$C,MATCH(C510,Caixas!$A:$A,0))</f>
        <v>Devolução fechada</v>
      </c>
      <c r="G510" s="9" t="n">
        <v>0</v>
      </c>
      <c r="H510" s="9" t="n">
        <v>0</v>
      </c>
      <c r="I510" s="8" t="n">
        <f aca="false">IF(F510="Inteira CBP",D510,IF(OR(F510="Aberta",F510="Avulso"),G510,0))</f>
        <v>0</v>
      </c>
      <c r="J510" s="8" t="n">
        <f aca="false">IF(F510="Inteira CBTBE",D510,IF(OR(F510="Aberta",F510="Avulso"),H510,0))</f>
        <v>0</v>
      </c>
      <c r="K510" s="8" t="n">
        <f aca="false">D510-I510-J510</f>
        <v>26</v>
      </c>
    </row>
    <row r="511" customFormat="false" ht="15" hidden="false" customHeight="false" outlineLevel="0" collapsed="false">
      <c r="A511" s="8" t="s">
        <v>585</v>
      </c>
      <c r="B511" s="8" t="s">
        <v>586</v>
      </c>
      <c r="C511" s="8" t="s">
        <v>238</v>
      </c>
      <c r="D511" s="8" t="n">
        <v>30</v>
      </c>
      <c r="E511" s="8" t="n">
        <v>476043</v>
      </c>
      <c r="F511" s="11" t="str">
        <f aca="false">INDEX(Caixas!$C:$C,MATCH(C511,Caixas!$A:$A,0))</f>
        <v>Devolução fechada</v>
      </c>
      <c r="G511" s="9" t="n">
        <v>0</v>
      </c>
      <c r="H511" s="9" t="n">
        <v>0</v>
      </c>
      <c r="I511" s="8" t="n">
        <f aca="false">IF(F511="Inteira CBP",D511,IF(OR(F511="Aberta",F511="Avulso"),G511,0))</f>
        <v>0</v>
      </c>
      <c r="J511" s="8" t="n">
        <f aca="false">IF(F511="Inteira CBTBE",D511,IF(OR(F511="Aberta",F511="Avulso"),H511,0))</f>
        <v>0</v>
      </c>
      <c r="K511" s="8" t="n">
        <f aca="false">D511-I511-J511</f>
        <v>30</v>
      </c>
    </row>
    <row r="512" customFormat="false" ht="15" hidden="false" customHeight="false" outlineLevel="0" collapsed="false">
      <c r="A512" s="8" t="s">
        <v>569</v>
      </c>
      <c r="B512" s="8" t="s">
        <v>570</v>
      </c>
      <c r="C512" s="8" t="s">
        <v>238</v>
      </c>
      <c r="D512" s="8" t="n">
        <v>20</v>
      </c>
      <c r="E512" s="8" t="n">
        <v>476061</v>
      </c>
      <c r="F512" s="11" t="str">
        <f aca="false">INDEX(Caixas!$C:$C,MATCH(C512,Caixas!$A:$A,0))</f>
        <v>Devolução fechada</v>
      </c>
      <c r="G512" s="9" t="n">
        <v>0</v>
      </c>
      <c r="H512" s="9" t="n">
        <v>0</v>
      </c>
      <c r="I512" s="8" t="n">
        <f aca="false">IF(F512="Inteira CBP",D512,IF(OR(F512="Aberta",F512="Avulso"),G512,0))</f>
        <v>0</v>
      </c>
      <c r="J512" s="8" t="n">
        <f aca="false">IF(F512="Inteira CBTBE",D512,IF(OR(F512="Aberta",F512="Avulso"),H512,0))</f>
        <v>0</v>
      </c>
      <c r="K512" s="8" t="n">
        <f aca="false">D512-I512-J512</f>
        <v>20</v>
      </c>
    </row>
    <row r="513" customFormat="false" ht="15" hidden="false" customHeight="false" outlineLevel="0" collapsed="false">
      <c r="A513" s="8" t="s">
        <v>517</v>
      </c>
      <c r="B513" s="8" t="s">
        <v>518</v>
      </c>
      <c r="C513" s="8" t="s">
        <v>239</v>
      </c>
      <c r="D513" s="8" t="n">
        <v>18</v>
      </c>
      <c r="E513" s="8" t="n">
        <v>476061</v>
      </c>
      <c r="F513" s="11" t="str">
        <f aca="false">INDEX(Caixas!$C:$C,MATCH(C513,Caixas!$A:$A,0))</f>
        <v>Inteira CBP</v>
      </c>
      <c r="G513" s="9" t="n">
        <v>0</v>
      </c>
      <c r="H513" s="9" t="n">
        <v>0</v>
      </c>
      <c r="I513" s="8" t="n">
        <f aca="false">IF(F513="Inteira CBP",D513,IF(OR(F513="Aberta",F513="Avulso"),G513,0))</f>
        <v>18</v>
      </c>
      <c r="J513" s="8" t="n">
        <f aca="false">IF(F513="Inteira CBTBE",D513,IF(OR(F513="Aberta",F513="Avulso"),H513,0))</f>
        <v>0</v>
      </c>
      <c r="K513" s="8" t="n">
        <f aca="false">D513-I513-J513</f>
        <v>0</v>
      </c>
    </row>
    <row r="514" customFormat="false" ht="15" hidden="false" customHeight="false" outlineLevel="0" collapsed="false">
      <c r="A514" s="8" t="s">
        <v>585</v>
      </c>
      <c r="B514" s="8" t="s">
        <v>586</v>
      </c>
      <c r="C514" s="8" t="s">
        <v>239</v>
      </c>
      <c r="D514" s="8" t="n">
        <v>30</v>
      </c>
      <c r="E514" s="8" t="n">
        <v>476043</v>
      </c>
      <c r="F514" s="11" t="str">
        <f aca="false">INDEX(Caixas!$C:$C,MATCH(C514,Caixas!$A:$A,0))</f>
        <v>Inteira CBP</v>
      </c>
      <c r="G514" s="9" t="n">
        <v>0</v>
      </c>
      <c r="H514" s="9" t="n">
        <v>0</v>
      </c>
      <c r="I514" s="8" t="n">
        <f aca="false">IF(F514="Inteira CBP",D514,IF(OR(F514="Aberta",F514="Avulso"),G514,0))</f>
        <v>30</v>
      </c>
      <c r="J514" s="8" t="n">
        <f aca="false">IF(F514="Inteira CBTBE",D514,IF(OR(F514="Aberta",F514="Avulso"),H514,0))</f>
        <v>0</v>
      </c>
      <c r="K514" s="8" t="n">
        <f aca="false">D514-I514-J514</f>
        <v>0</v>
      </c>
    </row>
    <row r="515" customFormat="false" ht="15" hidden="false" customHeight="false" outlineLevel="0" collapsed="false">
      <c r="A515" s="8" t="s">
        <v>579</v>
      </c>
      <c r="B515" s="8" t="s">
        <v>580</v>
      </c>
      <c r="C515" s="8" t="s">
        <v>239</v>
      </c>
      <c r="D515" s="8" t="n">
        <v>24</v>
      </c>
      <c r="E515" s="8" t="n">
        <v>476061</v>
      </c>
      <c r="F515" s="11" t="str">
        <f aca="false">INDEX(Caixas!$C:$C,MATCH(C515,Caixas!$A:$A,0))</f>
        <v>Inteira CBP</v>
      </c>
      <c r="G515" s="9" t="n">
        <v>0</v>
      </c>
      <c r="H515" s="9" t="n">
        <v>0</v>
      </c>
      <c r="I515" s="8" t="n">
        <f aca="false">IF(F515="Inteira CBP",D515,IF(OR(F515="Aberta",F515="Avulso"),G515,0))</f>
        <v>24</v>
      </c>
      <c r="J515" s="8" t="n">
        <f aca="false">IF(F515="Inteira CBTBE",D515,IF(OR(F515="Aberta",F515="Avulso"),H515,0))</f>
        <v>0</v>
      </c>
      <c r="K515" s="8" t="n">
        <f aca="false">D515-I515-J515</f>
        <v>0</v>
      </c>
    </row>
    <row r="516" customFormat="false" ht="15" hidden="false" customHeight="false" outlineLevel="0" collapsed="false">
      <c r="A516" s="8" t="s">
        <v>561</v>
      </c>
      <c r="B516" s="8" t="s">
        <v>562</v>
      </c>
      <c r="C516" s="8" t="s">
        <v>241</v>
      </c>
      <c r="D516" s="8" t="n">
        <v>22</v>
      </c>
      <c r="E516" s="8" t="n">
        <v>476043</v>
      </c>
      <c r="F516" s="11" t="str">
        <f aca="false">INDEX(Caixas!$C:$C,MATCH(C516,Caixas!$A:$A,0))</f>
        <v>Aberta</v>
      </c>
      <c r="G516" s="9" t="n">
        <v>0</v>
      </c>
      <c r="H516" s="9" t="n">
        <v>0</v>
      </c>
      <c r="I516" s="8" t="n">
        <f aca="false">IF(F516="Inteira CBP",D516,IF(OR(F516="Aberta",F516="Avulso"),G516,0))</f>
        <v>0</v>
      </c>
      <c r="J516" s="8" t="n">
        <f aca="false">IF(F516="Inteira CBTBE",D516,IF(OR(F516="Aberta",F516="Avulso"),H516,0))</f>
        <v>0</v>
      </c>
      <c r="K516" s="8" t="n">
        <f aca="false">D516-I516-J516</f>
        <v>22</v>
      </c>
    </row>
    <row r="517" customFormat="false" ht="15" hidden="false" customHeight="false" outlineLevel="0" collapsed="false">
      <c r="A517" s="8" t="s">
        <v>589</v>
      </c>
      <c r="B517" s="8" t="s">
        <v>590</v>
      </c>
      <c r="C517" s="8" t="s">
        <v>241</v>
      </c>
      <c r="D517" s="8" t="n">
        <v>50</v>
      </c>
      <c r="E517" s="8" t="n">
        <v>476061</v>
      </c>
      <c r="F517" s="11" t="str">
        <f aca="false">INDEX(Caixas!$C:$C,MATCH(C517,Caixas!$A:$A,0))</f>
        <v>Aberta</v>
      </c>
      <c r="G517" s="9" t="n">
        <v>28</v>
      </c>
      <c r="H517" s="9" t="n">
        <v>0</v>
      </c>
      <c r="I517" s="8" t="n">
        <f aca="false">IF(F517="Inteira CBP",D517,IF(OR(F517="Aberta",F517="Avulso"),G517,0))</f>
        <v>28</v>
      </c>
      <c r="J517" s="8" t="n">
        <f aca="false">IF(F517="Inteira CBTBE",D517,IF(OR(F517="Aberta",F517="Avulso"),H517,0))</f>
        <v>0</v>
      </c>
      <c r="K517" s="8" t="n">
        <f aca="false">D517-I517-J517</f>
        <v>22</v>
      </c>
    </row>
    <row r="518" customFormat="false" ht="15" hidden="false" customHeight="false" outlineLevel="0" collapsed="false">
      <c r="A518" s="8" t="s">
        <v>585</v>
      </c>
      <c r="B518" s="8" t="s">
        <v>586</v>
      </c>
      <c r="C518" s="8" t="s">
        <v>242</v>
      </c>
      <c r="D518" s="8" t="n">
        <v>30</v>
      </c>
      <c r="E518" s="8" t="n">
        <v>476043</v>
      </c>
      <c r="F518" s="11" t="str">
        <f aca="false">INDEX(Caixas!$C:$C,MATCH(C518,Caixas!$A:$A,0))</f>
        <v>Inteira CBTBE</v>
      </c>
      <c r="G518" s="9" t="n">
        <v>0</v>
      </c>
      <c r="H518" s="9" t="n">
        <v>0</v>
      </c>
      <c r="I518" s="8" t="n">
        <f aca="false">IF(F518="Inteira CBP",D518,IF(OR(F518="Aberta",F518="Avulso"),G518,0))</f>
        <v>0</v>
      </c>
      <c r="J518" s="8" t="n">
        <f aca="false">IF(F518="Inteira CBTBE",D518,IF(OR(F518="Aberta",F518="Avulso"),H518,0))</f>
        <v>30</v>
      </c>
      <c r="K518" s="8" t="n">
        <f aca="false">D518-I518-J518</f>
        <v>0</v>
      </c>
    </row>
    <row r="519" customFormat="false" ht="15" hidden="false" customHeight="false" outlineLevel="0" collapsed="false">
      <c r="A519" s="8" t="s">
        <v>591</v>
      </c>
      <c r="B519" s="8" t="s">
        <v>592</v>
      </c>
      <c r="C519" s="8" t="s">
        <v>242</v>
      </c>
      <c r="D519" s="8" t="n">
        <v>18</v>
      </c>
      <c r="E519" s="8" t="n">
        <v>476065</v>
      </c>
      <c r="F519" s="11" t="str">
        <f aca="false">INDEX(Caixas!$C:$C,MATCH(C519,Caixas!$A:$A,0))</f>
        <v>Inteira CBTBE</v>
      </c>
      <c r="G519" s="9" t="n">
        <v>0</v>
      </c>
      <c r="H519" s="9" t="n">
        <v>0</v>
      </c>
      <c r="I519" s="8" t="n">
        <f aca="false">IF(F519="Inteira CBP",D519,IF(OR(F519="Aberta",F519="Avulso"),G519,0))</f>
        <v>0</v>
      </c>
      <c r="J519" s="8" t="n">
        <f aca="false">IF(F519="Inteira CBTBE",D519,IF(OR(F519="Aberta",F519="Avulso"),H519,0))</f>
        <v>18</v>
      </c>
      <c r="K519" s="8" t="n">
        <f aca="false">D519-I519-J519</f>
        <v>0</v>
      </c>
    </row>
    <row r="520" customFormat="false" ht="15" hidden="false" customHeight="false" outlineLevel="0" collapsed="false">
      <c r="A520" s="8" t="s">
        <v>561</v>
      </c>
      <c r="B520" s="8" t="s">
        <v>562</v>
      </c>
      <c r="C520" s="8" t="s">
        <v>243</v>
      </c>
      <c r="D520" s="8" t="n">
        <v>22</v>
      </c>
      <c r="E520" s="8" t="n">
        <v>476043</v>
      </c>
      <c r="F520" s="11" t="str">
        <f aca="false">INDEX(Caixas!$C:$C,MATCH(C520,Caixas!$A:$A,0))</f>
        <v>Aberta</v>
      </c>
      <c r="G520" s="9" t="n">
        <v>0</v>
      </c>
      <c r="H520" s="9" t="n">
        <v>0</v>
      </c>
      <c r="I520" s="8" t="n">
        <f aca="false">IF(F520="Inteira CBP",D520,IF(OR(F520="Aberta",F520="Avulso"),G520,0))</f>
        <v>0</v>
      </c>
      <c r="J520" s="8" t="n">
        <f aca="false">IF(F520="Inteira CBTBE",D520,IF(OR(F520="Aberta",F520="Avulso"),H520,0))</f>
        <v>0</v>
      </c>
      <c r="K520" s="8" t="n">
        <f aca="false">D520-I520-J520</f>
        <v>22</v>
      </c>
    </row>
    <row r="521" customFormat="false" ht="15" hidden="false" customHeight="false" outlineLevel="0" collapsed="false">
      <c r="A521" s="8" t="s">
        <v>591</v>
      </c>
      <c r="B521" s="8" t="s">
        <v>592</v>
      </c>
      <c r="C521" s="8" t="s">
        <v>243</v>
      </c>
      <c r="D521" s="8" t="n">
        <v>18</v>
      </c>
      <c r="E521" s="8" t="n">
        <v>476065</v>
      </c>
      <c r="F521" s="11" t="str">
        <f aca="false">INDEX(Caixas!$C:$C,MATCH(C521,Caixas!$A:$A,0))</f>
        <v>Aberta</v>
      </c>
      <c r="G521" s="9" t="n">
        <v>18</v>
      </c>
      <c r="H521" s="9" t="n">
        <v>0</v>
      </c>
      <c r="I521" s="8" t="n">
        <f aca="false">IF(F521="Inteira CBP",D521,IF(OR(F521="Aberta",F521="Avulso"),G521,0))</f>
        <v>18</v>
      </c>
      <c r="J521" s="8" t="n">
        <f aca="false">IF(F521="Inteira CBTBE",D521,IF(OR(F521="Aberta",F521="Avulso"),H521,0))</f>
        <v>0</v>
      </c>
      <c r="K521" s="8" t="n">
        <f aca="false">D521-I521-J521</f>
        <v>0</v>
      </c>
    </row>
    <row r="522" customFormat="false" ht="15" hidden="false" customHeight="false" outlineLevel="0" collapsed="false">
      <c r="A522" s="8" t="s">
        <v>561</v>
      </c>
      <c r="B522" s="8" t="s">
        <v>562</v>
      </c>
      <c r="C522" s="8" t="s">
        <v>244</v>
      </c>
      <c r="D522" s="8" t="n">
        <v>22</v>
      </c>
      <c r="E522" s="8" t="n">
        <v>476043</v>
      </c>
      <c r="F522" s="11" t="str">
        <f aca="false">INDEX(Caixas!$C:$C,MATCH(C522,Caixas!$A:$A,0))</f>
        <v>Aberta</v>
      </c>
      <c r="G522" s="9" t="n">
        <v>0</v>
      </c>
      <c r="H522" s="9" t="n">
        <v>0</v>
      </c>
      <c r="I522" s="8" t="n">
        <f aca="false">IF(F522="Inteira CBP",D522,IF(OR(F522="Aberta",F522="Avulso"),G522,0))</f>
        <v>0</v>
      </c>
      <c r="J522" s="8" t="n">
        <f aca="false">IF(F522="Inteira CBTBE",D522,IF(OR(F522="Aberta",F522="Avulso"),H522,0))</f>
        <v>0</v>
      </c>
      <c r="K522" s="8" t="n">
        <f aca="false">D522-I522-J522</f>
        <v>22</v>
      </c>
    </row>
    <row r="523" customFormat="false" ht="15" hidden="false" customHeight="false" outlineLevel="0" collapsed="false">
      <c r="A523" s="8" t="s">
        <v>593</v>
      </c>
      <c r="B523" s="8" t="s">
        <v>594</v>
      </c>
      <c r="C523" s="8" t="s">
        <v>244</v>
      </c>
      <c r="D523" s="8" t="n">
        <v>18</v>
      </c>
      <c r="E523" s="8" t="n">
        <v>476061</v>
      </c>
      <c r="F523" s="11" t="str">
        <f aca="false">INDEX(Caixas!$C:$C,MATCH(C523,Caixas!$A:$A,0))</f>
        <v>Aberta</v>
      </c>
      <c r="G523" s="9" t="n">
        <v>18</v>
      </c>
      <c r="H523" s="9" t="n">
        <v>0</v>
      </c>
      <c r="I523" s="8" t="n">
        <f aca="false">IF(F523="Inteira CBP",D523,IF(OR(F523="Aberta",F523="Avulso"),G523,0))</f>
        <v>18</v>
      </c>
      <c r="J523" s="8" t="n">
        <f aca="false">IF(F523="Inteira CBTBE",D523,IF(OR(F523="Aberta",F523="Avulso"),H523,0))</f>
        <v>0</v>
      </c>
      <c r="K523" s="8" t="n">
        <f aca="false">D523-I523-J523</f>
        <v>0</v>
      </c>
    </row>
    <row r="524" customFormat="false" ht="15" hidden="false" customHeight="false" outlineLevel="0" collapsed="false">
      <c r="A524" s="8" t="s">
        <v>591</v>
      </c>
      <c r="B524" s="8" t="s">
        <v>592</v>
      </c>
      <c r="C524" s="8" t="s">
        <v>244</v>
      </c>
      <c r="D524" s="8" t="n">
        <v>18</v>
      </c>
      <c r="E524" s="8" t="n">
        <v>476065</v>
      </c>
      <c r="F524" s="11" t="str">
        <f aca="false">INDEX(Caixas!$C:$C,MATCH(C524,Caixas!$A:$A,0))</f>
        <v>Aberta</v>
      </c>
      <c r="G524" s="9" t="n">
        <v>18</v>
      </c>
      <c r="H524" s="9" t="n">
        <v>0</v>
      </c>
      <c r="I524" s="8" t="n">
        <f aca="false">IF(F524="Inteira CBP",D524,IF(OR(F524="Aberta",F524="Avulso"),G524,0))</f>
        <v>18</v>
      </c>
      <c r="J524" s="8" t="n">
        <f aca="false">IF(F524="Inteira CBTBE",D524,IF(OR(F524="Aberta",F524="Avulso"),H524,0))</f>
        <v>0</v>
      </c>
      <c r="K524" s="8" t="n">
        <f aca="false">D524-I524-J524</f>
        <v>0</v>
      </c>
    </row>
    <row r="525" customFormat="false" ht="15" hidden="false" customHeight="false" outlineLevel="0" collapsed="false">
      <c r="A525" s="8" t="s">
        <v>561</v>
      </c>
      <c r="B525" s="8" t="s">
        <v>562</v>
      </c>
      <c r="C525" s="8" t="s">
        <v>245</v>
      </c>
      <c r="D525" s="8" t="n">
        <v>22</v>
      </c>
      <c r="E525" s="8" t="n">
        <v>476043</v>
      </c>
      <c r="F525" s="11" t="str">
        <f aca="false">INDEX(Caixas!$C:$C,MATCH(C525,Caixas!$A:$A,0))</f>
        <v>Aberta</v>
      </c>
      <c r="G525" s="9" t="n">
        <v>0</v>
      </c>
      <c r="H525" s="9" t="n">
        <v>0</v>
      </c>
      <c r="I525" s="8" t="n">
        <f aca="false">IF(F525="Inteira CBP",D525,IF(OR(F525="Aberta",F525="Avulso"),G525,0))</f>
        <v>0</v>
      </c>
      <c r="J525" s="8" t="n">
        <f aca="false">IF(F525="Inteira CBTBE",D525,IF(OR(F525="Aberta",F525="Avulso"),H525,0))</f>
        <v>0</v>
      </c>
      <c r="K525" s="8" t="n">
        <f aca="false">D525-I525-J525</f>
        <v>22</v>
      </c>
    </row>
    <row r="526" customFormat="false" ht="15" hidden="false" customHeight="false" outlineLevel="0" collapsed="false">
      <c r="A526" s="8" t="s">
        <v>593</v>
      </c>
      <c r="B526" s="8" t="s">
        <v>594</v>
      </c>
      <c r="C526" s="8" t="s">
        <v>245</v>
      </c>
      <c r="D526" s="8" t="n">
        <v>18</v>
      </c>
      <c r="E526" s="8" t="n">
        <v>476061</v>
      </c>
      <c r="F526" s="11" t="str">
        <f aca="false">INDEX(Caixas!$C:$C,MATCH(C526,Caixas!$A:$A,0))</f>
        <v>Aberta</v>
      </c>
      <c r="G526" s="9" t="n">
        <v>0</v>
      </c>
      <c r="H526" s="9" t="n">
        <v>18</v>
      </c>
      <c r="I526" s="8" t="n">
        <f aca="false">IF(F526="Inteira CBP",D526,IF(OR(F526="Aberta",F526="Avulso"),G526,0))</f>
        <v>0</v>
      </c>
      <c r="J526" s="8" t="n">
        <f aca="false">IF(F526="Inteira CBTBE",D526,IF(OR(F526="Aberta",F526="Avulso"),H526,0))</f>
        <v>18</v>
      </c>
      <c r="K526" s="8" t="n">
        <f aca="false">D526-I526-J526</f>
        <v>0</v>
      </c>
    </row>
    <row r="527" customFormat="false" ht="15" hidden="false" customHeight="false" outlineLevel="0" collapsed="false">
      <c r="A527" s="8" t="s">
        <v>591</v>
      </c>
      <c r="B527" s="8" t="s">
        <v>592</v>
      </c>
      <c r="C527" s="8" t="s">
        <v>245</v>
      </c>
      <c r="D527" s="8" t="n">
        <v>18</v>
      </c>
      <c r="E527" s="8" t="n">
        <v>476065</v>
      </c>
      <c r="F527" s="11" t="str">
        <f aca="false">INDEX(Caixas!$C:$C,MATCH(C527,Caixas!$A:$A,0))</f>
        <v>Aberta</v>
      </c>
      <c r="G527" s="9" t="n">
        <v>0</v>
      </c>
      <c r="H527" s="9" t="n">
        <v>18</v>
      </c>
      <c r="I527" s="8" t="n">
        <f aca="false">IF(F527="Inteira CBP",D527,IF(OR(F527="Aberta",F527="Avulso"),G527,0))</f>
        <v>0</v>
      </c>
      <c r="J527" s="8" t="n">
        <f aca="false">IF(F527="Inteira CBTBE",D527,IF(OR(F527="Aberta",F527="Avulso"),H527,0))</f>
        <v>18</v>
      </c>
      <c r="K527" s="8" t="n">
        <f aca="false">D527-I527-J527</f>
        <v>0</v>
      </c>
    </row>
    <row r="528" customFormat="false" ht="15" hidden="false" customHeight="false" outlineLevel="0" collapsed="false">
      <c r="A528" s="8" t="s">
        <v>595</v>
      </c>
      <c r="B528" s="8" t="s">
        <v>596</v>
      </c>
      <c r="C528" s="8" t="s">
        <v>246</v>
      </c>
      <c r="D528" s="8" t="n">
        <v>24</v>
      </c>
      <c r="E528" s="8" t="n">
        <v>476061</v>
      </c>
      <c r="F528" s="11" t="str">
        <f aca="false">INDEX(Caixas!$C:$C,MATCH(C528,Caixas!$A:$A,0))</f>
        <v>Aberta</v>
      </c>
      <c r="G528" s="9" t="n">
        <v>24</v>
      </c>
      <c r="H528" s="9" t="n">
        <v>0</v>
      </c>
      <c r="I528" s="8" t="n">
        <f aca="false">IF(F528="Inteira CBP",D528,IF(OR(F528="Aberta",F528="Avulso"),G528,0))</f>
        <v>24</v>
      </c>
      <c r="J528" s="8" t="n">
        <f aca="false">IF(F528="Inteira CBTBE",D528,IF(OR(F528="Aberta",F528="Avulso"),H528,0))</f>
        <v>0</v>
      </c>
      <c r="K528" s="8" t="n">
        <f aca="false">D528-I528-J528</f>
        <v>0</v>
      </c>
    </row>
    <row r="529" customFormat="false" ht="15" hidden="false" customHeight="false" outlineLevel="0" collapsed="false">
      <c r="A529" s="8" t="s">
        <v>561</v>
      </c>
      <c r="B529" s="8" t="s">
        <v>562</v>
      </c>
      <c r="C529" s="8" t="s">
        <v>246</v>
      </c>
      <c r="D529" s="8" t="n">
        <v>22</v>
      </c>
      <c r="E529" s="8" t="n">
        <v>476043</v>
      </c>
      <c r="F529" s="11" t="str">
        <f aca="false">INDEX(Caixas!$C:$C,MATCH(C529,Caixas!$A:$A,0))</f>
        <v>Aberta</v>
      </c>
      <c r="G529" s="9" t="n">
        <v>0</v>
      </c>
      <c r="H529" s="9" t="n">
        <v>0</v>
      </c>
      <c r="I529" s="8" t="n">
        <f aca="false">IF(F529="Inteira CBP",D529,IF(OR(F529="Aberta",F529="Avulso"),G529,0))</f>
        <v>0</v>
      </c>
      <c r="J529" s="8" t="n">
        <f aca="false">IF(F529="Inteira CBTBE",D529,IF(OR(F529="Aberta",F529="Avulso"),H529,0))</f>
        <v>0</v>
      </c>
      <c r="K529" s="8" t="n">
        <f aca="false">D529-I529-J529</f>
        <v>22</v>
      </c>
    </row>
    <row r="530" customFormat="false" ht="15" hidden="false" customHeight="false" outlineLevel="0" collapsed="false">
      <c r="A530" s="8" t="s">
        <v>591</v>
      </c>
      <c r="B530" s="8" t="s">
        <v>592</v>
      </c>
      <c r="C530" s="8" t="s">
        <v>246</v>
      </c>
      <c r="D530" s="8" t="n">
        <v>18</v>
      </c>
      <c r="E530" s="8" t="n">
        <v>476065</v>
      </c>
      <c r="F530" s="11" t="str">
        <f aca="false">INDEX(Caixas!$C:$C,MATCH(C530,Caixas!$A:$A,0))</f>
        <v>Aberta</v>
      </c>
      <c r="G530" s="9" t="n">
        <v>0</v>
      </c>
      <c r="H530" s="9" t="n">
        <v>18</v>
      </c>
      <c r="I530" s="8" t="n">
        <f aca="false">IF(F530="Inteira CBP",D530,IF(OR(F530="Aberta",F530="Avulso"),G530,0))</f>
        <v>0</v>
      </c>
      <c r="J530" s="8" t="n">
        <f aca="false">IF(F530="Inteira CBTBE",D530,IF(OR(F530="Aberta",F530="Avulso"),H530,0))</f>
        <v>18</v>
      </c>
      <c r="K530" s="8" t="n">
        <f aca="false">D530-I530-J530</f>
        <v>0</v>
      </c>
    </row>
    <row r="531" customFormat="false" ht="15" hidden="false" customHeight="false" outlineLevel="0" collapsed="false">
      <c r="A531" s="8" t="s">
        <v>573</v>
      </c>
      <c r="B531" s="8" t="s">
        <v>574</v>
      </c>
      <c r="C531" s="8" t="s">
        <v>247</v>
      </c>
      <c r="D531" s="8" t="n">
        <v>4</v>
      </c>
      <c r="E531" s="8" t="n">
        <v>476043</v>
      </c>
      <c r="F531" s="11" t="str">
        <f aca="false">INDEX(Caixas!$C:$C,MATCH(C531,Caixas!$A:$A,0))</f>
        <v>Aberta</v>
      </c>
      <c r="G531" s="9" t="n">
        <v>0</v>
      </c>
      <c r="H531" s="9" t="n">
        <v>4</v>
      </c>
      <c r="I531" s="8" t="n">
        <f aca="false">IF(F531="Inteira CBP",D531,IF(OR(F531="Aberta",F531="Avulso"),G531,0))</f>
        <v>0</v>
      </c>
      <c r="J531" s="8" t="n">
        <f aca="false">IF(F531="Inteira CBTBE",D531,IF(OR(F531="Aberta",F531="Avulso"),H531,0))</f>
        <v>4</v>
      </c>
      <c r="K531" s="8" t="n">
        <f aca="false">D531-I531-J531</f>
        <v>0</v>
      </c>
    </row>
    <row r="532" customFormat="false" ht="15" hidden="false" customHeight="false" outlineLevel="0" collapsed="false">
      <c r="A532" s="8" t="s">
        <v>595</v>
      </c>
      <c r="B532" s="8" t="s">
        <v>596</v>
      </c>
      <c r="C532" s="8" t="s">
        <v>247</v>
      </c>
      <c r="D532" s="8" t="n">
        <v>24</v>
      </c>
      <c r="E532" s="8" t="n">
        <v>476061</v>
      </c>
      <c r="F532" s="11" t="str">
        <f aca="false">INDEX(Caixas!$C:$C,MATCH(C532,Caixas!$A:$A,0))</f>
        <v>Aberta</v>
      </c>
      <c r="G532" s="9" t="n">
        <v>24</v>
      </c>
      <c r="H532" s="9" t="n">
        <v>0</v>
      </c>
      <c r="I532" s="8" t="n">
        <f aca="false">IF(F532="Inteira CBP",D532,IF(OR(F532="Aberta",F532="Avulso"),G532,0))</f>
        <v>24</v>
      </c>
      <c r="J532" s="8" t="n">
        <f aca="false">IF(F532="Inteira CBTBE",D532,IF(OR(F532="Aberta",F532="Avulso"),H532,0))</f>
        <v>0</v>
      </c>
      <c r="K532" s="8" t="n">
        <f aca="false">D532-I532-J532</f>
        <v>0</v>
      </c>
    </row>
    <row r="533" customFormat="false" ht="15" hidden="false" customHeight="false" outlineLevel="0" collapsed="false">
      <c r="A533" s="8" t="s">
        <v>583</v>
      </c>
      <c r="B533" s="8" t="s">
        <v>584</v>
      </c>
      <c r="C533" s="8" t="s">
        <v>247</v>
      </c>
      <c r="D533" s="8" t="n">
        <v>20</v>
      </c>
      <c r="E533" s="8" t="n">
        <v>476043</v>
      </c>
      <c r="F533" s="11" t="str">
        <f aca="false">INDEX(Caixas!$C:$C,MATCH(C533,Caixas!$A:$A,0))</f>
        <v>Aberta</v>
      </c>
      <c r="G533" s="9" t="n">
        <v>0</v>
      </c>
      <c r="H533" s="9" t="n">
        <v>6</v>
      </c>
      <c r="I533" s="8" t="n">
        <f aca="false">IF(F533="Inteira CBP",D533,IF(OR(F533="Aberta",F533="Avulso"),G533,0))</f>
        <v>0</v>
      </c>
      <c r="J533" s="8" t="n">
        <f aca="false">IF(F533="Inteira CBTBE",D533,IF(OR(F533="Aberta",F533="Avulso"),H533,0))</f>
        <v>6</v>
      </c>
      <c r="K533" s="8" t="n">
        <f aca="false">D533-I533-J533</f>
        <v>14</v>
      </c>
    </row>
    <row r="534" customFormat="false" ht="15" hidden="false" customHeight="false" outlineLevel="0" collapsed="false">
      <c r="A534" s="8" t="s">
        <v>591</v>
      </c>
      <c r="B534" s="8" t="s">
        <v>592</v>
      </c>
      <c r="C534" s="8" t="s">
        <v>247</v>
      </c>
      <c r="D534" s="8" t="n">
        <v>18</v>
      </c>
      <c r="E534" s="8" t="n">
        <v>476065</v>
      </c>
      <c r="F534" s="11" t="str">
        <f aca="false">INDEX(Caixas!$C:$C,MATCH(C534,Caixas!$A:$A,0))</f>
        <v>Aberta</v>
      </c>
      <c r="G534" s="9" t="n">
        <v>0</v>
      </c>
      <c r="H534" s="9" t="n">
        <v>18</v>
      </c>
      <c r="I534" s="8" t="n">
        <f aca="false">IF(F534="Inteira CBP",D534,IF(OR(F534="Aberta",F534="Avulso"),G534,0))</f>
        <v>0</v>
      </c>
      <c r="J534" s="8" t="n">
        <f aca="false">IF(F534="Inteira CBTBE",D534,IF(OR(F534="Aberta",F534="Avulso"),H534,0))</f>
        <v>18</v>
      </c>
      <c r="K534" s="8" t="n">
        <f aca="false">D534-I534-J534</f>
        <v>0</v>
      </c>
    </row>
    <row r="535" customFormat="false" ht="15" hidden="false" customHeight="false" outlineLevel="0" collapsed="false">
      <c r="A535" s="8" t="s">
        <v>501</v>
      </c>
      <c r="B535" s="8" t="s">
        <v>502</v>
      </c>
      <c r="C535" s="8" t="s">
        <v>247</v>
      </c>
      <c r="D535" s="8" t="n">
        <v>6</v>
      </c>
      <c r="E535" s="8" t="n">
        <v>476043</v>
      </c>
      <c r="F535" s="11" t="str">
        <f aca="false">INDEX(Caixas!$C:$C,MATCH(C535,Caixas!$A:$A,0))</f>
        <v>Aberta</v>
      </c>
      <c r="G535" s="9" t="n">
        <v>0</v>
      </c>
      <c r="H535" s="9" t="n">
        <v>6</v>
      </c>
      <c r="I535" s="8" t="n">
        <f aca="false">IF(F535="Inteira CBP",D535,IF(OR(F535="Aberta",F535="Avulso"),G535,0))</f>
        <v>0</v>
      </c>
      <c r="J535" s="8" t="n">
        <f aca="false">IF(F535="Inteira CBTBE",D535,IF(OR(F535="Aberta",F535="Avulso"),H535,0))</f>
        <v>6</v>
      </c>
      <c r="K535" s="8" t="n">
        <f aca="false">D535-I535-J535</f>
        <v>0</v>
      </c>
    </row>
    <row r="536" customFormat="false" ht="15" hidden="false" customHeight="false" outlineLevel="0" collapsed="false">
      <c r="A536" s="8" t="s">
        <v>559</v>
      </c>
      <c r="B536" s="8" t="s">
        <v>560</v>
      </c>
      <c r="C536" s="8" t="s">
        <v>248</v>
      </c>
      <c r="D536" s="8" t="n">
        <v>30</v>
      </c>
      <c r="E536" s="8" t="n">
        <v>476043</v>
      </c>
      <c r="F536" s="11" t="str">
        <f aca="false">INDEX(Caixas!$C:$C,MATCH(C536,Caixas!$A:$A,0))</f>
        <v>Aberta</v>
      </c>
      <c r="G536" s="9" t="n">
        <v>0</v>
      </c>
      <c r="H536" s="9" t="n">
        <v>30</v>
      </c>
      <c r="I536" s="8" t="n">
        <f aca="false">IF(F536="Inteira CBP",D536,IF(OR(F536="Aberta",F536="Avulso"),G536,0))</f>
        <v>0</v>
      </c>
      <c r="J536" s="8" t="n">
        <f aca="false">IF(F536="Inteira CBTBE",D536,IF(OR(F536="Aberta",F536="Avulso"),H536,0))</f>
        <v>30</v>
      </c>
      <c r="K536" s="8" t="n">
        <f aca="false">D536-I536-J536</f>
        <v>0</v>
      </c>
    </row>
    <row r="537" customFormat="false" ht="15" hidden="false" customHeight="false" outlineLevel="0" collapsed="false">
      <c r="A537" s="8" t="s">
        <v>593</v>
      </c>
      <c r="B537" s="8" t="s">
        <v>594</v>
      </c>
      <c r="C537" s="8" t="s">
        <v>248</v>
      </c>
      <c r="D537" s="8" t="n">
        <v>18</v>
      </c>
      <c r="E537" s="8" t="n">
        <v>476061</v>
      </c>
      <c r="F537" s="11" t="str">
        <f aca="false">INDEX(Caixas!$C:$C,MATCH(C537,Caixas!$A:$A,0))</f>
        <v>Aberta</v>
      </c>
      <c r="G537" s="9" t="n">
        <v>18</v>
      </c>
      <c r="H537" s="9" t="n">
        <v>0</v>
      </c>
      <c r="I537" s="8" t="n">
        <f aca="false">IF(F537="Inteira CBP",D537,IF(OR(F537="Aberta",F537="Avulso"),G537,0))</f>
        <v>18</v>
      </c>
      <c r="J537" s="8" t="n">
        <f aca="false">IF(F537="Inteira CBTBE",D537,IF(OR(F537="Aberta",F537="Avulso"),H537,0))</f>
        <v>0</v>
      </c>
      <c r="K537" s="8" t="n">
        <f aca="false">D537-I537-J537</f>
        <v>0</v>
      </c>
    </row>
    <row r="538" customFormat="false" ht="15" hidden="false" customHeight="false" outlineLevel="0" collapsed="false">
      <c r="A538" s="8" t="s">
        <v>591</v>
      </c>
      <c r="B538" s="8" t="s">
        <v>592</v>
      </c>
      <c r="C538" s="8" t="s">
        <v>248</v>
      </c>
      <c r="D538" s="8" t="n">
        <v>18</v>
      </c>
      <c r="E538" s="8" t="n">
        <v>476065</v>
      </c>
      <c r="F538" s="11" t="str">
        <f aca="false">INDEX(Caixas!$C:$C,MATCH(C538,Caixas!$A:$A,0))</f>
        <v>Aberta</v>
      </c>
      <c r="G538" s="9" t="n">
        <v>0</v>
      </c>
      <c r="H538" s="9" t="n">
        <v>18</v>
      </c>
      <c r="I538" s="8" t="n">
        <f aca="false">IF(F538="Inteira CBP",D538,IF(OR(F538="Aberta",F538="Avulso"),G538,0))</f>
        <v>0</v>
      </c>
      <c r="J538" s="8" t="n">
        <f aca="false">IF(F538="Inteira CBTBE",D538,IF(OR(F538="Aberta",F538="Avulso"),H538,0))</f>
        <v>18</v>
      </c>
      <c r="K538" s="8" t="n">
        <f aca="false">D538-I538-J538</f>
        <v>0</v>
      </c>
    </row>
    <row r="539" customFormat="false" ht="15" hidden="false" customHeight="false" outlineLevel="0" collapsed="false">
      <c r="A539" s="8" t="s">
        <v>501</v>
      </c>
      <c r="B539" s="8" t="s">
        <v>502</v>
      </c>
      <c r="C539" s="8" t="s">
        <v>248</v>
      </c>
      <c r="D539" s="8" t="n">
        <v>24</v>
      </c>
      <c r="E539" s="8" t="n">
        <v>476043</v>
      </c>
      <c r="F539" s="11" t="str">
        <f aca="false">INDEX(Caixas!$C:$C,MATCH(C539,Caixas!$A:$A,0))</f>
        <v>Aberta</v>
      </c>
      <c r="G539" s="9" t="n">
        <v>0</v>
      </c>
      <c r="H539" s="9" t="n">
        <v>3</v>
      </c>
      <c r="I539" s="8" t="n">
        <f aca="false">IF(F539="Inteira CBP",D539,IF(OR(F539="Aberta",F539="Avulso"),G539,0))</f>
        <v>0</v>
      </c>
      <c r="J539" s="8" t="n">
        <f aca="false">IF(F539="Inteira CBTBE",D539,IF(OR(F539="Aberta",F539="Avulso"),H539,0))</f>
        <v>3</v>
      </c>
      <c r="K539" s="8" t="n">
        <f aca="false">D539-I539-J539</f>
        <v>21</v>
      </c>
    </row>
    <row r="540" customFormat="false" ht="15" hidden="false" customHeight="false" outlineLevel="0" collapsed="false">
      <c r="A540" s="8" t="s">
        <v>597</v>
      </c>
      <c r="B540" s="8" t="s">
        <v>598</v>
      </c>
      <c r="C540" s="8" t="s">
        <v>249</v>
      </c>
      <c r="D540" s="8" t="n">
        <v>46</v>
      </c>
      <c r="E540" s="8" t="n">
        <v>476065</v>
      </c>
      <c r="F540" s="11" t="str">
        <f aca="false">INDEX(Caixas!$C:$C,MATCH(C540,Caixas!$A:$A,0))</f>
        <v>Inteira CBP</v>
      </c>
      <c r="G540" s="9" t="n">
        <v>0</v>
      </c>
      <c r="H540" s="9" t="n">
        <v>0</v>
      </c>
      <c r="I540" s="8" t="n">
        <f aca="false">IF(F540="Inteira CBP",D540,IF(OR(F540="Aberta",F540="Avulso"),G540,0))</f>
        <v>46</v>
      </c>
      <c r="J540" s="8" t="n">
        <f aca="false">IF(F540="Inteira CBTBE",D540,IF(OR(F540="Aberta",F540="Avulso"),H540,0))</f>
        <v>0</v>
      </c>
      <c r="K540" s="8" t="n">
        <f aca="false">D540-I540-J540</f>
        <v>0</v>
      </c>
    </row>
    <row r="541" customFormat="false" ht="15" hidden="false" customHeight="false" outlineLevel="0" collapsed="false">
      <c r="A541" s="8" t="s">
        <v>599</v>
      </c>
      <c r="B541" s="8" t="s">
        <v>600</v>
      </c>
      <c r="C541" s="8" t="s">
        <v>249</v>
      </c>
      <c r="D541" s="8" t="n">
        <v>34</v>
      </c>
      <c r="E541" s="8" t="n">
        <v>476061</v>
      </c>
      <c r="F541" s="11" t="str">
        <f aca="false">INDEX(Caixas!$C:$C,MATCH(C541,Caixas!$A:$A,0))</f>
        <v>Inteira CBP</v>
      </c>
      <c r="G541" s="9" t="n">
        <v>0</v>
      </c>
      <c r="H541" s="9" t="n">
        <v>0</v>
      </c>
      <c r="I541" s="8" t="n">
        <f aca="false">IF(F541="Inteira CBP",D541,IF(OR(F541="Aberta",F541="Avulso"),G541,0))</f>
        <v>34</v>
      </c>
      <c r="J541" s="8" t="n">
        <f aca="false">IF(F541="Inteira CBTBE",D541,IF(OR(F541="Aberta",F541="Avulso"),H541,0))</f>
        <v>0</v>
      </c>
      <c r="K541" s="8" t="n">
        <f aca="false">D541-I541-J541</f>
        <v>0</v>
      </c>
    </row>
    <row r="542" customFormat="false" ht="15" hidden="false" customHeight="false" outlineLevel="0" collapsed="false">
      <c r="A542" s="8" t="s">
        <v>563</v>
      </c>
      <c r="B542" s="8" t="s">
        <v>564</v>
      </c>
      <c r="C542" s="8" t="s">
        <v>249</v>
      </c>
      <c r="D542" s="8" t="n">
        <v>50</v>
      </c>
      <c r="E542" s="8" t="n">
        <v>476043</v>
      </c>
      <c r="F542" s="11" t="str">
        <f aca="false">INDEX(Caixas!$C:$C,MATCH(C542,Caixas!$A:$A,0))</f>
        <v>Inteira CBP</v>
      </c>
      <c r="G542" s="9" t="n">
        <v>0</v>
      </c>
      <c r="H542" s="9" t="n">
        <v>0</v>
      </c>
      <c r="I542" s="8" t="n">
        <f aca="false">IF(F542="Inteira CBP",D542,IF(OR(F542="Aberta",F542="Avulso"),G542,0))</f>
        <v>50</v>
      </c>
      <c r="J542" s="8" t="n">
        <f aca="false">IF(F542="Inteira CBTBE",D542,IF(OR(F542="Aberta",F542="Avulso"),H542,0))</f>
        <v>0</v>
      </c>
      <c r="K542" s="8" t="n">
        <f aca="false">D542-I542-J542</f>
        <v>0</v>
      </c>
    </row>
    <row r="543" customFormat="false" ht="15" hidden="false" customHeight="false" outlineLevel="0" collapsed="false">
      <c r="A543" s="8" t="s">
        <v>557</v>
      </c>
      <c r="B543" s="8" t="s">
        <v>558</v>
      </c>
      <c r="C543" s="8" t="s">
        <v>249</v>
      </c>
      <c r="D543" s="8" t="n">
        <v>12</v>
      </c>
      <c r="E543" s="8" t="n">
        <v>476043</v>
      </c>
      <c r="F543" s="11" t="str">
        <f aca="false">INDEX(Caixas!$C:$C,MATCH(C543,Caixas!$A:$A,0))</f>
        <v>Inteira CBP</v>
      </c>
      <c r="G543" s="9" t="n">
        <v>0</v>
      </c>
      <c r="H543" s="9" t="n">
        <v>0</v>
      </c>
      <c r="I543" s="8" t="n">
        <f aca="false">IF(F543="Inteira CBP",D543,IF(OR(F543="Aberta",F543="Avulso"),G543,0))</f>
        <v>12</v>
      </c>
      <c r="J543" s="8" t="n">
        <f aca="false">IF(F543="Inteira CBTBE",D543,IF(OR(F543="Aberta",F543="Avulso"),H543,0))</f>
        <v>0</v>
      </c>
      <c r="K543" s="8" t="n">
        <f aca="false">D543-I543-J543</f>
        <v>0</v>
      </c>
    </row>
    <row r="544" customFormat="false" ht="15" hidden="false" customHeight="false" outlineLevel="0" collapsed="false">
      <c r="A544" s="8" t="s">
        <v>597</v>
      </c>
      <c r="B544" s="8" t="s">
        <v>598</v>
      </c>
      <c r="C544" s="8" t="s">
        <v>251</v>
      </c>
      <c r="D544" s="8" t="n">
        <v>46</v>
      </c>
      <c r="E544" s="8" t="n">
        <v>476065</v>
      </c>
      <c r="F544" s="11" t="str">
        <f aca="false">INDEX(Caixas!$C:$C,MATCH(C544,Caixas!$A:$A,0))</f>
        <v>Inteira CBP</v>
      </c>
      <c r="G544" s="9" t="n">
        <v>0</v>
      </c>
      <c r="H544" s="9" t="n">
        <v>0</v>
      </c>
      <c r="I544" s="8" t="n">
        <f aca="false">IF(F544="Inteira CBP",D544,IF(OR(F544="Aberta",F544="Avulso"),G544,0))</f>
        <v>46</v>
      </c>
      <c r="J544" s="8" t="n">
        <f aca="false">IF(F544="Inteira CBTBE",D544,IF(OR(F544="Aberta",F544="Avulso"),H544,0))</f>
        <v>0</v>
      </c>
      <c r="K544" s="8" t="n">
        <f aca="false">D544-I544-J544</f>
        <v>0</v>
      </c>
    </row>
    <row r="545" customFormat="false" ht="15" hidden="false" customHeight="false" outlineLevel="0" collapsed="false">
      <c r="A545" s="8" t="s">
        <v>599</v>
      </c>
      <c r="B545" s="8" t="s">
        <v>600</v>
      </c>
      <c r="C545" s="8" t="s">
        <v>251</v>
      </c>
      <c r="D545" s="8" t="n">
        <v>34</v>
      </c>
      <c r="E545" s="8" t="n">
        <v>476061</v>
      </c>
      <c r="F545" s="11" t="str">
        <f aca="false">INDEX(Caixas!$C:$C,MATCH(C545,Caixas!$A:$A,0))</f>
        <v>Inteira CBP</v>
      </c>
      <c r="G545" s="9" t="n">
        <v>0</v>
      </c>
      <c r="H545" s="9" t="n">
        <v>0</v>
      </c>
      <c r="I545" s="8" t="n">
        <f aca="false">IF(F545="Inteira CBP",D545,IF(OR(F545="Aberta",F545="Avulso"),G545,0))</f>
        <v>34</v>
      </c>
      <c r="J545" s="8" t="n">
        <f aca="false">IF(F545="Inteira CBTBE",D545,IF(OR(F545="Aberta",F545="Avulso"),H545,0))</f>
        <v>0</v>
      </c>
      <c r="K545" s="8" t="n">
        <f aca="false">D545-I545-J545</f>
        <v>0</v>
      </c>
    </row>
    <row r="546" customFormat="false" ht="15" hidden="false" customHeight="false" outlineLevel="0" collapsed="false">
      <c r="A546" s="8" t="s">
        <v>557</v>
      </c>
      <c r="B546" s="8" t="s">
        <v>558</v>
      </c>
      <c r="C546" s="8" t="s">
        <v>251</v>
      </c>
      <c r="D546" s="8" t="n">
        <v>20</v>
      </c>
      <c r="E546" s="8" t="n">
        <v>476043</v>
      </c>
      <c r="F546" s="11" t="str">
        <f aca="false">INDEX(Caixas!$C:$C,MATCH(C546,Caixas!$A:$A,0))</f>
        <v>Inteira CBP</v>
      </c>
      <c r="G546" s="9" t="n">
        <v>0</v>
      </c>
      <c r="H546" s="9" t="n">
        <v>0</v>
      </c>
      <c r="I546" s="8" t="n">
        <f aca="false">IF(F546="Inteira CBP",D546,IF(OR(F546="Aberta",F546="Avulso"),G546,0))</f>
        <v>20</v>
      </c>
      <c r="J546" s="8" t="n">
        <f aca="false">IF(F546="Inteira CBTBE",D546,IF(OR(F546="Aberta",F546="Avulso"),H546,0))</f>
        <v>0</v>
      </c>
      <c r="K546" s="8" t="n">
        <f aca="false">D546-I546-J546</f>
        <v>0</v>
      </c>
    </row>
    <row r="547" customFormat="false" ht="15" hidden="false" customHeight="false" outlineLevel="0" collapsed="false">
      <c r="A547" s="8" t="s">
        <v>601</v>
      </c>
      <c r="B547" s="8" t="s">
        <v>602</v>
      </c>
      <c r="C547" s="8" t="s">
        <v>252</v>
      </c>
      <c r="D547" s="8" t="n">
        <v>44</v>
      </c>
      <c r="E547" s="8" t="n">
        <v>476061</v>
      </c>
      <c r="F547" s="11" t="str">
        <f aca="false">INDEX(Caixas!$C:$C,MATCH(C547,Caixas!$A:$A,0))</f>
        <v>Aberta</v>
      </c>
      <c r="G547" s="9" t="n">
        <v>0</v>
      </c>
      <c r="H547" s="9" t="n">
        <v>11</v>
      </c>
      <c r="I547" s="8" t="n">
        <f aca="false">IF(F547="Inteira CBP",D547,IF(OR(F547="Aberta",F547="Avulso"),G547,0))</f>
        <v>0</v>
      </c>
      <c r="J547" s="8" t="n">
        <f aca="false">IF(F547="Inteira CBTBE",D547,IF(OR(F547="Aberta",F547="Avulso"),H547,0))</f>
        <v>11</v>
      </c>
      <c r="K547" s="8" t="n">
        <f aca="false">D547-I547-J547</f>
        <v>33</v>
      </c>
    </row>
    <row r="548" customFormat="false" ht="15" hidden="false" customHeight="false" outlineLevel="0" collapsed="false">
      <c r="A548" s="8" t="s">
        <v>597</v>
      </c>
      <c r="B548" s="8" t="s">
        <v>598</v>
      </c>
      <c r="C548" s="8" t="s">
        <v>252</v>
      </c>
      <c r="D548" s="8" t="n">
        <v>46</v>
      </c>
      <c r="E548" s="8" t="n">
        <v>476065</v>
      </c>
      <c r="F548" s="11" t="str">
        <f aca="false">INDEX(Caixas!$C:$C,MATCH(C548,Caixas!$A:$A,0))</f>
        <v>Aberta</v>
      </c>
      <c r="G548" s="9" t="n">
        <v>0</v>
      </c>
      <c r="H548" s="9" t="n">
        <v>29</v>
      </c>
      <c r="I548" s="8" t="n">
        <f aca="false">IF(F548="Inteira CBP",D548,IF(OR(F548="Aberta",F548="Avulso"),G548,0))</f>
        <v>0</v>
      </c>
      <c r="J548" s="8" t="n">
        <f aca="false">IF(F548="Inteira CBTBE",D548,IF(OR(F548="Aberta",F548="Avulso"),H548,0))</f>
        <v>29</v>
      </c>
      <c r="K548" s="8" t="n">
        <f aca="false">D548-I548-J548</f>
        <v>17</v>
      </c>
    </row>
    <row r="549" customFormat="false" ht="15" hidden="false" customHeight="false" outlineLevel="0" collapsed="false">
      <c r="A549" s="8" t="s">
        <v>603</v>
      </c>
      <c r="B549" s="8" t="s">
        <v>604</v>
      </c>
      <c r="C549" s="8" t="s">
        <v>252</v>
      </c>
      <c r="D549" s="8" t="n">
        <v>66</v>
      </c>
      <c r="E549" s="8" t="n">
        <v>476043</v>
      </c>
      <c r="F549" s="11" t="str">
        <f aca="false">INDEX(Caixas!$C:$C,MATCH(C549,Caixas!$A:$A,0))</f>
        <v>Aberta</v>
      </c>
      <c r="G549" s="9" t="n">
        <v>0</v>
      </c>
      <c r="H549" s="9" t="n">
        <v>0</v>
      </c>
      <c r="I549" s="8" t="n">
        <f aca="false">IF(F549="Inteira CBP",D549,IF(OR(F549="Aberta",F549="Avulso"),G549,0))</f>
        <v>0</v>
      </c>
      <c r="J549" s="8" t="n">
        <f aca="false">IF(F549="Inteira CBTBE",D549,IF(OR(F549="Aberta",F549="Avulso"),H549,0))</f>
        <v>0</v>
      </c>
      <c r="K549" s="8" t="n">
        <f aca="false">D549-I549-J549</f>
        <v>66</v>
      </c>
    </row>
    <row r="550" customFormat="false" ht="15" hidden="false" customHeight="false" outlineLevel="0" collapsed="false">
      <c r="A550" s="8" t="s">
        <v>577</v>
      </c>
      <c r="B550" s="8" t="s">
        <v>578</v>
      </c>
      <c r="C550" s="8" t="s">
        <v>253</v>
      </c>
      <c r="D550" s="8" t="n">
        <v>42</v>
      </c>
      <c r="E550" s="8" t="n">
        <v>476065</v>
      </c>
      <c r="F550" s="11" t="str">
        <f aca="false">INDEX(Caixas!$C:$C,MATCH(C550,Caixas!$A:$A,0))</f>
        <v>Aberta</v>
      </c>
      <c r="G550" s="9" t="n">
        <v>6</v>
      </c>
      <c r="H550" s="9" t="n">
        <v>36</v>
      </c>
      <c r="I550" s="8" t="n">
        <f aca="false">IF(F550="Inteira CBP",D550,IF(OR(F550="Aberta",F550="Avulso"),G550,0))</f>
        <v>6</v>
      </c>
      <c r="J550" s="8" t="n">
        <f aca="false">IF(F550="Inteira CBTBE",D550,IF(OR(F550="Aberta",F550="Avulso"),H550,0))</f>
        <v>36</v>
      </c>
      <c r="K550" s="8" t="n">
        <f aca="false">D550-I550-J550</f>
        <v>0</v>
      </c>
    </row>
    <row r="551" customFormat="false" ht="15" hidden="false" customHeight="false" outlineLevel="0" collapsed="false">
      <c r="A551" s="8" t="s">
        <v>599</v>
      </c>
      <c r="B551" s="8" t="s">
        <v>600</v>
      </c>
      <c r="C551" s="8" t="s">
        <v>253</v>
      </c>
      <c r="D551" s="8" t="n">
        <v>34</v>
      </c>
      <c r="E551" s="8" t="n">
        <v>476061</v>
      </c>
      <c r="F551" s="11" t="str">
        <f aca="false">INDEX(Caixas!$C:$C,MATCH(C551,Caixas!$A:$A,0))</f>
        <v>Aberta</v>
      </c>
      <c r="G551" s="9" t="n">
        <v>0</v>
      </c>
      <c r="H551" s="9" t="n">
        <v>32</v>
      </c>
      <c r="I551" s="8" t="n">
        <f aca="false">IF(F551="Inteira CBP",D551,IF(OR(F551="Aberta",F551="Avulso"),G551,0))</f>
        <v>0</v>
      </c>
      <c r="J551" s="8" t="n">
        <f aca="false">IF(F551="Inteira CBTBE",D551,IF(OR(F551="Aberta",F551="Avulso"),H551,0))</f>
        <v>32</v>
      </c>
      <c r="K551" s="8" t="n">
        <f aca="false">D551-I551-J551</f>
        <v>2</v>
      </c>
    </row>
    <row r="552" customFormat="false" ht="15" hidden="false" customHeight="false" outlineLevel="0" collapsed="false">
      <c r="A552" s="8" t="s">
        <v>605</v>
      </c>
      <c r="B552" s="8" t="s">
        <v>606</v>
      </c>
      <c r="C552" s="8" t="s">
        <v>253</v>
      </c>
      <c r="D552" s="8" t="n">
        <v>7</v>
      </c>
      <c r="E552" s="8" t="n">
        <v>476043</v>
      </c>
      <c r="F552" s="11" t="str">
        <f aca="false">INDEX(Caixas!$C:$C,MATCH(C552,Caixas!$A:$A,0))</f>
        <v>Aberta</v>
      </c>
      <c r="G552" s="9" t="n">
        <v>0</v>
      </c>
      <c r="H552" s="9" t="n">
        <v>0</v>
      </c>
      <c r="I552" s="8" t="n">
        <f aca="false">IF(F552="Inteira CBP",D552,IF(OR(F552="Aberta",F552="Avulso"),G552,0))</f>
        <v>0</v>
      </c>
      <c r="J552" s="8" t="n">
        <f aca="false">IF(F552="Inteira CBTBE",D552,IF(OR(F552="Aberta",F552="Avulso"),H552,0))</f>
        <v>0</v>
      </c>
      <c r="K552" s="8" t="n">
        <f aca="false">D552-I552-J552</f>
        <v>7</v>
      </c>
    </row>
    <row r="553" customFormat="false" ht="15" hidden="false" customHeight="false" outlineLevel="0" collapsed="false">
      <c r="A553" s="8" t="s">
        <v>575</v>
      </c>
      <c r="B553" s="8" t="s">
        <v>576</v>
      </c>
      <c r="C553" s="8" t="s">
        <v>254</v>
      </c>
      <c r="D553" s="8" t="n">
        <v>20</v>
      </c>
      <c r="E553" s="8" t="n">
        <v>476065</v>
      </c>
      <c r="F553" s="11" t="str">
        <f aca="false">INDEX(Caixas!$C:$C,MATCH(C553,Caixas!$A:$A,0))</f>
        <v>Inteira CBTBE</v>
      </c>
      <c r="G553" s="9" t="n">
        <v>0</v>
      </c>
      <c r="H553" s="9" t="n">
        <v>0</v>
      </c>
      <c r="I553" s="8" t="n">
        <f aca="false">IF(F553="Inteira CBP",D553,IF(OR(F553="Aberta",F553="Avulso"),G553,0))</f>
        <v>0</v>
      </c>
      <c r="J553" s="8" t="n">
        <f aca="false">IF(F553="Inteira CBTBE",D553,IF(OR(F553="Aberta",F553="Avulso"),H553,0))</f>
        <v>20</v>
      </c>
      <c r="K553" s="8" t="n">
        <f aca="false">D553-I553-J553</f>
        <v>0</v>
      </c>
    </row>
    <row r="554" customFormat="false" ht="15" hidden="false" customHeight="false" outlineLevel="0" collapsed="false">
      <c r="A554" s="8" t="s">
        <v>599</v>
      </c>
      <c r="B554" s="8" t="s">
        <v>600</v>
      </c>
      <c r="C554" s="8" t="s">
        <v>254</v>
      </c>
      <c r="D554" s="8" t="n">
        <v>34</v>
      </c>
      <c r="E554" s="8" t="n">
        <v>476061</v>
      </c>
      <c r="F554" s="11" t="str">
        <f aca="false">INDEX(Caixas!$C:$C,MATCH(C554,Caixas!$A:$A,0))</f>
        <v>Inteira CBTBE</v>
      </c>
      <c r="G554" s="9" t="n">
        <v>0</v>
      </c>
      <c r="H554" s="9" t="n">
        <v>0</v>
      </c>
      <c r="I554" s="8" t="n">
        <f aca="false">IF(F554="Inteira CBP",D554,IF(OR(F554="Aberta",F554="Avulso"),G554,0))</f>
        <v>0</v>
      </c>
      <c r="J554" s="8" t="n">
        <f aca="false">IF(F554="Inteira CBTBE",D554,IF(OR(F554="Aberta",F554="Avulso"),H554,0))</f>
        <v>34</v>
      </c>
      <c r="K554" s="8" t="n">
        <f aca="false">D554-I554-J554</f>
        <v>0</v>
      </c>
    </row>
    <row r="555" customFormat="false" ht="15" hidden="false" customHeight="false" outlineLevel="0" collapsed="false">
      <c r="A555" s="8" t="s">
        <v>605</v>
      </c>
      <c r="B555" s="8" t="s">
        <v>606</v>
      </c>
      <c r="C555" s="8" t="s">
        <v>254</v>
      </c>
      <c r="D555" s="8" t="n">
        <v>7</v>
      </c>
      <c r="E555" s="8" t="n">
        <v>476043</v>
      </c>
      <c r="F555" s="11" t="str">
        <f aca="false">INDEX(Caixas!$C:$C,MATCH(C555,Caixas!$A:$A,0))</f>
        <v>Inteira CBTBE</v>
      </c>
      <c r="G555" s="9" t="n">
        <v>0</v>
      </c>
      <c r="H555" s="9" t="n">
        <v>0</v>
      </c>
      <c r="I555" s="8" t="n">
        <f aca="false">IF(F555="Inteira CBP",D555,IF(OR(F555="Aberta",F555="Avulso"),G555,0))</f>
        <v>0</v>
      </c>
      <c r="J555" s="8" t="n">
        <f aca="false">IF(F555="Inteira CBTBE",D555,IF(OR(F555="Aberta",F555="Avulso"),H555,0))</f>
        <v>7</v>
      </c>
      <c r="K555" s="8" t="n">
        <f aca="false">D555-I555-J555</f>
        <v>0</v>
      </c>
    </row>
    <row r="556" customFormat="false" ht="15" hidden="false" customHeight="false" outlineLevel="0" collapsed="false">
      <c r="A556" s="8" t="s">
        <v>575</v>
      </c>
      <c r="B556" s="8" t="s">
        <v>576</v>
      </c>
      <c r="C556" s="8" t="s">
        <v>255</v>
      </c>
      <c r="D556" s="8" t="n">
        <v>20</v>
      </c>
      <c r="E556" s="8" t="n">
        <v>476065</v>
      </c>
      <c r="F556" s="11" t="str">
        <f aca="false">INDEX(Caixas!$C:$C,MATCH(C556,Caixas!$A:$A,0))</f>
        <v>Devolução fechada</v>
      </c>
      <c r="G556" s="9" t="n">
        <v>0</v>
      </c>
      <c r="H556" s="9" t="n">
        <v>0</v>
      </c>
      <c r="I556" s="8" t="n">
        <f aca="false">IF(F556="Inteira CBP",D556,IF(OR(F556="Aberta",F556="Avulso"),G556,0))</f>
        <v>0</v>
      </c>
      <c r="J556" s="8" t="n">
        <f aca="false">IF(F556="Inteira CBTBE",D556,IF(OR(F556="Aberta",F556="Avulso"),H556,0))</f>
        <v>0</v>
      </c>
      <c r="K556" s="8" t="n">
        <f aca="false">D556-I556-J556</f>
        <v>20</v>
      </c>
    </row>
    <row r="557" customFormat="false" ht="15" hidden="false" customHeight="false" outlineLevel="0" collapsed="false">
      <c r="A557" s="8" t="s">
        <v>605</v>
      </c>
      <c r="B557" s="8" t="s">
        <v>606</v>
      </c>
      <c r="C557" s="8" t="s">
        <v>255</v>
      </c>
      <c r="D557" s="8" t="n">
        <v>7</v>
      </c>
      <c r="E557" s="8" t="n">
        <v>476043</v>
      </c>
      <c r="F557" s="11" t="str">
        <f aca="false">INDEX(Caixas!$C:$C,MATCH(C557,Caixas!$A:$A,0))</f>
        <v>Devolução fechada</v>
      </c>
      <c r="G557" s="9" t="n">
        <v>0</v>
      </c>
      <c r="H557" s="9" t="n">
        <v>0</v>
      </c>
      <c r="I557" s="8" t="n">
        <f aca="false">IF(F557="Inteira CBP",D557,IF(OR(F557="Aberta",F557="Avulso"),G557,0))</f>
        <v>0</v>
      </c>
      <c r="J557" s="8" t="n">
        <f aca="false">IF(F557="Inteira CBTBE",D557,IF(OR(F557="Aberta",F557="Avulso"),H557,0))</f>
        <v>0</v>
      </c>
      <c r="K557" s="8" t="n">
        <f aca="false">D557-I557-J557</f>
        <v>7</v>
      </c>
    </row>
    <row r="558" customFormat="false" ht="15" hidden="false" customHeight="false" outlineLevel="0" collapsed="false">
      <c r="A558" s="8" t="s">
        <v>607</v>
      </c>
      <c r="B558" s="8" t="s">
        <v>608</v>
      </c>
      <c r="C558" s="8" t="s">
        <v>256</v>
      </c>
      <c r="D558" s="8" t="n">
        <v>36</v>
      </c>
      <c r="E558" s="8" t="n">
        <v>476065</v>
      </c>
      <c r="F558" s="11" t="str">
        <f aca="false">INDEX(Caixas!$C:$C,MATCH(C558,Caixas!$A:$A,0))</f>
        <v>Devolução fechada</v>
      </c>
      <c r="G558" s="9" t="n">
        <v>0</v>
      </c>
      <c r="H558" s="9" t="n">
        <v>0</v>
      </c>
      <c r="I558" s="8" t="n">
        <f aca="false">IF(F558="Inteira CBP",D558,IF(OR(F558="Aberta",F558="Avulso"),G558,0))</f>
        <v>0</v>
      </c>
      <c r="J558" s="8" t="n">
        <f aca="false">IF(F558="Inteira CBTBE",D558,IF(OR(F558="Aberta",F558="Avulso"),H558,0))</f>
        <v>0</v>
      </c>
      <c r="K558" s="8" t="n">
        <f aca="false">D558-I558-J558</f>
        <v>36</v>
      </c>
    </row>
    <row r="559" customFormat="false" ht="15" hidden="false" customHeight="false" outlineLevel="0" collapsed="false">
      <c r="A559" s="8" t="s">
        <v>605</v>
      </c>
      <c r="B559" s="8" t="s">
        <v>606</v>
      </c>
      <c r="C559" s="8" t="s">
        <v>256</v>
      </c>
      <c r="D559" s="8" t="n">
        <v>7</v>
      </c>
      <c r="E559" s="8" t="n">
        <v>476043</v>
      </c>
      <c r="F559" s="11" t="str">
        <f aca="false">INDEX(Caixas!$C:$C,MATCH(C559,Caixas!$A:$A,0))</f>
        <v>Devolução fechada</v>
      </c>
      <c r="G559" s="9" t="n">
        <v>0</v>
      </c>
      <c r="H559" s="9" t="n">
        <v>0</v>
      </c>
      <c r="I559" s="8" t="n">
        <f aca="false">IF(F559="Inteira CBP",D559,IF(OR(F559="Aberta",F559="Avulso"),G559,0))</f>
        <v>0</v>
      </c>
      <c r="J559" s="8" t="n">
        <f aca="false">IF(F559="Inteira CBTBE",D559,IF(OR(F559="Aberta",F559="Avulso"),H559,0))</f>
        <v>0</v>
      </c>
      <c r="K559" s="8" t="n">
        <f aca="false">D559-I559-J559</f>
        <v>7</v>
      </c>
    </row>
    <row r="560" customFormat="false" ht="15" hidden="false" customHeight="false" outlineLevel="0" collapsed="false">
      <c r="A560" s="8" t="s">
        <v>607</v>
      </c>
      <c r="B560" s="8" t="s">
        <v>608</v>
      </c>
      <c r="C560" s="8" t="s">
        <v>257</v>
      </c>
      <c r="D560" s="8" t="n">
        <v>5</v>
      </c>
      <c r="E560" s="8" t="n">
        <v>476065</v>
      </c>
      <c r="F560" s="11" t="str">
        <f aca="false">INDEX(Caixas!$C:$C,MATCH(C560,Caixas!$A:$A,0))</f>
        <v>Aberta</v>
      </c>
      <c r="G560" s="9" t="n">
        <v>0</v>
      </c>
      <c r="H560" s="9" t="n">
        <v>0</v>
      </c>
      <c r="I560" s="8" t="n">
        <f aca="false">IF(F560="Inteira CBP",D560,IF(OR(F560="Aberta",F560="Avulso"),G560,0))</f>
        <v>0</v>
      </c>
      <c r="J560" s="8" t="n">
        <f aca="false">IF(F560="Inteira CBTBE",D560,IF(OR(F560="Aberta",F560="Avulso"),H560,0))</f>
        <v>0</v>
      </c>
      <c r="K560" s="8" t="n">
        <f aca="false">D560-I560-J560</f>
        <v>5</v>
      </c>
    </row>
    <row r="561" customFormat="false" ht="15" hidden="false" customHeight="false" outlineLevel="0" collapsed="false">
      <c r="A561" s="8" t="s">
        <v>597</v>
      </c>
      <c r="B561" s="8" t="s">
        <v>598</v>
      </c>
      <c r="C561" s="8" t="s">
        <v>257</v>
      </c>
      <c r="D561" s="8" t="n">
        <v>2</v>
      </c>
      <c r="E561" s="8" t="n">
        <v>476065</v>
      </c>
      <c r="F561" s="11" t="str">
        <f aca="false">INDEX(Caixas!$C:$C,MATCH(C561,Caixas!$A:$A,0))</f>
        <v>Aberta</v>
      </c>
      <c r="G561" s="9" t="n">
        <v>0</v>
      </c>
      <c r="H561" s="9" t="n">
        <v>0</v>
      </c>
      <c r="I561" s="8" t="n">
        <f aca="false">IF(F561="Inteira CBP",D561,IF(OR(F561="Aberta",F561="Avulso"),G561,0))</f>
        <v>0</v>
      </c>
      <c r="J561" s="8" t="n">
        <f aca="false">IF(F561="Inteira CBTBE",D561,IF(OR(F561="Aberta",F561="Avulso"),H561,0))</f>
        <v>0</v>
      </c>
      <c r="K561" s="8" t="n">
        <f aca="false">D561-I561-J561</f>
        <v>2</v>
      </c>
    </row>
    <row r="562" customFormat="false" ht="15" hidden="false" customHeight="false" outlineLevel="0" collapsed="false">
      <c r="A562" s="8" t="s">
        <v>609</v>
      </c>
      <c r="B562" s="8" t="s">
        <v>610</v>
      </c>
      <c r="C562" s="8" t="s">
        <v>257</v>
      </c>
      <c r="D562" s="8" t="n">
        <v>8</v>
      </c>
      <c r="E562" s="8" t="n">
        <v>476061</v>
      </c>
      <c r="F562" s="11" t="str">
        <f aca="false">INDEX(Caixas!$C:$C,MATCH(C562,Caixas!$A:$A,0))</f>
        <v>Aberta</v>
      </c>
      <c r="G562" s="9" t="n">
        <v>8</v>
      </c>
      <c r="H562" s="9" t="n">
        <v>0</v>
      </c>
      <c r="I562" s="8" t="n">
        <f aca="false">IF(F562="Inteira CBP",D562,IF(OR(F562="Aberta",F562="Avulso"),G562,0))</f>
        <v>8</v>
      </c>
      <c r="J562" s="8" t="n">
        <f aca="false">IF(F562="Inteira CBTBE",D562,IF(OR(F562="Aberta",F562="Avulso"),H562,0))</f>
        <v>0</v>
      </c>
      <c r="K562" s="8" t="n">
        <f aca="false">D562-I562-J562</f>
        <v>0</v>
      </c>
    </row>
    <row r="563" customFormat="false" ht="15" hidden="false" customHeight="false" outlineLevel="0" collapsed="false">
      <c r="A563" s="8" t="s">
        <v>535</v>
      </c>
      <c r="B563" s="8" t="s">
        <v>536</v>
      </c>
      <c r="C563" s="8" t="s">
        <v>257</v>
      </c>
      <c r="D563" s="8" t="n">
        <v>9</v>
      </c>
      <c r="E563" s="8" t="n">
        <v>476065</v>
      </c>
      <c r="F563" s="11" t="str">
        <f aca="false">INDEX(Caixas!$C:$C,MATCH(C563,Caixas!$A:$A,0))</f>
        <v>Aberta</v>
      </c>
      <c r="G563" s="9" t="n">
        <v>0</v>
      </c>
      <c r="H563" s="9" t="n">
        <v>9</v>
      </c>
      <c r="I563" s="8" t="n">
        <f aca="false">IF(F563="Inteira CBP",D563,IF(OR(F563="Aberta",F563="Avulso"),G563,0))</f>
        <v>0</v>
      </c>
      <c r="J563" s="8" t="n">
        <f aca="false">IF(F563="Inteira CBTBE",D563,IF(OR(F563="Aberta",F563="Avulso"),H563,0))</f>
        <v>9</v>
      </c>
      <c r="K563" s="8" t="n">
        <f aca="false">D563-I563-J563</f>
        <v>0</v>
      </c>
    </row>
    <row r="564" customFormat="false" ht="15" hidden="false" customHeight="false" outlineLevel="0" collapsed="false">
      <c r="A564" s="8" t="s">
        <v>605</v>
      </c>
      <c r="B564" s="8" t="s">
        <v>606</v>
      </c>
      <c r="C564" s="8" t="s">
        <v>257</v>
      </c>
      <c r="D564" s="8" t="n">
        <v>7</v>
      </c>
      <c r="E564" s="8" t="n">
        <v>476043</v>
      </c>
      <c r="F564" s="11" t="str">
        <f aca="false">INDEX(Caixas!$C:$C,MATCH(C564,Caixas!$A:$A,0))</f>
        <v>Aberta</v>
      </c>
      <c r="G564" s="9" t="n">
        <v>0</v>
      </c>
      <c r="H564" s="9" t="n">
        <v>7</v>
      </c>
      <c r="I564" s="8" t="n">
        <f aca="false">IF(F564="Inteira CBP",D564,IF(OR(F564="Aberta",F564="Avulso"),G564,0))</f>
        <v>0</v>
      </c>
      <c r="J564" s="8" t="n">
        <f aca="false">IF(F564="Inteira CBTBE",D564,IF(OR(F564="Aberta",F564="Avulso"),H564,0))</f>
        <v>7</v>
      </c>
      <c r="K564" s="8" t="n">
        <f aca="false">D564-I564-J564</f>
        <v>0</v>
      </c>
    </row>
    <row r="565" customFormat="false" ht="15" hidden="false" customHeight="false" outlineLevel="0" collapsed="false">
      <c r="A565" s="8" t="s">
        <v>571</v>
      </c>
      <c r="B565" s="8" t="s">
        <v>572</v>
      </c>
      <c r="C565" s="8" t="s">
        <v>257</v>
      </c>
      <c r="D565" s="8" t="n">
        <v>22</v>
      </c>
      <c r="E565" s="8" t="n">
        <v>476065</v>
      </c>
      <c r="F565" s="11" t="str">
        <f aca="false">INDEX(Caixas!$C:$C,MATCH(C565,Caixas!$A:$A,0))</f>
        <v>Aberta</v>
      </c>
      <c r="G565" s="9" t="n">
        <v>20</v>
      </c>
      <c r="H565" s="9" t="n">
        <v>2</v>
      </c>
      <c r="I565" s="8" t="n">
        <f aca="false">IF(F565="Inteira CBP",D565,IF(OR(F565="Aberta",F565="Avulso"),G565,0))</f>
        <v>20</v>
      </c>
      <c r="J565" s="8" t="n">
        <f aca="false">IF(F565="Inteira CBTBE",D565,IF(OR(F565="Aberta",F565="Avulso"),H565,0))</f>
        <v>2</v>
      </c>
      <c r="K565" s="8" t="n">
        <f aca="false">D565-I565-J565</f>
        <v>0</v>
      </c>
    </row>
    <row r="566" customFormat="false" ht="15" hidden="false" customHeight="false" outlineLevel="0" collapsed="false">
      <c r="A566" s="8" t="s">
        <v>607</v>
      </c>
      <c r="B566" s="8" t="s">
        <v>608</v>
      </c>
      <c r="C566" s="8" t="s">
        <v>258</v>
      </c>
      <c r="D566" s="8" t="n">
        <v>23</v>
      </c>
      <c r="E566" s="8" t="n">
        <v>476065</v>
      </c>
      <c r="F566" s="11" t="str">
        <f aca="false">INDEX(Caixas!$C:$C,MATCH(C566,Caixas!$A:$A,0))</f>
        <v>Aberta</v>
      </c>
      <c r="G566" s="9" t="n">
        <v>0</v>
      </c>
      <c r="H566" s="9" t="n">
        <v>0</v>
      </c>
      <c r="I566" s="8" t="n">
        <f aca="false">IF(F566="Inteira CBP",D566,IF(OR(F566="Aberta",F566="Avulso"),G566,0))</f>
        <v>0</v>
      </c>
      <c r="J566" s="8" t="n">
        <f aca="false">IF(F566="Inteira CBTBE",D566,IF(OR(F566="Aberta",F566="Avulso"),H566,0))</f>
        <v>0</v>
      </c>
      <c r="K566" s="8" t="n">
        <f aca="false">D566-I566-J566</f>
        <v>23</v>
      </c>
    </row>
    <row r="567" customFormat="false" ht="15" hidden="false" customHeight="false" outlineLevel="0" collapsed="false">
      <c r="A567" s="8" t="s">
        <v>577</v>
      </c>
      <c r="B567" s="8" t="s">
        <v>578</v>
      </c>
      <c r="C567" s="8" t="s">
        <v>258</v>
      </c>
      <c r="D567" s="8" t="n">
        <v>14</v>
      </c>
      <c r="E567" s="8" t="n">
        <v>476065</v>
      </c>
      <c r="F567" s="11" t="str">
        <f aca="false">INDEX(Caixas!$C:$C,MATCH(C567,Caixas!$A:$A,0))</f>
        <v>Aberta</v>
      </c>
      <c r="G567" s="9" t="n">
        <v>14</v>
      </c>
      <c r="H567" s="9" t="n">
        <v>0</v>
      </c>
      <c r="I567" s="8" t="n">
        <f aca="false">IF(F567="Inteira CBP",D567,IF(OR(F567="Aberta",F567="Avulso"),G567,0))</f>
        <v>14</v>
      </c>
      <c r="J567" s="8" t="n">
        <f aca="false">IF(F567="Inteira CBTBE",D567,IF(OR(F567="Aberta",F567="Avulso"),H567,0))</f>
        <v>0</v>
      </c>
      <c r="K567" s="8" t="n">
        <f aca="false">D567-I567-J567</f>
        <v>0</v>
      </c>
    </row>
    <row r="568" customFormat="false" ht="15" hidden="false" customHeight="false" outlineLevel="0" collapsed="false">
      <c r="A568" s="8" t="s">
        <v>611</v>
      </c>
      <c r="B568" s="8" t="s">
        <v>612</v>
      </c>
      <c r="C568" s="8" t="s">
        <v>258</v>
      </c>
      <c r="D568" s="8" t="n">
        <v>9</v>
      </c>
      <c r="E568" s="8" t="n">
        <v>476061</v>
      </c>
      <c r="F568" s="11" t="str">
        <f aca="false">INDEX(Caixas!$C:$C,MATCH(C568,Caixas!$A:$A,0))</f>
        <v>Aberta</v>
      </c>
      <c r="G568" s="9" t="n">
        <v>5</v>
      </c>
      <c r="H568" s="9" t="n">
        <v>0</v>
      </c>
      <c r="I568" s="8" t="n">
        <f aca="false">IF(F568="Inteira CBP",D568,IF(OR(F568="Aberta",F568="Avulso"),G568,0))</f>
        <v>5</v>
      </c>
      <c r="J568" s="8" t="n">
        <f aca="false">IF(F568="Inteira CBTBE",D568,IF(OR(F568="Aberta",F568="Avulso"),H568,0))</f>
        <v>0</v>
      </c>
      <c r="K568" s="8" t="n">
        <f aca="false">D568-I568-J568</f>
        <v>4</v>
      </c>
    </row>
    <row r="569" customFormat="false" ht="15" hidden="false" customHeight="false" outlineLevel="0" collapsed="false">
      <c r="A569" s="8" t="s">
        <v>613</v>
      </c>
      <c r="B569" s="8" t="s">
        <v>614</v>
      </c>
      <c r="C569" s="8" t="s">
        <v>258</v>
      </c>
      <c r="D569" s="8" t="n">
        <v>10</v>
      </c>
      <c r="E569" s="8" t="n">
        <v>476061</v>
      </c>
      <c r="F569" s="11" t="str">
        <f aca="false">INDEX(Caixas!$C:$C,MATCH(C569,Caixas!$A:$A,0))</f>
        <v>Aberta</v>
      </c>
      <c r="G569" s="9" t="n">
        <v>0</v>
      </c>
      <c r="H569" s="9" t="n">
        <v>10</v>
      </c>
      <c r="I569" s="8" t="n">
        <f aca="false">IF(F569="Inteira CBP",D569,IF(OR(F569="Aberta",F569="Avulso"),G569,0))</f>
        <v>0</v>
      </c>
      <c r="J569" s="8" t="n">
        <f aca="false">IF(F569="Inteira CBTBE",D569,IF(OR(F569="Aberta",F569="Avulso"),H569,0))</f>
        <v>10</v>
      </c>
      <c r="K569" s="8" t="n">
        <f aca="false">D569-I569-J569</f>
        <v>0</v>
      </c>
    </row>
    <row r="570" customFormat="false" ht="15" hidden="false" customHeight="false" outlineLevel="0" collapsed="false">
      <c r="A570" s="8" t="s">
        <v>615</v>
      </c>
      <c r="B570" s="8" t="s">
        <v>616</v>
      </c>
      <c r="C570" s="8" t="s">
        <v>258</v>
      </c>
      <c r="D570" s="8" t="n">
        <v>6</v>
      </c>
      <c r="E570" s="8" t="n">
        <v>476061</v>
      </c>
      <c r="F570" s="11" t="str">
        <f aca="false">INDEX(Caixas!$C:$C,MATCH(C570,Caixas!$A:$A,0))</f>
        <v>Aberta</v>
      </c>
      <c r="G570" s="9" t="n">
        <v>0</v>
      </c>
      <c r="H570" s="9" t="n">
        <v>6</v>
      </c>
      <c r="I570" s="8" t="n">
        <f aca="false">IF(F570="Inteira CBP",D570,IF(OR(F570="Aberta",F570="Avulso"),G570,0))</f>
        <v>0</v>
      </c>
      <c r="J570" s="8" t="n">
        <f aca="false">IF(F570="Inteira CBTBE",D570,IF(OR(F570="Aberta",F570="Avulso"),H570,0))</f>
        <v>6</v>
      </c>
      <c r="K570" s="8" t="n">
        <f aca="false">D570-I570-J570</f>
        <v>0</v>
      </c>
    </row>
    <row r="571" customFormat="false" ht="15" hidden="false" customHeight="false" outlineLevel="0" collapsed="false">
      <c r="A571" s="8" t="s">
        <v>617</v>
      </c>
      <c r="B571" s="8" t="s">
        <v>618</v>
      </c>
      <c r="C571" s="8" t="s">
        <v>258</v>
      </c>
      <c r="D571" s="8" t="n">
        <v>8</v>
      </c>
      <c r="E571" s="8" t="n">
        <v>476061</v>
      </c>
      <c r="F571" s="11" t="str">
        <f aca="false">INDEX(Caixas!$C:$C,MATCH(C571,Caixas!$A:$A,0))</f>
        <v>Aberta</v>
      </c>
      <c r="G571" s="9" t="n">
        <v>8</v>
      </c>
      <c r="H571" s="9" t="n">
        <v>0</v>
      </c>
      <c r="I571" s="8" t="n">
        <f aca="false">IF(F571="Inteira CBP",D571,IF(OR(F571="Aberta",F571="Avulso"),G571,0))</f>
        <v>8</v>
      </c>
      <c r="J571" s="8" t="n">
        <f aca="false">IF(F571="Inteira CBTBE",D571,IF(OR(F571="Aberta",F571="Avulso"),H571,0))</f>
        <v>0</v>
      </c>
      <c r="K571" s="8" t="n">
        <f aca="false">D571-I571-J571</f>
        <v>0</v>
      </c>
    </row>
    <row r="572" customFormat="false" ht="15" hidden="false" customHeight="false" outlineLevel="0" collapsed="false">
      <c r="A572" s="8" t="s">
        <v>591</v>
      </c>
      <c r="B572" s="8" t="s">
        <v>592</v>
      </c>
      <c r="C572" s="8" t="s">
        <v>258</v>
      </c>
      <c r="D572" s="8" t="n">
        <v>5</v>
      </c>
      <c r="E572" s="8" t="n">
        <v>476065</v>
      </c>
      <c r="F572" s="11" t="str">
        <f aca="false">INDEX(Caixas!$C:$C,MATCH(C572,Caixas!$A:$A,0))</f>
        <v>Aberta</v>
      </c>
      <c r="G572" s="9" t="n">
        <v>0</v>
      </c>
      <c r="H572" s="9" t="n">
        <v>5</v>
      </c>
      <c r="I572" s="8" t="n">
        <f aca="false">IF(F572="Inteira CBP",D572,IF(OR(F572="Aberta",F572="Avulso"),G572,0))</f>
        <v>0</v>
      </c>
      <c r="J572" s="8" t="n">
        <f aca="false">IF(F572="Inteira CBTBE",D572,IF(OR(F572="Aberta",F572="Avulso"),H572,0))</f>
        <v>5</v>
      </c>
      <c r="K572" s="8" t="n">
        <f aca="false">D572-I572-J572</f>
        <v>0</v>
      </c>
    </row>
    <row r="573" customFormat="false" ht="15" hidden="false" customHeight="false" outlineLevel="0" collapsed="false">
      <c r="A573" s="8" t="s">
        <v>605</v>
      </c>
      <c r="B573" s="8" t="s">
        <v>606</v>
      </c>
      <c r="C573" s="8" t="s">
        <v>258</v>
      </c>
      <c r="D573" s="8" t="n">
        <v>7</v>
      </c>
      <c r="E573" s="8" t="n">
        <v>476043</v>
      </c>
      <c r="F573" s="11" t="str">
        <f aca="false">INDEX(Caixas!$C:$C,MATCH(C573,Caixas!$A:$A,0))</f>
        <v>Aberta</v>
      </c>
      <c r="G573" s="9" t="n">
        <v>0</v>
      </c>
      <c r="H573" s="9" t="n">
        <v>7</v>
      </c>
      <c r="I573" s="8" t="n">
        <f aca="false">IF(F573="Inteira CBP",D573,IF(OR(F573="Aberta",F573="Avulso"),G573,0))</f>
        <v>0</v>
      </c>
      <c r="J573" s="8" t="n">
        <f aca="false">IF(F573="Inteira CBTBE",D573,IF(OR(F573="Aberta",F573="Avulso"),H573,0))</f>
        <v>7</v>
      </c>
      <c r="K573" s="8" t="n">
        <f aca="false">D573-I573-J573</f>
        <v>0</v>
      </c>
    </row>
    <row r="574" customFormat="false" ht="15" hidden="false" customHeight="false" outlineLevel="0" collapsed="false">
      <c r="A574" s="8" t="s">
        <v>619</v>
      </c>
      <c r="B574" s="8" t="s">
        <v>620</v>
      </c>
      <c r="C574" s="8" t="s">
        <v>258</v>
      </c>
      <c r="D574" s="8" t="n">
        <v>9</v>
      </c>
      <c r="E574" s="8" t="n">
        <v>476061</v>
      </c>
      <c r="F574" s="11" t="str">
        <f aca="false">INDEX(Caixas!$C:$C,MATCH(C574,Caixas!$A:$A,0))</f>
        <v>Aberta</v>
      </c>
      <c r="G574" s="9" t="n">
        <v>9</v>
      </c>
      <c r="H574" s="9" t="n">
        <v>0</v>
      </c>
      <c r="I574" s="8" t="n">
        <f aca="false">IF(F574="Inteira CBP",D574,IF(OR(F574="Aberta",F574="Avulso"),G574,0))</f>
        <v>9</v>
      </c>
      <c r="J574" s="8" t="n">
        <f aca="false">IF(F574="Inteira CBTBE",D574,IF(OR(F574="Aberta",F574="Avulso"),H574,0))</f>
        <v>0</v>
      </c>
      <c r="K574" s="8" t="n">
        <f aca="false">D574-I574-J574</f>
        <v>0</v>
      </c>
    </row>
    <row r="575" customFormat="false" ht="15" hidden="false" customHeight="false" outlineLevel="0" collapsed="false">
      <c r="A575" s="8" t="s">
        <v>621</v>
      </c>
      <c r="B575" s="8" t="s">
        <v>622</v>
      </c>
      <c r="C575" s="8" t="s">
        <v>259</v>
      </c>
      <c r="D575" s="8" t="n">
        <v>58</v>
      </c>
      <c r="E575" s="8" t="n">
        <v>476061</v>
      </c>
      <c r="F575" s="11" t="str">
        <f aca="false">INDEX(Caixas!$C:$C,MATCH(C575,Caixas!$A:$A,0))</f>
        <v>Inteira CBP</v>
      </c>
      <c r="G575" s="9" t="n">
        <v>0</v>
      </c>
      <c r="H575" s="9" t="n">
        <v>0</v>
      </c>
      <c r="I575" s="8" t="n">
        <f aca="false">IF(F575="Inteira CBP",D575,IF(OR(F575="Aberta",F575="Avulso"),G575,0))</f>
        <v>58</v>
      </c>
      <c r="J575" s="8" t="n">
        <f aca="false">IF(F575="Inteira CBTBE",D575,IF(OR(F575="Aberta",F575="Avulso"),H575,0))</f>
        <v>0</v>
      </c>
      <c r="K575" s="8" t="n">
        <f aca="false">D575-I575-J575</f>
        <v>0</v>
      </c>
    </row>
    <row r="576" customFormat="false" ht="15" hidden="false" customHeight="false" outlineLevel="0" collapsed="false">
      <c r="A576" s="8" t="s">
        <v>575</v>
      </c>
      <c r="B576" s="8" t="s">
        <v>576</v>
      </c>
      <c r="C576" s="8" t="s">
        <v>259</v>
      </c>
      <c r="D576" s="8" t="n">
        <v>10</v>
      </c>
      <c r="E576" s="8" t="n">
        <v>476065</v>
      </c>
      <c r="F576" s="11" t="str">
        <f aca="false">INDEX(Caixas!$C:$C,MATCH(C576,Caixas!$A:$A,0))</f>
        <v>Inteira CBP</v>
      </c>
      <c r="G576" s="9" t="n">
        <v>0</v>
      </c>
      <c r="H576" s="9" t="n">
        <v>0</v>
      </c>
      <c r="I576" s="8" t="n">
        <f aca="false">IF(F576="Inteira CBP",D576,IF(OR(F576="Aberta",F576="Avulso"),G576,0))</f>
        <v>10</v>
      </c>
      <c r="J576" s="8" t="n">
        <f aca="false">IF(F576="Inteira CBTBE",D576,IF(OR(F576="Aberta",F576="Avulso"),H576,0))</f>
        <v>0</v>
      </c>
      <c r="K576" s="8" t="n">
        <f aca="false">D576-I576-J576</f>
        <v>0</v>
      </c>
    </row>
    <row r="577" customFormat="false" ht="15" hidden="false" customHeight="false" outlineLevel="0" collapsed="false">
      <c r="A577" s="8" t="s">
        <v>591</v>
      </c>
      <c r="B577" s="8" t="s">
        <v>592</v>
      </c>
      <c r="C577" s="8" t="s">
        <v>259</v>
      </c>
      <c r="D577" s="8" t="n">
        <v>9</v>
      </c>
      <c r="E577" s="8" t="n">
        <v>476065</v>
      </c>
      <c r="F577" s="11" t="str">
        <f aca="false">INDEX(Caixas!$C:$C,MATCH(C577,Caixas!$A:$A,0))</f>
        <v>Inteira CBP</v>
      </c>
      <c r="G577" s="9" t="n">
        <v>0</v>
      </c>
      <c r="H577" s="9" t="n">
        <v>0</v>
      </c>
      <c r="I577" s="8" t="n">
        <f aca="false">IF(F577="Inteira CBP",D577,IF(OR(F577="Aberta",F577="Avulso"),G577,0))</f>
        <v>9</v>
      </c>
      <c r="J577" s="8" t="n">
        <f aca="false">IF(F577="Inteira CBTBE",D577,IF(OR(F577="Aberta",F577="Avulso"),H577,0))</f>
        <v>0</v>
      </c>
      <c r="K577" s="8" t="n">
        <f aca="false">D577-I577-J577</f>
        <v>0</v>
      </c>
    </row>
    <row r="578" customFormat="false" ht="15" hidden="false" customHeight="false" outlineLevel="0" collapsed="false">
      <c r="A578" s="8" t="s">
        <v>605</v>
      </c>
      <c r="B578" s="8" t="s">
        <v>606</v>
      </c>
      <c r="C578" s="8" t="s">
        <v>259</v>
      </c>
      <c r="D578" s="8" t="n">
        <v>7</v>
      </c>
      <c r="E578" s="8" t="n">
        <v>476043</v>
      </c>
      <c r="F578" s="11" t="str">
        <f aca="false">INDEX(Caixas!$C:$C,MATCH(C578,Caixas!$A:$A,0))</f>
        <v>Inteira CBP</v>
      </c>
      <c r="G578" s="9" t="n">
        <v>0</v>
      </c>
      <c r="H578" s="9" t="n">
        <v>0</v>
      </c>
      <c r="I578" s="8" t="n">
        <f aca="false">IF(F578="Inteira CBP",D578,IF(OR(F578="Aberta",F578="Avulso"),G578,0))</f>
        <v>7</v>
      </c>
      <c r="J578" s="8" t="n">
        <f aca="false">IF(F578="Inteira CBTBE",D578,IF(OR(F578="Aberta",F578="Avulso"),H578,0))</f>
        <v>0</v>
      </c>
      <c r="K578" s="8" t="n">
        <f aca="false">D578-I578-J578</f>
        <v>0</v>
      </c>
    </row>
    <row r="579" customFormat="false" ht="15" hidden="false" customHeight="false" outlineLevel="0" collapsed="false">
      <c r="A579" s="8" t="s">
        <v>611</v>
      </c>
      <c r="B579" s="8" t="s">
        <v>612</v>
      </c>
      <c r="C579" s="8" t="s">
        <v>260</v>
      </c>
      <c r="D579" s="8" t="n">
        <v>48</v>
      </c>
      <c r="E579" s="8" t="n">
        <v>476061</v>
      </c>
      <c r="F579" s="11" t="str">
        <f aca="false">INDEX(Caixas!$C:$C,MATCH(C579,Caixas!$A:$A,0))</f>
        <v>Inteira CBP</v>
      </c>
      <c r="G579" s="9" t="n">
        <v>0</v>
      </c>
      <c r="H579" s="9" t="n">
        <v>0</v>
      </c>
      <c r="I579" s="8" t="n">
        <f aca="false">IF(F579="Inteira CBP",D579,IF(OR(F579="Aberta",F579="Avulso"),G579,0))</f>
        <v>48</v>
      </c>
      <c r="J579" s="8" t="n">
        <f aca="false">IF(F579="Inteira CBTBE",D579,IF(OR(F579="Aberta",F579="Avulso"),H579,0))</f>
        <v>0</v>
      </c>
      <c r="K579" s="8" t="n">
        <f aca="false">D579-I579-J579</f>
        <v>0</v>
      </c>
    </row>
    <row r="580" customFormat="false" ht="15" hidden="false" customHeight="false" outlineLevel="0" collapsed="false">
      <c r="A580" s="8" t="s">
        <v>623</v>
      </c>
      <c r="B580" s="8" t="s">
        <v>624</v>
      </c>
      <c r="C580" s="8" t="s">
        <v>260</v>
      </c>
      <c r="D580" s="8" t="n">
        <v>16</v>
      </c>
      <c r="E580" s="8" t="n">
        <v>476065</v>
      </c>
      <c r="F580" s="11" t="str">
        <f aca="false">INDEX(Caixas!$C:$C,MATCH(C580,Caixas!$A:$A,0))</f>
        <v>Inteira CBP</v>
      </c>
      <c r="G580" s="9" t="n">
        <v>0</v>
      </c>
      <c r="H580" s="9" t="n">
        <v>0</v>
      </c>
      <c r="I580" s="8" t="n">
        <f aca="false">IF(F580="Inteira CBP",D580,IF(OR(F580="Aberta",F580="Avulso"),G580,0))</f>
        <v>16</v>
      </c>
      <c r="J580" s="8" t="n">
        <f aca="false">IF(F580="Inteira CBTBE",D580,IF(OR(F580="Aberta",F580="Avulso"),H580,0))</f>
        <v>0</v>
      </c>
      <c r="K580" s="8" t="n">
        <f aca="false">D580-I580-J580</f>
        <v>0</v>
      </c>
    </row>
    <row r="581" customFormat="false" ht="15" hidden="false" customHeight="false" outlineLevel="0" collapsed="false">
      <c r="A581" s="8" t="s">
        <v>605</v>
      </c>
      <c r="B581" s="8" t="s">
        <v>606</v>
      </c>
      <c r="C581" s="8" t="s">
        <v>260</v>
      </c>
      <c r="D581" s="8" t="n">
        <v>7</v>
      </c>
      <c r="E581" s="8" t="n">
        <v>476043</v>
      </c>
      <c r="F581" s="11" t="str">
        <f aca="false">INDEX(Caixas!$C:$C,MATCH(C581,Caixas!$A:$A,0))</f>
        <v>Inteira CBP</v>
      </c>
      <c r="G581" s="9" t="n">
        <v>0</v>
      </c>
      <c r="H581" s="9" t="n">
        <v>0</v>
      </c>
      <c r="I581" s="8" t="n">
        <f aca="false">IF(F581="Inteira CBP",D581,IF(OR(F581="Aberta",F581="Avulso"),G581,0))</f>
        <v>7</v>
      </c>
      <c r="J581" s="8" t="n">
        <f aca="false">IF(F581="Inteira CBTBE",D581,IF(OR(F581="Aberta",F581="Avulso"),H581,0))</f>
        <v>0</v>
      </c>
      <c r="K581" s="8" t="n">
        <f aca="false">D581-I581-J581</f>
        <v>0</v>
      </c>
    </row>
    <row r="582" customFormat="false" ht="15" hidden="false" customHeight="false" outlineLevel="0" collapsed="false">
      <c r="A582" s="8" t="s">
        <v>613</v>
      </c>
      <c r="B582" s="8" t="s">
        <v>614</v>
      </c>
      <c r="C582" s="8" t="s">
        <v>261</v>
      </c>
      <c r="D582" s="8" t="n">
        <v>38</v>
      </c>
      <c r="E582" s="8" t="n">
        <v>476061</v>
      </c>
      <c r="F582" s="11" t="str">
        <f aca="false">INDEX(Caixas!$C:$C,MATCH(C582,Caixas!$A:$A,0))</f>
        <v>Inteira CBTBE</v>
      </c>
      <c r="G582" s="9" t="n">
        <v>0</v>
      </c>
      <c r="H582" s="9" t="n">
        <v>0</v>
      </c>
      <c r="I582" s="8" t="n">
        <f aca="false">IF(F582="Inteira CBP",D582,IF(OR(F582="Aberta",F582="Avulso"),G582,0))</f>
        <v>0</v>
      </c>
      <c r="J582" s="8" t="n">
        <f aca="false">IF(F582="Inteira CBTBE",D582,IF(OR(F582="Aberta",F582="Avulso"),H582,0))</f>
        <v>38</v>
      </c>
      <c r="K582" s="8" t="n">
        <f aca="false">D582-I582-J582</f>
        <v>0</v>
      </c>
    </row>
    <row r="583" customFormat="false" ht="15" hidden="false" customHeight="false" outlineLevel="0" collapsed="false">
      <c r="A583" s="8" t="s">
        <v>623</v>
      </c>
      <c r="B583" s="8" t="s">
        <v>624</v>
      </c>
      <c r="C583" s="8" t="s">
        <v>261</v>
      </c>
      <c r="D583" s="8" t="n">
        <v>16</v>
      </c>
      <c r="E583" s="8" t="n">
        <v>476065</v>
      </c>
      <c r="F583" s="11" t="str">
        <f aca="false">INDEX(Caixas!$C:$C,MATCH(C583,Caixas!$A:$A,0))</f>
        <v>Inteira CBTBE</v>
      </c>
      <c r="G583" s="9" t="n">
        <v>0</v>
      </c>
      <c r="H583" s="9" t="n">
        <v>0</v>
      </c>
      <c r="I583" s="8" t="n">
        <f aca="false">IF(F583="Inteira CBP",D583,IF(OR(F583="Aberta",F583="Avulso"),G583,0))</f>
        <v>0</v>
      </c>
      <c r="J583" s="8" t="n">
        <f aca="false">IF(F583="Inteira CBTBE",D583,IF(OR(F583="Aberta",F583="Avulso"),H583,0))</f>
        <v>16</v>
      </c>
      <c r="K583" s="8" t="n">
        <f aca="false">D583-I583-J583</f>
        <v>0</v>
      </c>
    </row>
    <row r="584" customFormat="false" ht="15" hidden="false" customHeight="false" outlineLevel="0" collapsed="false">
      <c r="A584" s="8" t="s">
        <v>605</v>
      </c>
      <c r="B584" s="8" t="s">
        <v>606</v>
      </c>
      <c r="C584" s="8" t="s">
        <v>261</v>
      </c>
      <c r="D584" s="8" t="n">
        <v>7</v>
      </c>
      <c r="E584" s="8" t="n">
        <v>476043</v>
      </c>
      <c r="F584" s="11" t="str">
        <f aca="false">INDEX(Caixas!$C:$C,MATCH(C584,Caixas!$A:$A,0))</f>
        <v>Inteira CBTBE</v>
      </c>
      <c r="G584" s="9" t="n">
        <v>0</v>
      </c>
      <c r="H584" s="9" t="n">
        <v>0</v>
      </c>
      <c r="I584" s="8" t="n">
        <f aca="false">IF(F584="Inteira CBP",D584,IF(OR(F584="Aberta",F584="Avulso"),G584,0))</f>
        <v>0</v>
      </c>
      <c r="J584" s="8" t="n">
        <f aca="false">IF(F584="Inteira CBTBE",D584,IF(OR(F584="Aberta",F584="Avulso"),H584,0))</f>
        <v>7</v>
      </c>
      <c r="K584" s="8" t="n">
        <f aca="false">D584-I584-J584</f>
        <v>0</v>
      </c>
    </row>
    <row r="585" customFormat="false" ht="15" hidden="false" customHeight="false" outlineLevel="0" collapsed="false">
      <c r="A585" s="8" t="s">
        <v>625</v>
      </c>
      <c r="B585" s="8" t="s">
        <v>626</v>
      </c>
      <c r="C585" s="8" t="s">
        <v>262</v>
      </c>
      <c r="D585" s="8" t="n">
        <v>20</v>
      </c>
      <c r="E585" s="8" t="n">
        <v>476061</v>
      </c>
      <c r="F585" s="11" t="str">
        <f aca="false">INDEX(Caixas!$C:$C,MATCH(C585,Caixas!$A:$A,0))</f>
        <v>Aberta</v>
      </c>
      <c r="G585" s="9" t="n">
        <v>0</v>
      </c>
      <c r="H585" s="9" t="n">
        <v>20</v>
      </c>
      <c r="I585" s="8" t="n">
        <f aca="false">IF(F585="Inteira CBP",D585,IF(OR(F585="Aberta",F585="Avulso"),G585,0))</f>
        <v>0</v>
      </c>
      <c r="J585" s="8" t="n">
        <f aca="false">IF(F585="Inteira CBTBE",D585,IF(OR(F585="Aberta",F585="Avulso"),H585,0))</f>
        <v>20</v>
      </c>
      <c r="K585" s="8" t="n">
        <f aca="false">D585-I585-J585</f>
        <v>0</v>
      </c>
    </row>
    <row r="586" customFormat="false" ht="15" hidden="false" customHeight="false" outlineLevel="0" collapsed="false">
      <c r="A586" s="8" t="s">
        <v>623</v>
      </c>
      <c r="B586" s="8" t="s">
        <v>624</v>
      </c>
      <c r="C586" s="8" t="s">
        <v>262</v>
      </c>
      <c r="D586" s="8" t="n">
        <v>16</v>
      </c>
      <c r="E586" s="8" t="n">
        <v>476065</v>
      </c>
      <c r="F586" s="11" t="str">
        <f aca="false">INDEX(Caixas!$C:$C,MATCH(C586,Caixas!$A:$A,0))</f>
        <v>Aberta</v>
      </c>
      <c r="G586" s="9" t="n">
        <v>16</v>
      </c>
      <c r="H586" s="9" t="n">
        <v>0</v>
      </c>
      <c r="I586" s="8" t="n">
        <f aca="false">IF(F586="Inteira CBP",D586,IF(OR(F586="Aberta",F586="Avulso"),G586,0))</f>
        <v>16</v>
      </c>
      <c r="J586" s="8" t="n">
        <f aca="false">IF(F586="Inteira CBTBE",D586,IF(OR(F586="Aberta",F586="Avulso"),H586,0))</f>
        <v>0</v>
      </c>
      <c r="K586" s="8" t="n">
        <f aca="false">D586-I586-J586</f>
        <v>0</v>
      </c>
    </row>
    <row r="587" customFormat="false" ht="15" hidden="false" customHeight="false" outlineLevel="0" collapsed="false">
      <c r="A587" s="8" t="s">
        <v>625</v>
      </c>
      <c r="B587" s="8" t="s">
        <v>626</v>
      </c>
      <c r="C587" s="8" t="s">
        <v>263</v>
      </c>
      <c r="D587" s="8" t="n">
        <v>20</v>
      </c>
      <c r="E587" s="8" t="n">
        <v>476061</v>
      </c>
      <c r="F587" s="11" t="str">
        <f aca="false">INDEX(Caixas!$C:$C,MATCH(C587,Caixas!$A:$A,0))</f>
        <v>Inteira CBP</v>
      </c>
      <c r="G587" s="9" t="n">
        <v>0</v>
      </c>
      <c r="H587" s="9" t="n">
        <v>0</v>
      </c>
      <c r="I587" s="8" t="n">
        <f aca="false">IF(F587="Inteira CBP",D587,IF(OR(F587="Aberta",F587="Avulso"),G587,0))</f>
        <v>20</v>
      </c>
      <c r="J587" s="8" t="n">
        <f aca="false">IF(F587="Inteira CBTBE",D587,IF(OR(F587="Aberta",F587="Avulso"),H587,0))</f>
        <v>0</v>
      </c>
      <c r="K587" s="8" t="n">
        <f aca="false">D587-I587-J587</f>
        <v>0</v>
      </c>
    </row>
    <row r="588" customFormat="false" ht="15" hidden="false" customHeight="false" outlineLevel="0" collapsed="false">
      <c r="A588" s="8" t="s">
        <v>623</v>
      </c>
      <c r="B588" s="8" t="s">
        <v>624</v>
      </c>
      <c r="C588" s="8" t="s">
        <v>263</v>
      </c>
      <c r="D588" s="8" t="n">
        <v>16</v>
      </c>
      <c r="E588" s="8" t="n">
        <v>476065</v>
      </c>
      <c r="F588" s="11" t="str">
        <f aca="false">INDEX(Caixas!$C:$C,MATCH(C588,Caixas!$A:$A,0))</f>
        <v>Inteira CBP</v>
      </c>
      <c r="G588" s="9" t="n">
        <v>0</v>
      </c>
      <c r="H588" s="9" t="n">
        <v>0</v>
      </c>
      <c r="I588" s="8" t="n">
        <f aca="false">IF(F588="Inteira CBP",D588,IF(OR(F588="Aberta",F588="Avulso"),G588,0))</f>
        <v>16</v>
      </c>
      <c r="J588" s="8" t="n">
        <f aca="false">IF(F588="Inteira CBTBE",D588,IF(OR(F588="Aberta",F588="Avulso"),H588,0))</f>
        <v>0</v>
      </c>
      <c r="K588" s="8" t="n">
        <f aca="false">D588-I588-J588</f>
        <v>0</v>
      </c>
    </row>
    <row r="589" customFormat="false" ht="15" hidden="false" customHeight="false" outlineLevel="0" collapsed="false">
      <c r="A589" s="8" t="s">
        <v>625</v>
      </c>
      <c r="B589" s="8" t="s">
        <v>626</v>
      </c>
      <c r="C589" s="8" t="s">
        <v>264</v>
      </c>
      <c r="D589" s="8" t="n">
        <v>20</v>
      </c>
      <c r="E589" s="8" t="n">
        <v>476061</v>
      </c>
      <c r="F589" s="11" t="str">
        <f aca="false">INDEX(Caixas!$C:$C,MATCH(C589,Caixas!$A:$A,0))</f>
        <v>Devolução fechada</v>
      </c>
      <c r="G589" s="9" t="n">
        <v>0</v>
      </c>
      <c r="H589" s="9" t="n">
        <v>0</v>
      </c>
      <c r="I589" s="8" t="n">
        <f aca="false">IF(F589="Inteira CBP",D589,IF(OR(F589="Aberta",F589="Avulso"),G589,0))</f>
        <v>0</v>
      </c>
      <c r="J589" s="8" t="n">
        <f aca="false">IF(F589="Inteira CBTBE",D589,IF(OR(F589="Aberta",F589="Avulso"),H589,0))</f>
        <v>0</v>
      </c>
      <c r="K589" s="8" t="n">
        <f aca="false">D589-I589-J589</f>
        <v>20</v>
      </c>
    </row>
    <row r="590" customFormat="false" ht="15" hidden="false" customHeight="false" outlineLevel="0" collapsed="false">
      <c r="A590" s="8" t="s">
        <v>623</v>
      </c>
      <c r="B590" s="8" t="s">
        <v>624</v>
      </c>
      <c r="C590" s="8" t="s">
        <v>264</v>
      </c>
      <c r="D590" s="8" t="n">
        <v>16</v>
      </c>
      <c r="E590" s="8" t="n">
        <v>476065</v>
      </c>
      <c r="F590" s="11" t="str">
        <f aca="false">INDEX(Caixas!$C:$C,MATCH(C590,Caixas!$A:$A,0))</f>
        <v>Devolução fechada</v>
      </c>
      <c r="G590" s="9" t="n">
        <v>0</v>
      </c>
      <c r="H590" s="9" t="n">
        <v>0</v>
      </c>
      <c r="I590" s="8" t="n">
        <f aca="false">IF(F590="Inteira CBP",D590,IF(OR(F590="Aberta",F590="Avulso"),G590,0))</f>
        <v>0</v>
      </c>
      <c r="J590" s="8" t="n">
        <f aca="false">IF(F590="Inteira CBTBE",D590,IF(OR(F590="Aberta",F590="Avulso"),H590,0))</f>
        <v>0</v>
      </c>
      <c r="K590" s="8" t="n">
        <f aca="false">D590-I590-J590</f>
        <v>16</v>
      </c>
    </row>
    <row r="591" customFormat="false" ht="15" hidden="false" customHeight="false" outlineLevel="0" collapsed="false">
      <c r="A591" s="8" t="s">
        <v>611</v>
      </c>
      <c r="B591" s="8" t="s">
        <v>612</v>
      </c>
      <c r="C591" s="8" t="s">
        <v>265</v>
      </c>
      <c r="D591" s="8" t="n">
        <v>48</v>
      </c>
      <c r="E591" s="8" t="n">
        <v>476061</v>
      </c>
      <c r="F591" s="11" t="str">
        <f aca="false">INDEX(Caixas!$C:$C,MATCH(C591,Caixas!$A:$A,0))</f>
        <v>Devolução fechada</v>
      </c>
      <c r="G591" s="9" t="n">
        <v>0</v>
      </c>
      <c r="H591" s="9" t="n">
        <v>0</v>
      </c>
      <c r="I591" s="8" t="n">
        <f aca="false">IF(F591="Inteira CBP",D591,IF(OR(F591="Aberta",F591="Avulso"),G591,0))</f>
        <v>0</v>
      </c>
      <c r="J591" s="8" t="n">
        <f aca="false">IF(F591="Inteira CBTBE",D591,IF(OR(F591="Aberta",F591="Avulso"),H591,0))</f>
        <v>0</v>
      </c>
      <c r="K591" s="8" t="n">
        <f aca="false">D591-I591-J591</f>
        <v>48</v>
      </c>
    </row>
    <row r="592" customFormat="false" ht="15" hidden="false" customHeight="false" outlineLevel="0" collapsed="false">
      <c r="A592" s="8" t="s">
        <v>623</v>
      </c>
      <c r="B592" s="8" t="s">
        <v>624</v>
      </c>
      <c r="C592" s="8" t="s">
        <v>265</v>
      </c>
      <c r="D592" s="8" t="n">
        <v>16</v>
      </c>
      <c r="E592" s="8" t="n">
        <v>476065</v>
      </c>
      <c r="F592" s="11" t="str">
        <f aca="false">INDEX(Caixas!$C:$C,MATCH(C592,Caixas!$A:$A,0))</f>
        <v>Devolução fechada</v>
      </c>
      <c r="G592" s="9" t="n">
        <v>0</v>
      </c>
      <c r="H592" s="9" t="n">
        <v>0</v>
      </c>
      <c r="I592" s="8" t="n">
        <f aca="false">IF(F592="Inteira CBP",D592,IF(OR(F592="Aberta",F592="Avulso"),G592,0))</f>
        <v>0</v>
      </c>
      <c r="J592" s="8" t="n">
        <f aca="false">IF(F592="Inteira CBTBE",D592,IF(OR(F592="Aberta",F592="Avulso"),H592,0))</f>
        <v>0</v>
      </c>
      <c r="K592" s="8" t="n">
        <f aca="false">D592-I592-J592</f>
        <v>16</v>
      </c>
    </row>
    <row r="593" customFormat="false" ht="15" hidden="false" customHeight="false" outlineLevel="0" collapsed="false">
      <c r="A593" s="8" t="s">
        <v>621</v>
      </c>
      <c r="B593" s="8" t="s">
        <v>622</v>
      </c>
      <c r="C593" s="8" t="s">
        <v>266</v>
      </c>
      <c r="D593" s="8" t="n">
        <v>58</v>
      </c>
      <c r="E593" s="8" t="n">
        <v>476061</v>
      </c>
      <c r="F593" s="11" t="str">
        <f aca="false">INDEX(Caixas!$C:$C,MATCH(C593,Caixas!$A:$A,0))</f>
        <v>Devolução fechada</v>
      </c>
      <c r="G593" s="9" t="n">
        <v>0</v>
      </c>
      <c r="H593" s="9" t="n">
        <v>0</v>
      </c>
      <c r="I593" s="8" t="n">
        <f aca="false">IF(F593="Inteira CBP",D593,IF(OR(F593="Aberta",F593="Avulso"),G593,0))</f>
        <v>0</v>
      </c>
      <c r="J593" s="8" t="n">
        <f aca="false">IF(F593="Inteira CBTBE",D593,IF(OR(F593="Aberta",F593="Avulso"),H593,0))</f>
        <v>0</v>
      </c>
      <c r="K593" s="8" t="n">
        <f aca="false">D593-I593-J593</f>
        <v>58</v>
      </c>
    </row>
    <row r="594" customFormat="false" ht="15" hidden="false" customHeight="false" outlineLevel="0" collapsed="false">
      <c r="A594" s="8" t="s">
        <v>623</v>
      </c>
      <c r="B594" s="8" t="s">
        <v>624</v>
      </c>
      <c r="C594" s="8" t="s">
        <v>266</v>
      </c>
      <c r="D594" s="8" t="n">
        <v>16</v>
      </c>
      <c r="E594" s="8" t="n">
        <v>476065</v>
      </c>
      <c r="F594" s="11" t="str">
        <f aca="false">INDEX(Caixas!$C:$C,MATCH(C594,Caixas!$A:$A,0))</f>
        <v>Devolução fechada</v>
      </c>
      <c r="G594" s="9" t="n">
        <v>0</v>
      </c>
      <c r="H594" s="9" t="n">
        <v>0</v>
      </c>
      <c r="I594" s="8" t="n">
        <f aca="false">IF(F594="Inteira CBP",D594,IF(OR(F594="Aberta",F594="Avulso"),G594,0))</f>
        <v>0</v>
      </c>
      <c r="J594" s="8" t="n">
        <f aca="false">IF(F594="Inteira CBTBE",D594,IF(OR(F594="Aberta",F594="Avulso"),H594,0))</f>
        <v>0</v>
      </c>
      <c r="K594" s="8" t="n">
        <f aca="false">D594-I594-J594</f>
        <v>16</v>
      </c>
    </row>
    <row r="595" customFormat="false" ht="15" hidden="false" customHeight="false" outlineLevel="0" collapsed="false">
      <c r="A595" s="8" t="s">
        <v>613</v>
      </c>
      <c r="B595" s="8" t="s">
        <v>614</v>
      </c>
      <c r="C595" s="8" t="s">
        <v>267</v>
      </c>
      <c r="D595" s="8" t="n">
        <v>38</v>
      </c>
      <c r="E595" s="8" t="n">
        <v>476061</v>
      </c>
      <c r="F595" s="11" t="str">
        <f aca="false">INDEX(Caixas!$C:$C,MATCH(C595,Caixas!$A:$A,0))</f>
        <v>Inteira CBTBE</v>
      </c>
      <c r="G595" s="9" t="n">
        <v>0</v>
      </c>
      <c r="H595" s="9" t="n">
        <v>0</v>
      </c>
      <c r="I595" s="8" t="n">
        <f aca="false">IF(F595="Inteira CBP",D595,IF(OR(F595="Aberta",F595="Avulso"),G595,0))</f>
        <v>0</v>
      </c>
      <c r="J595" s="8" t="n">
        <f aca="false">IF(F595="Inteira CBTBE",D595,IF(OR(F595="Aberta",F595="Avulso"),H595,0))</f>
        <v>38</v>
      </c>
      <c r="K595" s="8" t="n">
        <f aca="false">D595-I595-J595</f>
        <v>0</v>
      </c>
    </row>
    <row r="596" customFormat="false" ht="15" hidden="false" customHeight="false" outlineLevel="0" collapsed="false">
      <c r="A596" s="8" t="s">
        <v>623</v>
      </c>
      <c r="B596" s="8" t="s">
        <v>624</v>
      </c>
      <c r="C596" s="8" t="s">
        <v>267</v>
      </c>
      <c r="D596" s="8" t="n">
        <v>16</v>
      </c>
      <c r="E596" s="8" t="n">
        <v>476065</v>
      </c>
      <c r="F596" s="11" t="str">
        <f aca="false">INDEX(Caixas!$C:$C,MATCH(C596,Caixas!$A:$A,0))</f>
        <v>Inteira CBTBE</v>
      </c>
      <c r="G596" s="9" t="n">
        <v>0</v>
      </c>
      <c r="H596" s="9" t="n">
        <v>0</v>
      </c>
      <c r="I596" s="8" t="n">
        <f aca="false">IF(F596="Inteira CBP",D596,IF(OR(F596="Aberta",F596="Avulso"),G596,0))</f>
        <v>0</v>
      </c>
      <c r="J596" s="8" t="n">
        <f aca="false">IF(F596="Inteira CBTBE",D596,IF(OR(F596="Aberta",F596="Avulso"),H596,0))</f>
        <v>16</v>
      </c>
      <c r="K596" s="8" t="n">
        <f aca="false">D596-I596-J596</f>
        <v>0</v>
      </c>
    </row>
    <row r="597" customFormat="false" ht="15" hidden="false" customHeight="false" outlineLevel="0" collapsed="false">
      <c r="A597" s="8" t="s">
        <v>613</v>
      </c>
      <c r="B597" s="8" t="s">
        <v>614</v>
      </c>
      <c r="C597" s="8" t="s">
        <v>268</v>
      </c>
      <c r="D597" s="8" t="n">
        <v>38</v>
      </c>
      <c r="E597" s="8" t="n">
        <v>476061</v>
      </c>
      <c r="F597" s="11" t="str">
        <f aca="false">INDEX(Caixas!$C:$C,MATCH(C597,Caixas!$A:$A,0))</f>
        <v>Devolução fechada</v>
      </c>
      <c r="G597" s="9" t="n">
        <v>0</v>
      </c>
      <c r="H597" s="9" t="n">
        <v>0</v>
      </c>
      <c r="I597" s="8" t="n">
        <f aca="false">IF(F597="Inteira CBP",D597,IF(OR(F597="Aberta",F597="Avulso"),G597,0))</f>
        <v>0</v>
      </c>
      <c r="J597" s="8" t="n">
        <f aca="false">IF(F597="Inteira CBTBE",D597,IF(OR(F597="Aberta",F597="Avulso"),H597,0))</f>
        <v>0</v>
      </c>
      <c r="K597" s="8" t="n">
        <f aca="false">D597-I597-J597</f>
        <v>38</v>
      </c>
    </row>
    <row r="598" customFormat="false" ht="15" hidden="false" customHeight="false" outlineLevel="0" collapsed="false">
      <c r="A598" s="8" t="s">
        <v>623</v>
      </c>
      <c r="B598" s="8" t="s">
        <v>624</v>
      </c>
      <c r="C598" s="8" t="s">
        <v>268</v>
      </c>
      <c r="D598" s="8" t="n">
        <v>16</v>
      </c>
      <c r="E598" s="8" t="n">
        <v>476065</v>
      </c>
      <c r="F598" s="11" t="str">
        <f aca="false">INDEX(Caixas!$C:$C,MATCH(C598,Caixas!$A:$A,0))</f>
        <v>Devolução fechada</v>
      </c>
      <c r="G598" s="9" t="n">
        <v>0</v>
      </c>
      <c r="H598" s="9" t="n">
        <v>0</v>
      </c>
      <c r="I598" s="8" t="n">
        <f aca="false">IF(F598="Inteira CBP",D598,IF(OR(F598="Aberta",F598="Avulso"),G598,0))</f>
        <v>0</v>
      </c>
      <c r="J598" s="8" t="n">
        <f aca="false">IF(F598="Inteira CBTBE",D598,IF(OR(F598="Aberta",F598="Avulso"),H598,0))</f>
        <v>0</v>
      </c>
      <c r="K598" s="8" t="n">
        <f aca="false">D598-I598-J598</f>
        <v>16</v>
      </c>
    </row>
    <row r="599" customFormat="false" ht="15" hidden="false" customHeight="false" outlineLevel="0" collapsed="false">
      <c r="A599" s="8" t="s">
        <v>627</v>
      </c>
      <c r="B599" s="8" t="s">
        <v>628</v>
      </c>
      <c r="C599" s="8" t="s">
        <v>269</v>
      </c>
      <c r="D599" s="8" t="n">
        <v>24</v>
      </c>
      <c r="E599" s="8" t="n">
        <v>476061</v>
      </c>
      <c r="F599" s="11" t="str">
        <f aca="false">INDEX(Caixas!$C:$C,MATCH(C599,Caixas!$A:$A,0))</f>
        <v>Inteira CBP</v>
      </c>
      <c r="G599" s="9" t="n">
        <v>0</v>
      </c>
      <c r="H599" s="9" t="n">
        <v>0</v>
      </c>
      <c r="I599" s="8" t="n">
        <f aca="false">IF(F599="Inteira CBP",D599,IF(OR(F599="Aberta",F599="Avulso"),G599,0))</f>
        <v>24</v>
      </c>
      <c r="J599" s="8" t="n">
        <f aca="false">IF(F599="Inteira CBTBE",D599,IF(OR(F599="Aberta",F599="Avulso"),H599,0))</f>
        <v>0</v>
      </c>
      <c r="K599" s="8" t="n">
        <f aca="false">D599-I599-J599</f>
        <v>0</v>
      </c>
    </row>
    <row r="600" customFormat="false" ht="15" hidden="false" customHeight="false" outlineLevel="0" collapsed="false">
      <c r="A600" s="8" t="s">
        <v>623</v>
      </c>
      <c r="B600" s="8" t="s">
        <v>624</v>
      </c>
      <c r="C600" s="8" t="s">
        <v>269</v>
      </c>
      <c r="D600" s="8" t="n">
        <v>16</v>
      </c>
      <c r="E600" s="8" t="n">
        <v>476065</v>
      </c>
      <c r="F600" s="11" t="str">
        <f aca="false">INDEX(Caixas!$C:$C,MATCH(C600,Caixas!$A:$A,0))</f>
        <v>Inteira CBP</v>
      </c>
      <c r="G600" s="9" t="n">
        <v>0</v>
      </c>
      <c r="H600" s="9" t="n">
        <v>0</v>
      </c>
      <c r="I600" s="8" t="n">
        <f aca="false">IF(F600="Inteira CBP",D600,IF(OR(F600="Aberta",F600="Avulso"),G600,0))</f>
        <v>16</v>
      </c>
      <c r="J600" s="8" t="n">
        <f aca="false">IF(F600="Inteira CBTBE",D600,IF(OR(F600="Aberta",F600="Avulso"),H600,0))</f>
        <v>0</v>
      </c>
      <c r="K600" s="8" t="n">
        <f aca="false">D600-I600-J600</f>
        <v>0</v>
      </c>
    </row>
    <row r="601" customFormat="false" ht="15" hidden="false" customHeight="false" outlineLevel="0" collapsed="false">
      <c r="A601" s="8" t="s">
        <v>629</v>
      </c>
      <c r="B601" s="8" t="s">
        <v>630</v>
      </c>
      <c r="C601" s="8" t="s">
        <v>270</v>
      </c>
      <c r="D601" s="8" t="n">
        <v>37</v>
      </c>
      <c r="E601" s="8" t="n">
        <v>476043</v>
      </c>
      <c r="F601" s="11" t="str">
        <f aca="false">INDEX(Caixas!$C:$C,MATCH(C601,Caixas!$A:$A,0))</f>
        <v>Aberta</v>
      </c>
      <c r="G601" s="9" t="n">
        <v>11</v>
      </c>
      <c r="H601" s="9" t="n">
        <v>0</v>
      </c>
      <c r="I601" s="8" t="n">
        <f aca="false">IF(F601="Inteira CBP",D601,IF(OR(F601="Aberta",F601="Avulso"),G601,0))</f>
        <v>11</v>
      </c>
      <c r="J601" s="8" t="n">
        <f aca="false">IF(F601="Inteira CBTBE",D601,IF(OR(F601="Aberta",F601="Avulso"),H601,0))</f>
        <v>0</v>
      </c>
      <c r="K601" s="8" t="n">
        <f aca="false">D601-I601-J601</f>
        <v>26</v>
      </c>
    </row>
    <row r="602" customFormat="false" ht="15" hidden="false" customHeight="false" outlineLevel="0" collapsed="false">
      <c r="A602" s="8" t="s">
        <v>627</v>
      </c>
      <c r="B602" s="8" t="s">
        <v>628</v>
      </c>
      <c r="C602" s="8" t="s">
        <v>270</v>
      </c>
      <c r="D602" s="8" t="n">
        <v>24</v>
      </c>
      <c r="E602" s="8" t="n">
        <v>476061</v>
      </c>
      <c r="F602" s="11" t="str">
        <f aca="false">INDEX(Caixas!$C:$C,MATCH(C602,Caixas!$A:$A,0))</f>
        <v>Aberta</v>
      </c>
      <c r="G602" s="9" t="n">
        <v>4</v>
      </c>
      <c r="H602" s="9" t="n">
        <v>20</v>
      </c>
      <c r="I602" s="8" t="n">
        <f aca="false">IF(F602="Inteira CBP",D602,IF(OR(F602="Aberta",F602="Avulso"),G602,0))</f>
        <v>4</v>
      </c>
      <c r="J602" s="8" t="n">
        <f aca="false">IF(F602="Inteira CBTBE",D602,IF(OR(F602="Aberta",F602="Avulso"),H602,0))</f>
        <v>20</v>
      </c>
      <c r="K602" s="8" t="n">
        <f aca="false">D602-I602-J602</f>
        <v>0</v>
      </c>
    </row>
    <row r="603" customFormat="false" ht="15" hidden="false" customHeight="false" outlineLevel="0" collapsed="false">
      <c r="A603" s="8" t="s">
        <v>623</v>
      </c>
      <c r="B603" s="8" t="s">
        <v>624</v>
      </c>
      <c r="C603" s="8" t="s">
        <v>270</v>
      </c>
      <c r="D603" s="8" t="n">
        <v>16</v>
      </c>
      <c r="E603" s="8" t="n">
        <v>476065</v>
      </c>
      <c r="F603" s="11" t="str">
        <f aca="false">INDEX(Caixas!$C:$C,MATCH(C603,Caixas!$A:$A,0))</f>
        <v>Aberta</v>
      </c>
      <c r="G603" s="9" t="n">
        <v>0</v>
      </c>
      <c r="H603" s="9" t="n">
        <v>0</v>
      </c>
      <c r="I603" s="8" t="n">
        <f aca="false">IF(F603="Inteira CBP",D603,IF(OR(F603="Aberta",F603="Avulso"),G603,0))</f>
        <v>0</v>
      </c>
      <c r="J603" s="8" t="n">
        <f aca="false">IF(F603="Inteira CBTBE",D603,IF(OR(F603="Aberta",F603="Avulso"),H603,0))</f>
        <v>0</v>
      </c>
      <c r="K603" s="8" t="n">
        <f aca="false">D603-I603-J603</f>
        <v>16</v>
      </c>
    </row>
    <row r="604" customFormat="false" ht="15" hidden="false" customHeight="false" outlineLevel="0" collapsed="false">
      <c r="A604" s="8" t="s">
        <v>629</v>
      </c>
      <c r="B604" s="8" t="s">
        <v>630</v>
      </c>
      <c r="C604" s="8" t="s">
        <v>271</v>
      </c>
      <c r="D604" s="8" t="n">
        <v>37</v>
      </c>
      <c r="E604" s="8" t="n">
        <v>476043</v>
      </c>
      <c r="F604" s="11" t="str">
        <f aca="false">INDEX(Caixas!$C:$C,MATCH(C604,Caixas!$A:$A,0))</f>
        <v>Inteira CBP</v>
      </c>
      <c r="G604" s="9" t="n">
        <v>0</v>
      </c>
      <c r="H604" s="9" t="n">
        <v>0</v>
      </c>
      <c r="I604" s="8" t="n">
        <f aca="false">IF(F604="Inteira CBP",D604,IF(OR(F604="Aberta",F604="Avulso"),G604,0))</f>
        <v>37</v>
      </c>
      <c r="J604" s="8" t="n">
        <f aca="false">IF(F604="Inteira CBTBE",D604,IF(OR(F604="Aberta",F604="Avulso"),H604,0))</f>
        <v>0</v>
      </c>
      <c r="K604" s="8" t="n">
        <f aca="false">D604-I604-J604</f>
        <v>0</v>
      </c>
    </row>
    <row r="605" customFormat="false" ht="15" hidden="false" customHeight="false" outlineLevel="0" collapsed="false">
      <c r="A605" s="8" t="s">
        <v>615</v>
      </c>
      <c r="B605" s="8" t="s">
        <v>616</v>
      </c>
      <c r="C605" s="8" t="s">
        <v>271</v>
      </c>
      <c r="D605" s="8" t="n">
        <v>16</v>
      </c>
      <c r="E605" s="8" t="n">
        <v>476061</v>
      </c>
      <c r="F605" s="11" t="str">
        <f aca="false">INDEX(Caixas!$C:$C,MATCH(C605,Caixas!$A:$A,0))</f>
        <v>Inteira CBP</v>
      </c>
      <c r="G605" s="9" t="n">
        <v>0</v>
      </c>
      <c r="H605" s="9" t="n">
        <v>0</v>
      </c>
      <c r="I605" s="8" t="n">
        <f aca="false">IF(F605="Inteira CBP",D605,IF(OR(F605="Aberta",F605="Avulso"),G605,0))</f>
        <v>16</v>
      </c>
      <c r="J605" s="8" t="n">
        <f aca="false">IF(F605="Inteira CBTBE",D605,IF(OR(F605="Aberta",F605="Avulso"),H605,0))</f>
        <v>0</v>
      </c>
      <c r="K605" s="8" t="n">
        <f aca="false">D605-I605-J605</f>
        <v>0</v>
      </c>
    </row>
    <row r="606" customFormat="false" ht="15" hidden="false" customHeight="false" outlineLevel="0" collapsed="false">
      <c r="A606" s="8" t="s">
        <v>623</v>
      </c>
      <c r="B606" s="8" t="s">
        <v>624</v>
      </c>
      <c r="C606" s="8" t="s">
        <v>271</v>
      </c>
      <c r="D606" s="8" t="n">
        <v>16</v>
      </c>
      <c r="E606" s="8" t="n">
        <v>476065</v>
      </c>
      <c r="F606" s="11" t="str">
        <f aca="false">INDEX(Caixas!$C:$C,MATCH(C606,Caixas!$A:$A,0))</f>
        <v>Inteira CBP</v>
      </c>
      <c r="G606" s="9" t="n">
        <v>0</v>
      </c>
      <c r="H606" s="9" t="n">
        <v>0</v>
      </c>
      <c r="I606" s="8" t="n">
        <f aca="false">IF(F606="Inteira CBP",D606,IF(OR(F606="Aberta",F606="Avulso"),G606,0))</f>
        <v>16</v>
      </c>
      <c r="J606" s="8" t="n">
        <f aca="false">IF(F606="Inteira CBTBE",D606,IF(OR(F606="Aberta",F606="Avulso"),H606,0))</f>
        <v>0</v>
      </c>
      <c r="K606" s="8" t="n">
        <f aca="false">D606-I606-J606</f>
        <v>0</v>
      </c>
    </row>
    <row r="607" customFormat="false" ht="15" hidden="false" customHeight="false" outlineLevel="0" collapsed="false">
      <c r="A607" s="8" t="s">
        <v>631</v>
      </c>
      <c r="B607" s="8" t="s">
        <v>632</v>
      </c>
      <c r="C607" s="8" t="s">
        <v>272</v>
      </c>
      <c r="D607" s="8" t="n">
        <v>36</v>
      </c>
      <c r="E607" s="8" t="n">
        <v>476043</v>
      </c>
      <c r="F607" s="11" t="str">
        <f aca="false">INDEX(Caixas!$C:$C,MATCH(C607,Caixas!$A:$A,0))</f>
        <v>Devolução fechada</v>
      </c>
      <c r="G607" s="9" t="n">
        <v>0</v>
      </c>
      <c r="H607" s="9" t="n">
        <v>0</v>
      </c>
      <c r="I607" s="8" t="n">
        <f aca="false">IF(F607="Inteira CBP",D607,IF(OR(F607="Aberta",F607="Avulso"),G607,0))</f>
        <v>0</v>
      </c>
      <c r="J607" s="8" t="n">
        <f aca="false">IF(F607="Inteira CBTBE",D607,IF(OR(F607="Aberta",F607="Avulso"),H607,0))</f>
        <v>0</v>
      </c>
      <c r="K607" s="8" t="n">
        <f aca="false">D607-I607-J607</f>
        <v>36</v>
      </c>
    </row>
    <row r="608" customFormat="false" ht="15" hidden="false" customHeight="false" outlineLevel="0" collapsed="false">
      <c r="A608" s="8" t="s">
        <v>625</v>
      </c>
      <c r="B608" s="8" t="s">
        <v>626</v>
      </c>
      <c r="C608" s="8" t="s">
        <v>272</v>
      </c>
      <c r="D608" s="8" t="n">
        <v>20</v>
      </c>
      <c r="E608" s="8" t="n">
        <v>476061</v>
      </c>
      <c r="F608" s="11" t="str">
        <f aca="false">INDEX(Caixas!$C:$C,MATCH(C608,Caixas!$A:$A,0))</f>
        <v>Devolução fechada</v>
      </c>
      <c r="G608" s="9" t="n">
        <v>0</v>
      </c>
      <c r="H608" s="9" t="n">
        <v>0</v>
      </c>
      <c r="I608" s="8" t="n">
        <f aca="false">IF(F608="Inteira CBP",D608,IF(OR(F608="Aberta",F608="Avulso"),G608,0))</f>
        <v>0</v>
      </c>
      <c r="J608" s="8" t="n">
        <f aca="false">IF(F608="Inteira CBTBE",D608,IF(OR(F608="Aberta",F608="Avulso"),H608,0))</f>
        <v>0</v>
      </c>
      <c r="K608" s="8" t="n">
        <f aca="false">D608-I608-J608</f>
        <v>20</v>
      </c>
    </row>
    <row r="609" customFormat="false" ht="15" hidden="false" customHeight="false" outlineLevel="0" collapsed="false">
      <c r="A609" s="8" t="s">
        <v>623</v>
      </c>
      <c r="B609" s="8" t="s">
        <v>624</v>
      </c>
      <c r="C609" s="8" t="s">
        <v>272</v>
      </c>
      <c r="D609" s="8" t="n">
        <v>16</v>
      </c>
      <c r="E609" s="8" t="n">
        <v>476065</v>
      </c>
      <c r="F609" s="11" t="str">
        <f aca="false">INDEX(Caixas!$C:$C,MATCH(C609,Caixas!$A:$A,0))</f>
        <v>Devolução fechada</v>
      </c>
      <c r="G609" s="9" t="n">
        <v>0</v>
      </c>
      <c r="H609" s="9" t="n">
        <v>0</v>
      </c>
      <c r="I609" s="8" t="n">
        <f aca="false">IF(F609="Inteira CBP",D609,IF(OR(F609="Aberta",F609="Avulso"),G609,0))</f>
        <v>0</v>
      </c>
      <c r="J609" s="8" t="n">
        <f aca="false">IF(F609="Inteira CBTBE",D609,IF(OR(F609="Aberta",F609="Avulso"),H609,0))</f>
        <v>0</v>
      </c>
      <c r="K609" s="8" t="n">
        <f aca="false">D609-I609-J609</f>
        <v>16</v>
      </c>
    </row>
    <row r="610" customFormat="false" ht="15" hidden="false" customHeight="false" outlineLevel="0" collapsed="false">
      <c r="A610" s="8" t="s">
        <v>603</v>
      </c>
      <c r="B610" s="8" t="s">
        <v>604</v>
      </c>
      <c r="C610" s="8" t="s">
        <v>273</v>
      </c>
      <c r="D610" s="8" t="n">
        <v>66</v>
      </c>
      <c r="E610" s="8" t="n">
        <v>476043</v>
      </c>
      <c r="F610" s="11" t="str">
        <f aca="false">INDEX(Caixas!$C:$C,MATCH(C610,Caixas!$A:$A,0))</f>
        <v>Aberta</v>
      </c>
      <c r="G610" s="9" t="n">
        <v>0</v>
      </c>
      <c r="H610" s="9" t="n">
        <v>66</v>
      </c>
      <c r="I610" s="8" t="n">
        <f aca="false">IF(F610="Inteira CBP",D610,IF(OR(F610="Aberta",F610="Avulso"),G610,0))</f>
        <v>0</v>
      </c>
      <c r="J610" s="8" t="n">
        <f aca="false">IF(F610="Inteira CBTBE",D610,IF(OR(F610="Aberta",F610="Avulso"),H610,0))</f>
        <v>66</v>
      </c>
      <c r="K610" s="8" t="n">
        <f aca="false">D610-I610-J610</f>
        <v>0</v>
      </c>
    </row>
    <row r="611" customFormat="false" ht="15" hidden="false" customHeight="false" outlineLevel="0" collapsed="false">
      <c r="A611" s="8" t="s">
        <v>633</v>
      </c>
      <c r="B611" s="8" t="s">
        <v>634</v>
      </c>
      <c r="C611" s="8" t="s">
        <v>273</v>
      </c>
      <c r="D611" s="8" t="n">
        <v>20</v>
      </c>
      <c r="E611" s="8" t="n">
        <v>476065</v>
      </c>
      <c r="F611" s="11" t="str">
        <f aca="false">INDEX(Caixas!$C:$C,MATCH(C611,Caixas!$A:$A,0))</f>
        <v>Aberta</v>
      </c>
      <c r="G611" s="9" t="n">
        <v>0</v>
      </c>
      <c r="H611" s="9" t="n">
        <v>0</v>
      </c>
      <c r="I611" s="8" t="n">
        <f aca="false">IF(F611="Inteira CBP",D611,IF(OR(F611="Aberta",F611="Avulso"),G611,0))</f>
        <v>0</v>
      </c>
      <c r="J611" s="8" t="n">
        <f aca="false">IF(F611="Inteira CBTBE",D611,IF(OR(F611="Aberta",F611="Avulso"),H611,0))</f>
        <v>0</v>
      </c>
      <c r="K611" s="8" t="n">
        <f aca="false">D611-I611-J611</f>
        <v>20</v>
      </c>
    </row>
    <row r="612" customFormat="false" ht="15" hidden="false" customHeight="false" outlineLevel="0" collapsed="false">
      <c r="A612" s="8" t="s">
        <v>615</v>
      </c>
      <c r="B612" s="8" t="s">
        <v>616</v>
      </c>
      <c r="C612" s="8" t="s">
        <v>273</v>
      </c>
      <c r="D612" s="8" t="n">
        <v>16</v>
      </c>
      <c r="E612" s="8" t="n">
        <v>476061</v>
      </c>
      <c r="F612" s="11" t="str">
        <f aca="false">INDEX(Caixas!$C:$C,MATCH(C612,Caixas!$A:$A,0))</f>
        <v>Aberta</v>
      </c>
      <c r="G612" s="9" t="n">
        <v>3</v>
      </c>
      <c r="H612" s="9" t="n">
        <v>10</v>
      </c>
      <c r="I612" s="8" t="n">
        <f aca="false">IF(F612="Inteira CBP",D612,IF(OR(F612="Aberta",F612="Avulso"),G612,0))</f>
        <v>3</v>
      </c>
      <c r="J612" s="8" t="n">
        <f aca="false">IF(F612="Inteira CBTBE",D612,IF(OR(F612="Aberta",F612="Avulso"),H612,0))</f>
        <v>10</v>
      </c>
      <c r="K612" s="8" t="n">
        <f aca="false">D612-I612-J612</f>
        <v>3</v>
      </c>
    </row>
    <row r="613" customFormat="false" ht="15" hidden="false" customHeight="false" outlineLevel="0" collapsed="false">
      <c r="A613" s="8" t="s">
        <v>633</v>
      </c>
      <c r="B613" s="8" t="s">
        <v>634</v>
      </c>
      <c r="C613" s="8" t="s">
        <v>274</v>
      </c>
      <c r="D613" s="8" t="n">
        <v>20</v>
      </c>
      <c r="E613" s="8" t="n">
        <v>476065</v>
      </c>
      <c r="F613" s="11" t="str">
        <f aca="false">INDEX(Caixas!$C:$C,MATCH(C613,Caixas!$A:$A,0))</f>
        <v>Inteira CBP</v>
      </c>
      <c r="G613" s="9" t="n">
        <v>0</v>
      </c>
      <c r="H613" s="9" t="n">
        <v>0</v>
      </c>
      <c r="I613" s="8" t="n">
        <f aca="false">IF(F613="Inteira CBP",D613,IF(OR(F613="Aberta",F613="Avulso"),G613,0))</f>
        <v>20</v>
      </c>
      <c r="J613" s="8" t="n">
        <f aca="false">IF(F613="Inteira CBTBE",D613,IF(OR(F613="Aberta",F613="Avulso"),H613,0))</f>
        <v>0</v>
      </c>
      <c r="K613" s="8" t="n">
        <f aca="false">D613-I613-J613</f>
        <v>0</v>
      </c>
    </row>
    <row r="614" customFormat="false" ht="15" hidden="false" customHeight="false" outlineLevel="0" collapsed="false">
      <c r="A614" s="8" t="s">
        <v>615</v>
      </c>
      <c r="B614" s="8" t="s">
        <v>616</v>
      </c>
      <c r="C614" s="8" t="s">
        <v>274</v>
      </c>
      <c r="D614" s="8" t="n">
        <v>16</v>
      </c>
      <c r="E614" s="8" t="n">
        <v>476061</v>
      </c>
      <c r="F614" s="11" t="str">
        <f aca="false">INDEX(Caixas!$C:$C,MATCH(C614,Caixas!$A:$A,0))</f>
        <v>Inteira CBP</v>
      </c>
      <c r="G614" s="9" t="n">
        <v>0</v>
      </c>
      <c r="H614" s="9" t="n">
        <v>0</v>
      </c>
      <c r="I614" s="8" t="n">
        <f aca="false">IF(F614="Inteira CBP",D614,IF(OR(F614="Aberta",F614="Avulso"),G614,0))</f>
        <v>16</v>
      </c>
      <c r="J614" s="8" t="n">
        <f aca="false">IF(F614="Inteira CBTBE",D614,IF(OR(F614="Aberta",F614="Avulso"),H614,0))</f>
        <v>0</v>
      </c>
      <c r="K614" s="8" t="n">
        <f aca="false">D614-I614-J614</f>
        <v>0</v>
      </c>
    </row>
    <row r="615" customFormat="false" ht="15" hidden="false" customHeight="false" outlineLevel="0" collapsed="false">
      <c r="A615" s="8" t="s">
        <v>605</v>
      </c>
      <c r="B615" s="8" t="s">
        <v>606</v>
      </c>
      <c r="C615" s="8" t="s">
        <v>274</v>
      </c>
      <c r="D615" s="8" t="n">
        <v>7</v>
      </c>
      <c r="E615" s="8" t="n">
        <v>476043</v>
      </c>
      <c r="F615" s="11" t="str">
        <f aca="false">INDEX(Caixas!$C:$C,MATCH(C615,Caixas!$A:$A,0))</f>
        <v>Inteira CBP</v>
      </c>
      <c r="G615" s="9" t="n">
        <v>0</v>
      </c>
      <c r="H615" s="9" t="n">
        <v>0</v>
      </c>
      <c r="I615" s="8" t="n">
        <f aca="false">IF(F615="Inteira CBP",D615,IF(OR(F615="Aberta",F615="Avulso"),G615,0))</f>
        <v>7</v>
      </c>
      <c r="J615" s="8" t="n">
        <f aca="false">IF(F615="Inteira CBTBE",D615,IF(OR(F615="Aberta",F615="Avulso"),H615,0))</f>
        <v>0</v>
      </c>
      <c r="K615" s="8" t="n">
        <f aca="false">D615-I615-J615</f>
        <v>0</v>
      </c>
    </row>
    <row r="616" customFormat="false" ht="15" hidden="false" customHeight="false" outlineLevel="0" collapsed="false">
      <c r="A616" s="8" t="s">
        <v>633</v>
      </c>
      <c r="B616" s="8" t="s">
        <v>634</v>
      </c>
      <c r="C616" s="8" t="s">
        <v>275</v>
      </c>
      <c r="D616" s="8" t="n">
        <v>20</v>
      </c>
      <c r="E616" s="8" t="n">
        <v>476065</v>
      </c>
      <c r="F616" s="11" t="str">
        <f aca="false">INDEX(Caixas!$C:$C,MATCH(C616,Caixas!$A:$A,0))</f>
        <v>Aberta</v>
      </c>
      <c r="G616" s="9" t="n">
        <v>0</v>
      </c>
      <c r="H616" s="9" t="n">
        <v>0</v>
      </c>
      <c r="I616" s="8" t="n">
        <f aca="false">IF(F616="Inteira CBP",D616,IF(OR(F616="Aberta",F616="Avulso"),G616,0))</f>
        <v>0</v>
      </c>
      <c r="J616" s="8" t="n">
        <f aca="false">IF(F616="Inteira CBTBE",D616,IF(OR(F616="Aberta",F616="Avulso"),H616,0))</f>
        <v>0</v>
      </c>
      <c r="K616" s="8" t="n">
        <f aca="false">D616-I616-J616</f>
        <v>20</v>
      </c>
    </row>
    <row r="617" customFormat="false" ht="15" hidden="false" customHeight="false" outlineLevel="0" collapsed="false">
      <c r="A617" s="8" t="s">
        <v>615</v>
      </c>
      <c r="B617" s="8" t="s">
        <v>616</v>
      </c>
      <c r="C617" s="8" t="s">
        <v>275</v>
      </c>
      <c r="D617" s="8" t="n">
        <v>16</v>
      </c>
      <c r="E617" s="8" t="n">
        <v>476061</v>
      </c>
      <c r="F617" s="11" t="str">
        <f aca="false">INDEX(Caixas!$C:$C,MATCH(C617,Caixas!$A:$A,0))</f>
        <v>Aberta</v>
      </c>
      <c r="G617" s="9" t="n">
        <v>0</v>
      </c>
      <c r="H617" s="9" t="n">
        <v>16</v>
      </c>
      <c r="I617" s="8" t="n">
        <f aca="false">IF(F617="Inteira CBP",D617,IF(OR(F617="Aberta",F617="Avulso"),G617,0))</f>
        <v>0</v>
      </c>
      <c r="J617" s="8" t="n">
        <f aca="false">IF(F617="Inteira CBTBE",D617,IF(OR(F617="Aberta",F617="Avulso"),H617,0))</f>
        <v>16</v>
      </c>
      <c r="K617" s="8" t="n">
        <f aca="false">D617-I617-J617</f>
        <v>0</v>
      </c>
    </row>
    <row r="618" customFormat="false" ht="15" hidden="false" customHeight="false" outlineLevel="0" collapsed="false">
      <c r="A618" s="8" t="s">
        <v>605</v>
      </c>
      <c r="B618" s="8" t="s">
        <v>606</v>
      </c>
      <c r="C618" s="8" t="s">
        <v>275</v>
      </c>
      <c r="D618" s="8" t="n">
        <v>7</v>
      </c>
      <c r="E618" s="8" t="n">
        <v>476043</v>
      </c>
      <c r="F618" s="11" t="str">
        <f aca="false">INDEX(Caixas!$C:$C,MATCH(C618,Caixas!$A:$A,0))</f>
        <v>Aberta</v>
      </c>
      <c r="G618" s="9" t="n">
        <v>0</v>
      </c>
      <c r="H618" s="9" t="n">
        <v>0</v>
      </c>
      <c r="I618" s="8" t="n">
        <f aca="false">IF(F618="Inteira CBP",D618,IF(OR(F618="Aberta",F618="Avulso"),G618,0))</f>
        <v>0</v>
      </c>
      <c r="J618" s="8" t="n">
        <f aca="false">IF(F618="Inteira CBTBE",D618,IF(OR(F618="Aberta",F618="Avulso"),H618,0))</f>
        <v>0</v>
      </c>
      <c r="K618" s="8" t="n">
        <f aca="false">D618-I618-J618</f>
        <v>7</v>
      </c>
    </row>
    <row r="619" customFormat="false" ht="15" hidden="false" customHeight="false" outlineLevel="0" collapsed="false">
      <c r="A619" s="8" t="s">
        <v>625</v>
      </c>
      <c r="B619" s="8" t="s">
        <v>626</v>
      </c>
      <c r="C619" s="8" t="s">
        <v>276</v>
      </c>
      <c r="D619" s="8" t="n">
        <v>20</v>
      </c>
      <c r="E619" s="8" t="n">
        <v>476061</v>
      </c>
      <c r="F619" s="11" t="str">
        <f aca="false">INDEX(Caixas!$C:$C,MATCH(C619,Caixas!$A:$A,0))</f>
        <v>Inteira CBTBE</v>
      </c>
      <c r="G619" s="9" t="n">
        <v>0</v>
      </c>
      <c r="H619" s="9" t="n">
        <v>0</v>
      </c>
      <c r="I619" s="8" t="n">
        <f aca="false">IF(F619="Inteira CBP",D619,IF(OR(F619="Aberta",F619="Avulso"),G619,0))</f>
        <v>0</v>
      </c>
      <c r="J619" s="8" t="n">
        <f aca="false">IF(F619="Inteira CBTBE",D619,IF(OR(F619="Aberta",F619="Avulso"),H619,0))</f>
        <v>20</v>
      </c>
      <c r="K619" s="8" t="n">
        <f aca="false">D619-I619-J619</f>
        <v>0</v>
      </c>
    </row>
    <row r="620" customFormat="false" ht="15" hidden="false" customHeight="false" outlineLevel="0" collapsed="false">
      <c r="A620" s="8" t="s">
        <v>633</v>
      </c>
      <c r="B620" s="8" t="s">
        <v>634</v>
      </c>
      <c r="C620" s="8" t="s">
        <v>276</v>
      </c>
      <c r="D620" s="8" t="n">
        <v>20</v>
      </c>
      <c r="E620" s="8" t="n">
        <v>476065</v>
      </c>
      <c r="F620" s="11" t="str">
        <f aca="false">INDEX(Caixas!$C:$C,MATCH(C620,Caixas!$A:$A,0))</f>
        <v>Inteira CBTBE</v>
      </c>
      <c r="G620" s="9" t="n">
        <v>0</v>
      </c>
      <c r="H620" s="9" t="n">
        <v>0</v>
      </c>
      <c r="I620" s="8" t="n">
        <f aca="false">IF(F620="Inteira CBP",D620,IF(OR(F620="Aberta",F620="Avulso"),G620,0))</f>
        <v>0</v>
      </c>
      <c r="J620" s="8" t="n">
        <f aca="false">IF(F620="Inteira CBTBE",D620,IF(OR(F620="Aberta",F620="Avulso"),H620,0))</f>
        <v>20</v>
      </c>
      <c r="K620" s="8" t="n">
        <f aca="false">D620-I620-J620</f>
        <v>0</v>
      </c>
    </row>
    <row r="621" customFormat="false" ht="15" hidden="false" customHeight="false" outlineLevel="0" collapsed="false">
      <c r="A621" s="8" t="s">
        <v>605</v>
      </c>
      <c r="B621" s="8" t="s">
        <v>606</v>
      </c>
      <c r="C621" s="8" t="s">
        <v>276</v>
      </c>
      <c r="D621" s="8" t="n">
        <v>7</v>
      </c>
      <c r="E621" s="8" t="n">
        <v>476043</v>
      </c>
      <c r="F621" s="11" t="str">
        <f aca="false">INDEX(Caixas!$C:$C,MATCH(C621,Caixas!$A:$A,0))</f>
        <v>Inteira CBTBE</v>
      </c>
      <c r="G621" s="9" t="n">
        <v>0</v>
      </c>
      <c r="H621" s="9" t="n">
        <v>0</v>
      </c>
      <c r="I621" s="8" t="n">
        <f aca="false">IF(F621="Inteira CBP",D621,IF(OR(F621="Aberta",F621="Avulso"),G621,0))</f>
        <v>0</v>
      </c>
      <c r="J621" s="8" t="n">
        <f aca="false">IF(F621="Inteira CBTBE",D621,IF(OR(F621="Aberta",F621="Avulso"),H621,0))</f>
        <v>7</v>
      </c>
      <c r="K621" s="8" t="n">
        <f aca="false">D621-I621-J621</f>
        <v>0</v>
      </c>
    </row>
    <row r="622" customFormat="false" ht="15" hidden="false" customHeight="false" outlineLevel="0" collapsed="false">
      <c r="A622" s="8" t="s">
        <v>625</v>
      </c>
      <c r="B622" s="8" t="s">
        <v>626</v>
      </c>
      <c r="C622" s="8" t="s">
        <v>277</v>
      </c>
      <c r="D622" s="8" t="n">
        <v>20</v>
      </c>
      <c r="E622" s="8" t="n">
        <v>476061</v>
      </c>
      <c r="F622" s="11" t="str">
        <f aca="false">INDEX(Caixas!$C:$C,MATCH(C622,Caixas!$A:$A,0))</f>
        <v>Devolução fechada</v>
      </c>
      <c r="G622" s="9" t="n">
        <v>0</v>
      </c>
      <c r="H622" s="9" t="n">
        <v>0</v>
      </c>
      <c r="I622" s="8" t="n">
        <f aca="false">IF(F622="Inteira CBP",D622,IF(OR(F622="Aberta",F622="Avulso"),G622,0))</f>
        <v>0</v>
      </c>
      <c r="J622" s="8" t="n">
        <f aca="false">IF(F622="Inteira CBTBE",D622,IF(OR(F622="Aberta",F622="Avulso"),H622,0))</f>
        <v>0</v>
      </c>
      <c r="K622" s="8" t="n">
        <f aca="false">D622-I622-J622</f>
        <v>20</v>
      </c>
    </row>
    <row r="623" customFormat="false" ht="15" hidden="false" customHeight="false" outlineLevel="0" collapsed="false">
      <c r="A623" s="8" t="s">
        <v>633</v>
      </c>
      <c r="B623" s="8" t="s">
        <v>634</v>
      </c>
      <c r="C623" s="8" t="s">
        <v>277</v>
      </c>
      <c r="D623" s="8" t="n">
        <v>20</v>
      </c>
      <c r="E623" s="8" t="n">
        <v>476065</v>
      </c>
      <c r="F623" s="11" t="str">
        <f aca="false">INDEX(Caixas!$C:$C,MATCH(C623,Caixas!$A:$A,0))</f>
        <v>Devolução fechada</v>
      </c>
      <c r="G623" s="9" t="n">
        <v>0</v>
      </c>
      <c r="H623" s="9" t="n">
        <v>0</v>
      </c>
      <c r="I623" s="8" t="n">
        <f aca="false">IF(F623="Inteira CBP",D623,IF(OR(F623="Aberta",F623="Avulso"),G623,0))</f>
        <v>0</v>
      </c>
      <c r="J623" s="8" t="n">
        <f aca="false">IF(F623="Inteira CBTBE",D623,IF(OR(F623="Aberta",F623="Avulso"),H623,0))</f>
        <v>0</v>
      </c>
      <c r="K623" s="8" t="n">
        <f aca="false">D623-I623-J623</f>
        <v>20</v>
      </c>
    </row>
    <row r="624" customFormat="false" ht="15" hidden="false" customHeight="false" outlineLevel="0" collapsed="false">
      <c r="A624" s="8" t="s">
        <v>605</v>
      </c>
      <c r="B624" s="8" t="s">
        <v>606</v>
      </c>
      <c r="C624" s="8" t="s">
        <v>277</v>
      </c>
      <c r="D624" s="8" t="n">
        <v>7</v>
      </c>
      <c r="E624" s="8" t="n">
        <v>476043</v>
      </c>
      <c r="F624" s="11" t="str">
        <f aca="false">INDEX(Caixas!$C:$C,MATCH(C624,Caixas!$A:$A,0))</f>
        <v>Devolução fechada</v>
      </c>
      <c r="G624" s="9" t="n">
        <v>0</v>
      </c>
      <c r="H624" s="9" t="n">
        <v>0</v>
      </c>
      <c r="I624" s="8" t="n">
        <f aca="false">IF(F624="Inteira CBP",D624,IF(OR(F624="Aberta",F624="Avulso"),G624,0))</f>
        <v>0</v>
      </c>
      <c r="J624" s="8" t="n">
        <f aca="false">IF(F624="Inteira CBTBE",D624,IF(OR(F624="Aberta",F624="Avulso"),H624,0))</f>
        <v>0</v>
      </c>
      <c r="K624" s="8" t="n">
        <f aca="false">D624-I624-J624</f>
        <v>7</v>
      </c>
    </row>
    <row r="625" customFormat="false" ht="15" hidden="false" customHeight="false" outlineLevel="0" collapsed="false">
      <c r="A625" s="8" t="s">
        <v>633</v>
      </c>
      <c r="B625" s="8" t="s">
        <v>634</v>
      </c>
      <c r="C625" s="8" t="s">
        <v>278</v>
      </c>
      <c r="D625" s="8" t="n">
        <v>20</v>
      </c>
      <c r="E625" s="8" t="n">
        <v>476065</v>
      </c>
      <c r="F625" s="11" t="str">
        <f aca="false">INDEX(Caixas!$C:$C,MATCH(C625,Caixas!$A:$A,0))</f>
        <v>Devolução fechada</v>
      </c>
      <c r="G625" s="9" t="n">
        <v>0</v>
      </c>
      <c r="H625" s="9" t="n">
        <v>0</v>
      </c>
      <c r="I625" s="8" t="n">
        <f aca="false">IF(F625="Inteira CBP",D625,IF(OR(F625="Aberta",F625="Avulso"),G625,0))</f>
        <v>0</v>
      </c>
      <c r="J625" s="8" t="n">
        <f aca="false">IF(F625="Inteira CBTBE",D625,IF(OR(F625="Aberta",F625="Avulso"),H625,0))</f>
        <v>0</v>
      </c>
      <c r="K625" s="8" t="n">
        <f aca="false">D625-I625-J625</f>
        <v>20</v>
      </c>
    </row>
    <row r="626" customFormat="false" ht="15" hidden="false" customHeight="false" outlineLevel="0" collapsed="false">
      <c r="A626" s="8" t="s">
        <v>613</v>
      </c>
      <c r="B626" s="8" t="s">
        <v>614</v>
      </c>
      <c r="C626" s="8" t="s">
        <v>278</v>
      </c>
      <c r="D626" s="8" t="n">
        <v>38</v>
      </c>
      <c r="E626" s="8" t="n">
        <v>476061</v>
      </c>
      <c r="F626" s="11" t="str">
        <f aca="false">INDEX(Caixas!$C:$C,MATCH(C626,Caixas!$A:$A,0))</f>
        <v>Devolução fechada</v>
      </c>
      <c r="G626" s="9" t="n">
        <v>0</v>
      </c>
      <c r="H626" s="9" t="n">
        <v>0</v>
      </c>
      <c r="I626" s="8" t="n">
        <f aca="false">IF(F626="Inteira CBP",D626,IF(OR(F626="Aberta",F626="Avulso"),G626,0))</f>
        <v>0</v>
      </c>
      <c r="J626" s="8" t="n">
        <f aca="false">IF(F626="Inteira CBTBE",D626,IF(OR(F626="Aberta",F626="Avulso"),H626,0))</f>
        <v>0</v>
      </c>
      <c r="K626" s="8" t="n">
        <f aca="false">D626-I626-J626</f>
        <v>38</v>
      </c>
    </row>
    <row r="627" customFormat="false" ht="15" hidden="false" customHeight="false" outlineLevel="0" collapsed="false">
      <c r="A627" s="8" t="s">
        <v>633</v>
      </c>
      <c r="B627" s="8" t="s">
        <v>634</v>
      </c>
      <c r="C627" s="8" t="s">
        <v>279</v>
      </c>
      <c r="D627" s="8" t="n">
        <v>20</v>
      </c>
      <c r="E627" s="8" t="n">
        <v>476065</v>
      </c>
      <c r="F627" s="11" t="str">
        <f aca="false">INDEX(Caixas!$C:$C,MATCH(C627,Caixas!$A:$A,0))</f>
        <v>Aberta</v>
      </c>
      <c r="G627" s="9" t="n">
        <v>0</v>
      </c>
      <c r="H627" s="9" t="n">
        <v>10</v>
      </c>
      <c r="I627" s="8" t="n">
        <f aca="false">IF(F627="Inteira CBP",D627,IF(OR(F627="Aberta",F627="Avulso"),G627,0))</f>
        <v>0</v>
      </c>
      <c r="J627" s="8" t="n">
        <f aca="false">IF(F627="Inteira CBTBE",D627,IF(OR(F627="Aberta",F627="Avulso"),H627,0))</f>
        <v>10</v>
      </c>
      <c r="K627" s="8" t="n">
        <f aca="false">D627-I627-J627</f>
        <v>10</v>
      </c>
    </row>
    <row r="628" customFormat="false" ht="15" hidden="false" customHeight="false" outlineLevel="0" collapsed="false">
      <c r="A628" s="8" t="s">
        <v>613</v>
      </c>
      <c r="B628" s="8" t="s">
        <v>614</v>
      </c>
      <c r="C628" s="8" t="s">
        <v>279</v>
      </c>
      <c r="D628" s="8" t="n">
        <v>38</v>
      </c>
      <c r="E628" s="8" t="n">
        <v>476061</v>
      </c>
      <c r="F628" s="11" t="str">
        <f aca="false">INDEX(Caixas!$C:$C,MATCH(C628,Caixas!$A:$A,0))</f>
        <v>Aberta</v>
      </c>
      <c r="G628" s="9" t="n">
        <v>20</v>
      </c>
      <c r="H628" s="9" t="n">
        <v>12</v>
      </c>
      <c r="I628" s="8" t="n">
        <f aca="false">IF(F628="Inteira CBP",D628,IF(OR(F628="Aberta",F628="Avulso"),G628,0))</f>
        <v>20</v>
      </c>
      <c r="J628" s="8" t="n">
        <f aca="false">IF(F628="Inteira CBTBE",D628,IF(OR(F628="Aberta",F628="Avulso"),H628,0))</f>
        <v>12</v>
      </c>
      <c r="K628" s="8" t="n">
        <f aca="false">D628-I628-J628</f>
        <v>6</v>
      </c>
    </row>
    <row r="629" customFormat="false" ht="15" hidden="false" customHeight="false" outlineLevel="0" collapsed="false">
      <c r="A629" s="8" t="s">
        <v>605</v>
      </c>
      <c r="B629" s="8" t="s">
        <v>606</v>
      </c>
      <c r="C629" s="8" t="s">
        <v>279</v>
      </c>
      <c r="D629" s="8" t="n">
        <v>7</v>
      </c>
      <c r="E629" s="8" t="n">
        <v>476043</v>
      </c>
      <c r="F629" s="11" t="str">
        <f aca="false">INDEX(Caixas!$C:$C,MATCH(C629,Caixas!$A:$A,0))</f>
        <v>Aberta</v>
      </c>
      <c r="G629" s="9" t="n">
        <v>0</v>
      </c>
      <c r="H629" s="9" t="n">
        <v>7</v>
      </c>
      <c r="I629" s="8" t="n">
        <f aca="false">IF(F629="Inteira CBP",D629,IF(OR(F629="Aberta",F629="Avulso"),G629,0))</f>
        <v>0</v>
      </c>
      <c r="J629" s="8" t="n">
        <f aca="false">IF(F629="Inteira CBTBE",D629,IF(OR(F629="Aberta",F629="Avulso"),H629,0))</f>
        <v>7</v>
      </c>
      <c r="K629" s="8" t="n">
        <f aca="false">D629-I629-J629</f>
        <v>0</v>
      </c>
    </row>
    <row r="630" customFormat="false" ht="15" hidden="false" customHeight="false" outlineLevel="0" collapsed="false">
      <c r="A630" s="8" t="s">
        <v>621</v>
      </c>
      <c r="B630" s="8" t="s">
        <v>622</v>
      </c>
      <c r="C630" s="8" t="s">
        <v>280</v>
      </c>
      <c r="D630" s="8" t="n">
        <v>58</v>
      </c>
      <c r="E630" s="8" t="n">
        <v>476061</v>
      </c>
      <c r="F630" s="11" t="str">
        <f aca="false">INDEX(Caixas!$C:$C,MATCH(C630,Caixas!$A:$A,0))</f>
        <v>Aberta</v>
      </c>
      <c r="G630" s="9" t="n">
        <v>0</v>
      </c>
      <c r="H630" s="9" t="n">
        <v>44</v>
      </c>
      <c r="I630" s="8" t="n">
        <f aca="false">IF(F630="Inteira CBP",D630,IF(OR(F630="Aberta",F630="Avulso"),G630,0))</f>
        <v>0</v>
      </c>
      <c r="J630" s="8" t="n">
        <f aca="false">IF(F630="Inteira CBTBE",D630,IF(OR(F630="Aberta",F630="Avulso"),H630,0))</f>
        <v>44</v>
      </c>
      <c r="K630" s="8" t="n">
        <f aca="false">D630-I630-J630</f>
        <v>14</v>
      </c>
    </row>
    <row r="631" customFormat="false" ht="15" hidden="false" customHeight="false" outlineLevel="0" collapsed="false">
      <c r="A631" s="8" t="s">
        <v>631</v>
      </c>
      <c r="B631" s="8" t="s">
        <v>632</v>
      </c>
      <c r="C631" s="8" t="s">
        <v>280</v>
      </c>
      <c r="D631" s="8" t="n">
        <v>20</v>
      </c>
      <c r="E631" s="8" t="n">
        <v>476043</v>
      </c>
      <c r="F631" s="11" t="str">
        <f aca="false">INDEX(Caixas!$C:$C,MATCH(C631,Caixas!$A:$A,0))</f>
        <v>Aberta</v>
      </c>
      <c r="G631" s="9" t="n">
        <v>0</v>
      </c>
      <c r="H631" s="9" t="n">
        <v>0</v>
      </c>
      <c r="I631" s="8" t="n">
        <f aca="false">IF(F631="Inteira CBP",D631,IF(OR(F631="Aberta",F631="Avulso"),G631,0))</f>
        <v>0</v>
      </c>
      <c r="J631" s="8" t="n">
        <f aca="false">IF(F631="Inteira CBTBE",D631,IF(OR(F631="Aberta",F631="Avulso"),H631,0))</f>
        <v>0</v>
      </c>
      <c r="K631" s="8" t="n">
        <f aca="false">D631-I631-J631</f>
        <v>20</v>
      </c>
    </row>
    <row r="632" customFormat="false" ht="15" hidden="false" customHeight="false" outlineLevel="0" collapsed="false">
      <c r="A632" s="8" t="s">
        <v>635</v>
      </c>
      <c r="B632" s="8" t="s">
        <v>636</v>
      </c>
      <c r="C632" s="8" t="s">
        <v>280</v>
      </c>
      <c r="D632" s="8" t="n">
        <v>18</v>
      </c>
      <c r="E632" s="8" t="n">
        <v>476065</v>
      </c>
      <c r="F632" s="11" t="str">
        <f aca="false">INDEX(Caixas!$C:$C,MATCH(C632,Caixas!$A:$A,0))</f>
        <v>Aberta</v>
      </c>
      <c r="G632" s="9" t="n">
        <v>2</v>
      </c>
      <c r="H632" s="9" t="n">
        <v>14</v>
      </c>
      <c r="I632" s="8" t="n">
        <f aca="false">IF(F632="Inteira CBP",D632,IF(OR(F632="Aberta",F632="Avulso"),G632,0))</f>
        <v>2</v>
      </c>
      <c r="J632" s="8" t="n">
        <f aca="false">IF(F632="Inteira CBTBE",D632,IF(OR(F632="Aberta",F632="Avulso"),H632,0))</f>
        <v>14</v>
      </c>
      <c r="K632" s="8" t="n">
        <f aca="false">D632-I632-J632</f>
        <v>2</v>
      </c>
    </row>
    <row r="633" customFormat="false" ht="15" hidden="false" customHeight="false" outlineLevel="0" collapsed="false">
      <c r="A633" s="8" t="s">
        <v>637</v>
      </c>
      <c r="B633" s="8" t="s">
        <v>638</v>
      </c>
      <c r="C633" s="8" t="s">
        <v>280</v>
      </c>
      <c r="D633" s="8" t="n">
        <v>9</v>
      </c>
      <c r="E633" s="8" t="n">
        <v>476043</v>
      </c>
      <c r="F633" s="11" t="str">
        <f aca="false">INDEX(Caixas!$C:$C,MATCH(C633,Caixas!$A:$A,0))</f>
        <v>Aberta</v>
      </c>
      <c r="G633" s="9" t="n">
        <v>9</v>
      </c>
      <c r="H633" s="9" t="n">
        <v>0</v>
      </c>
      <c r="I633" s="8" t="n">
        <f aca="false">IF(F633="Inteira CBP",D633,IF(OR(F633="Aberta",F633="Avulso"),G633,0))</f>
        <v>9</v>
      </c>
      <c r="J633" s="8" t="n">
        <f aca="false">IF(F633="Inteira CBTBE",D633,IF(OR(F633="Aberta",F633="Avulso"),H633,0))</f>
        <v>0</v>
      </c>
      <c r="K633" s="8" t="n">
        <f aca="false">D633-I633-J633</f>
        <v>0</v>
      </c>
    </row>
    <row r="634" customFormat="false" ht="15" hidden="false" customHeight="false" outlineLevel="0" collapsed="false">
      <c r="A634" s="8" t="s">
        <v>639</v>
      </c>
      <c r="B634" s="8" t="s">
        <v>640</v>
      </c>
      <c r="C634" s="8" t="s">
        <v>281</v>
      </c>
      <c r="D634" s="8" t="n">
        <v>28</v>
      </c>
      <c r="E634" s="8" t="n">
        <v>476061</v>
      </c>
      <c r="F634" s="11" t="str">
        <f aca="false">INDEX(Caixas!$C:$C,MATCH(C634,Caixas!$A:$A,0))</f>
        <v>Aberta</v>
      </c>
      <c r="G634" s="9" t="n">
        <v>28</v>
      </c>
      <c r="H634" s="9" t="n">
        <v>0</v>
      </c>
      <c r="I634" s="8" t="n">
        <f aca="false">IF(F634="Inteira CBP",D634,IF(OR(F634="Aberta",F634="Avulso"),G634,0))</f>
        <v>28</v>
      </c>
      <c r="J634" s="8" t="n">
        <f aca="false">IF(F634="Inteira CBTBE",D634,IF(OR(F634="Aberta",F634="Avulso"),H634,0))</f>
        <v>0</v>
      </c>
      <c r="K634" s="8" t="n">
        <f aca="false">D634-I634-J634</f>
        <v>0</v>
      </c>
    </row>
    <row r="635" customFormat="false" ht="15" hidden="false" customHeight="false" outlineLevel="0" collapsed="false">
      <c r="A635" s="8" t="s">
        <v>603</v>
      </c>
      <c r="B635" s="8" t="s">
        <v>604</v>
      </c>
      <c r="C635" s="8" t="s">
        <v>281</v>
      </c>
      <c r="D635" s="8" t="n">
        <v>35</v>
      </c>
      <c r="E635" s="8" t="n">
        <v>476043</v>
      </c>
      <c r="F635" s="11" t="str">
        <f aca="false">INDEX(Caixas!$C:$C,MATCH(C635,Caixas!$A:$A,0))</f>
        <v>Aberta</v>
      </c>
      <c r="G635" s="9" t="n">
        <v>0</v>
      </c>
      <c r="H635" s="9" t="n">
        <v>6</v>
      </c>
      <c r="I635" s="8" t="n">
        <f aca="false">IF(F635="Inteira CBP",D635,IF(OR(F635="Aberta",F635="Avulso"),G635,0))</f>
        <v>0</v>
      </c>
      <c r="J635" s="8" t="n">
        <f aca="false">IF(F635="Inteira CBTBE",D635,IF(OR(F635="Aberta",F635="Avulso"),H635,0))</f>
        <v>6</v>
      </c>
      <c r="K635" s="8" t="n">
        <f aca="false">D635-I635-J635</f>
        <v>29</v>
      </c>
    </row>
    <row r="636" customFormat="false" ht="15" hidden="false" customHeight="false" outlineLevel="0" collapsed="false">
      <c r="A636" s="8" t="s">
        <v>635</v>
      </c>
      <c r="B636" s="8" t="s">
        <v>636</v>
      </c>
      <c r="C636" s="8" t="s">
        <v>281</v>
      </c>
      <c r="D636" s="8" t="n">
        <v>18</v>
      </c>
      <c r="E636" s="8" t="n">
        <v>476065</v>
      </c>
      <c r="F636" s="11" t="str">
        <f aca="false">INDEX(Caixas!$C:$C,MATCH(C636,Caixas!$A:$A,0))</f>
        <v>Aberta</v>
      </c>
      <c r="G636" s="9" t="n">
        <v>0</v>
      </c>
      <c r="H636" s="9" t="n">
        <v>18</v>
      </c>
      <c r="I636" s="8" t="n">
        <f aca="false">IF(F636="Inteira CBP",D636,IF(OR(F636="Aberta",F636="Avulso"),G636,0))</f>
        <v>0</v>
      </c>
      <c r="J636" s="8" t="n">
        <f aca="false">IF(F636="Inteira CBTBE",D636,IF(OR(F636="Aberta",F636="Avulso"),H636,0))</f>
        <v>18</v>
      </c>
      <c r="K636" s="8" t="n">
        <f aca="false">D636-I636-J636</f>
        <v>0</v>
      </c>
    </row>
    <row r="637" customFormat="false" ht="15" hidden="false" customHeight="false" outlineLevel="0" collapsed="false">
      <c r="A637" s="8" t="s">
        <v>629</v>
      </c>
      <c r="B637" s="8" t="s">
        <v>630</v>
      </c>
      <c r="C637" s="8" t="s">
        <v>281</v>
      </c>
      <c r="D637" s="8" t="n">
        <v>31</v>
      </c>
      <c r="E637" s="8" t="n">
        <v>476043</v>
      </c>
      <c r="F637" s="11" t="str">
        <f aca="false">INDEX(Caixas!$C:$C,MATCH(C637,Caixas!$A:$A,0))</f>
        <v>Aberta</v>
      </c>
      <c r="G637" s="9" t="n">
        <v>0</v>
      </c>
      <c r="H637" s="9" t="n">
        <v>21</v>
      </c>
      <c r="I637" s="8" t="n">
        <f aca="false">IF(F637="Inteira CBP",D637,IF(OR(F637="Aberta",F637="Avulso"),G637,0))</f>
        <v>0</v>
      </c>
      <c r="J637" s="8" t="n">
        <f aca="false">IF(F637="Inteira CBTBE",D637,IF(OR(F637="Aberta",F637="Avulso"),H637,0))</f>
        <v>21</v>
      </c>
      <c r="K637" s="8" t="n">
        <f aca="false">D637-I637-J637</f>
        <v>10</v>
      </c>
    </row>
    <row r="638" customFormat="false" ht="15" hidden="false" customHeight="false" outlineLevel="0" collapsed="false">
      <c r="A638" s="8" t="s">
        <v>639</v>
      </c>
      <c r="B638" s="8" t="s">
        <v>640</v>
      </c>
      <c r="C638" s="8" t="s">
        <v>282</v>
      </c>
      <c r="D638" s="8" t="n">
        <v>28</v>
      </c>
      <c r="E638" s="8" t="n">
        <v>476061</v>
      </c>
      <c r="F638" s="11" t="str">
        <f aca="false">INDEX(Caixas!$C:$C,MATCH(C638,Caixas!$A:$A,0))</f>
        <v>Aberta</v>
      </c>
      <c r="G638" s="9" t="n">
        <v>0</v>
      </c>
      <c r="H638" s="9" t="n">
        <v>23</v>
      </c>
      <c r="I638" s="8" t="n">
        <f aca="false">IF(F638="Inteira CBP",D638,IF(OR(F638="Aberta",F638="Avulso"),G638,0))</f>
        <v>0</v>
      </c>
      <c r="J638" s="8" t="n">
        <f aca="false">IF(F638="Inteira CBTBE",D638,IF(OR(F638="Aberta",F638="Avulso"),H638,0))</f>
        <v>23</v>
      </c>
      <c r="K638" s="8" t="n">
        <f aca="false">D638-I638-J638</f>
        <v>5</v>
      </c>
    </row>
    <row r="639" customFormat="false" ht="15" hidden="false" customHeight="false" outlineLevel="0" collapsed="false">
      <c r="A639" s="8" t="s">
        <v>603</v>
      </c>
      <c r="B639" s="8" t="s">
        <v>604</v>
      </c>
      <c r="C639" s="8" t="s">
        <v>282</v>
      </c>
      <c r="D639" s="8" t="n">
        <v>43</v>
      </c>
      <c r="E639" s="8" t="n">
        <v>476043</v>
      </c>
      <c r="F639" s="11" t="str">
        <f aca="false">INDEX(Caixas!$C:$C,MATCH(C639,Caixas!$A:$A,0))</f>
        <v>Aberta</v>
      </c>
      <c r="G639" s="9" t="n">
        <v>23</v>
      </c>
      <c r="H639" s="9" t="n">
        <v>0</v>
      </c>
      <c r="I639" s="8" t="n">
        <f aca="false">IF(F639="Inteira CBP",D639,IF(OR(F639="Aberta",F639="Avulso"),G639,0))</f>
        <v>23</v>
      </c>
      <c r="J639" s="8" t="n">
        <f aca="false">IF(F639="Inteira CBTBE",D639,IF(OR(F639="Aberta",F639="Avulso"),H639,0))</f>
        <v>0</v>
      </c>
      <c r="K639" s="8" t="n">
        <f aca="false">D639-I639-J639</f>
        <v>20</v>
      </c>
    </row>
    <row r="640" customFormat="false" ht="15" hidden="false" customHeight="false" outlineLevel="0" collapsed="false">
      <c r="A640" s="8" t="s">
        <v>635</v>
      </c>
      <c r="B640" s="8" t="s">
        <v>636</v>
      </c>
      <c r="C640" s="8" t="s">
        <v>282</v>
      </c>
      <c r="D640" s="8" t="n">
        <v>18</v>
      </c>
      <c r="E640" s="8" t="n">
        <v>476065</v>
      </c>
      <c r="F640" s="11" t="str">
        <f aca="false">INDEX(Caixas!$C:$C,MATCH(C640,Caixas!$A:$A,0))</f>
        <v>Aberta</v>
      </c>
      <c r="G640" s="9" t="n">
        <v>0</v>
      </c>
      <c r="H640" s="9" t="n">
        <v>18</v>
      </c>
      <c r="I640" s="8" t="n">
        <f aca="false">IF(F640="Inteira CBP",D640,IF(OR(F640="Aberta",F640="Avulso"),G640,0))</f>
        <v>0</v>
      </c>
      <c r="J640" s="8" t="n">
        <f aca="false">IF(F640="Inteira CBTBE",D640,IF(OR(F640="Aberta",F640="Avulso"),H640,0))</f>
        <v>18</v>
      </c>
      <c r="K640" s="8" t="n">
        <f aca="false">D640-I640-J640</f>
        <v>0</v>
      </c>
    </row>
    <row r="641" customFormat="false" ht="15" hidden="false" customHeight="false" outlineLevel="0" collapsed="false">
      <c r="A641" s="8" t="s">
        <v>605</v>
      </c>
      <c r="B641" s="8" t="s">
        <v>606</v>
      </c>
      <c r="C641" s="8" t="s">
        <v>282</v>
      </c>
      <c r="D641" s="8" t="n">
        <v>7</v>
      </c>
      <c r="E641" s="8" t="n">
        <v>476043</v>
      </c>
      <c r="F641" s="11" t="str">
        <f aca="false">INDEX(Caixas!$C:$C,MATCH(C641,Caixas!$A:$A,0))</f>
        <v>Aberta</v>
      </c>
      <c r="G641" s="9" t="n">
        <v>0</v>
      </c>
      <c r="H641" s="9" t="n">
        <v>7</v>
      </c>
      <c r="I641" s="8" t="n">
        <f aca="false">IF(F641="Inteira CBP",D641,IF(OR(F641="Aberta",F641="Avulso"),G641,0))</f>
        <v>0</v>
      </c>
      <c r="J641" s="8" t="n">
        <f aca="false">IF(F641="Inteira CBTBE",D641,IF(OR(F641="Aberta",F641="Avulso"),H641,0))</f>
        <v>7</v>
      </c>
      <c r="K641" s="8" t="n">
        <f aca="false">D641-I641-J641</f>
        <v>0</v>
      </c>
    </row>
    <row r="642" customFormat="false" ht="15" hidden="false" customHeight="false" outlineLevel="0" collapsed="false">
      <c r="A642" s="8" t="s">
        <v>639</v>
      </c>
      <c r="B642" s="8" t="s">
        <v>640</v>
      </c>
      <c r="C642" s="8" t="s">
        <v>283</v>
      </c>
      <c r="D642" s="8" t="n">
        <v>28</v>
      </c>
      <c r="E642" s="8" t="n">
        <v>476061</v>
      </c>
      <c r="F642" s="11" t="str">
        <f aca="false">INDEX(Caixas!$C:$C,MATCH(C642,Caixas!$A:$A,0))</f>
        <v>Inteira CBP</v>
      </c>
      <c r="G642" s="9" t="n">
        <v>0</v>
      </c>
      <c r="H642" s="9" t="n">
        <v>0</v>
      </c>
      <c r="I642" s="8" t="n">
        <f aca="false">IF(F642="Inteira CBP",D642,IF(OR(F642="Aberta",F642="Avulso"),G642,0))</f>
        <v>28</v>
      </c>
      <c r="J642" s="8" t="n">
        <f aca="false">IF(F642="Inteira CBTBE",D642,IF(OR(F642="Aberta",F642="Avulso"),H642,0))</f>
        <v>0</v>
      </c>
      <c r="K642" s="8" t="n">
        <f aca="false">D642-I642-J642</f>
        <v>0</v>
      </c>
    </row>
    <row r="643" customFormat="false" ht="15" hidden="false" customHeight="false" outlineLevel="0" collapsed="false">
      <c r="A643" s="8" t="s">
        <v>635</v>
      </c>
      <c r="B643" s="8" t="s">
        <v>636</v>
      </c>
      <c r="C643" s="8" t="s">
        <v>283</v>
      </c>
      <c r="D643" s="8" t="n">
        <v>18</v>
      </c>
      <c r="E643" s="8" t="n">
        <v>476065</v>
      </c>
      <c r="F643" s="11" t="str">
        <f aca="false">INDEX(Caixas!$C:$C,MATCH(C643,Caixas!$A:$A,0))</f>
        <v>Inteira CBP</v>
      </c>
      <c r="G643" s="9" t="n">
        <v>0</v>
      </c>
      <c r="H643" s="9" t="n">
        <v>0</v>
      </c>
      <c r="I643" s="8" t="n">
        <f aca="false">IF(F643="Inteira CBP",D643,IF(OR(F643="Aberta",F643="Avulso"),G643,0))</f>
        <v>18</v>
      </c>
      <c r="J643" s="8" t="n">
        <f aca="false">IF(F643="Inteira CBTBE",D643,IF(OR(F643="Aberta",F643="Avulso"),H643,0))</f>
        <v>0</v>
      </c>
      <c r="K643" s="8" t="n">
        <f aca="false">D643-I643-J643</f>
        <v>0</v>
      </c>
    </row>
    <row r="644" customFormat="false" ht="15" hidden="false" customHeight="false" outlineLevel="0" collapsed="false">
      <c r="A644" s="8" t="s">
        <v>635</v>
      </c>
      <c r="B644" s="8" t="s">
        <v>636</v>
      </c>
      <c r="C644" s="8" t="s">
        <v>284</v>
      </c>
      <c r="D644" s="8" t="n">
        <v>18</v>
      </c>
      <c r="E644" s="8" t="n">
        <v>476065</v>
      </c>
      <c r="F644" s="11" t="str">
        <f aca="false">INDEX(Caixas!$C:$C,MATCH(C644,Caixas!$A:$A,0))</f>
        <v>Devolução fechada</v>
      </c>
      <c r="G644" s="9" t="n">
        <v>0</v>
      </c>
      <c r="H644" s="9" t="n">
        <v>0</v>
      </c>
      <c r="I644" s="8" t="n">
        <f aca="false">IF(F644="Inteira CBP",D644,IF(OR(F644="Aberta",F644="Avulso"),G644,0))</f>
        <v>0</v>
      </c>
      <c r="J644" s="8" t="n">
        <f aca="false">IF(F644="Inteira CBTBE",D644,IF(OR(F644="Aberta",F644="Avulso"),H644,0))</f>
        <v>0</v>
      </c>
      <c r="K644" s="8" t="n">
        <f aca="false">D644-I644-J644</f>
        <v>18</v>
      </c>
    </row>
    <row r="645" customFormat="false" ht="15" hidden="false" customHeight="false" outlineLevel="0" collapsed="false">
      <c r="A645" s="8" t="s">
        <v>623</v>
      </c>
      <c r="B645" s="8" t="s">
        <v>624</v>
      </c>
      <c r="C645" s="8" t="s">
        <v>285</v>
      </c>
      <c r="D645" s="8" t="n">
        <v>16</v>
      </c>
      <c r="E645" s="8" t="n">
        <v>476065</v>
      </c>
      <c r="F645" s="11" t="str">
        <f aca="false">INDEX(Caixas!$C:$C,MATCH(C645,Caixas!$A:$A,0))</f>
        <v>Devolução fechada</v>
      </c>
      <c r="G645" s="9" t="n">
        <v>0</v>
      </c>
      <c r="H645" s="9" t="n">
        <v>0</v>
      </c>
      <c r="I645" s="8" t="n">
        <f aca="false">IF(F645="Inteira CBP",D645,IF(OR(F645="Aberta",F645="Avulso"),G645,0))</f>
        <v>0</v>
      </c>
      <c r="J645" s="8" t="n">
        <f aca="false">IF(F645="Inteira CBTBE",D645,IF(OR(F645="Aberta",F645="Avulso"),H645,0))</f>
        <v>0</v>
      </c>
      <c r="K645" s="8" t="n">
        <f aca="false">D645-I645-J645</f>
        <v>16</v>
      </c>
    </row>
    <row r="646" customFormat="false" ht="15" hidden="false" customHeight="false" outlineLevel="0" collapsed="false">
      <c r="A646" s="8" t="s">
        <v>623</v>
      </c>
      <c r="B646" s="8" t="s">
        <v>624</v>
      </c>
      <c r="C646" s="8" t="s">
        <v>286</v>
      </c>
      <c r="D646" s="8" t="n">
        <v>16</v>
      </c>
      <c r="E646" s="8" t="n">
        <v>476065</v>
      </c>
      <c r="F646" s="11" t="str">
        <f aca="false">INDEX(Caixas!$C:$C,MATCH(C646,Caixas!$A:$A,0))</f>
        <v>Devolução fechada</v>
      </c>
      <c r="G646" s="9" t="n">
        <v>0</v>
      </c>
      <c r="H646" s="9" t="n">
        <v>0</v>
      </c>
      <c r="I646" s="8" t="n">
        <f aca="false">IF(F646="Inteira CBP",D646,IF(OR(F646="Aberta",F646="Avulso"),G646,0))</f>
        <v>0</v>
      </c>
      <c r="J646" s="8" t="n">
        <f aca="false">IF(F646="Inteira CBTBE",D646,IF(OR(F646="Aberta",F646="Avulso"),H646,0))</f>
        <v>0</v>
      </c>
      <c r="K646" s="8" t="n">
        <f aca="false">D646-I646-J646</f>
        <v>16</v>
      </c>
    </row>
    <row r="647" customFormat="false" ht="15" hidden="false" customHeight="false" outlineLevel="0" collapsed="false">
      <c r="A647" s="8" t="s">
        <v>619</v>
      </c>
      <c r="B647" s="8" t="s">
        <v>620</v>
      </c>
      <c r="C647" s="8" t="s">
        <v>286</v>
      </c>
      <c r="D647" s="8" t="n">
        <v>36</v>
      </c>
      <c r="E647" s="8" t="n">
        <v>476061</v>
      </c>
      <c r="F647" s="11" t="str">
        <f aca="false">INDEX(Caixas!$C:$C,MATCH(C647,Caixas!$A:$A,0))</f>
        <v>Devolução fechada</v>
      </c>
      <c r="G647" s="9" t="n">
        <v>0</v>
      </c>
      <c r="H647" s="9" t="n">
        <v>0</v>
      </c>
      <c r="I647" s="8" t="n">
        <f aca="false">IF(F647="Inteira CBP",D647,IF(OR(F647="Aberta",F647="Avulso"),G647,0))</f>
        <v>0</v>
      </c>
      <c r="J647" s="8" t="n">
        <f aca="false">IF(F647="Inteira CBTBE",D647,IF(OR(F647="Aberta",F647="Avulso"),H647,0))</f>
        <v>0</v>
      </c>
      <c r="K647" s="8" t="n">
        <f aca="false">D647-I647-J647</f>
        <v>36</v>
      </c>
    </row>
    <row r="648" customFormat="false" ht="15" hidden="false" customHeight="false" outlineLevel="0" collapsed="false">
      <c r="A648" s="8" t="s">
        <v>623</v>
      </c>
      <c r="B648" s="8" t="s">
        <v>624</v>
      </c>
      <c r="C648" s="8" t="s">
        <v>287</v>
      </c>
      <c r="D648" s="8" t="n">
        <v>16</v>
      </c>
      <c r="E648" s="8" t="n">
        <v>476065</v>
      </c>
      <c r="F648" s="11" t="str">
        <f aca="false">INDEX(Caixas!$C:$C,MATCH(C648,Caixas!$A:$A,0))</f>
        <v>Devolução fechada</v>
      </c>
      <c r="G648" s="9" t="n">
        <v>0</v>
      </c>
      <c r="H648" s="9" t="n">
        <v>0</v>
      </c>
      <c r="I648" s="8" t="n">
        <f aca="false">IF(F648="Inteira CBP",D648,IF(OR(F648="Aberta",F648="Avulso"),G648,0))</f>
        <v>0</v>
      </c>
      <c r="J648" s="8" t="n">
        <f aca="false">IF(F648="Inteira CBTBE",D648,IF(OR(F648="Aberta",F648="Avulso"),H648,0))</f>
        <v>0</v>
      </c>
      <c r="K648" s="8" t="n">
        <f aca="false">D648-I648-J648</f>
        <v>16</v>
      </c>
    </row>
    <row r="649" customFormat="false" ht="15" hidden="false" customHeight="false" outlineLevel="0" collapsed="false">
      <c r="A649" s="8" t="s">
        <v>619</v>
      </c>
      <c r="B649" s="8" t="s">
        <v>620</v>
      </c>
      <c r="C649" s="8" t="s">
        <v>287</v>
      </c>
      <c r="D649" s="8" t="n">
        <v>36</v>
      </c>
      <c r="E649" s="8" t="n">
        <v>476061</v>
      </c>
      <c r="F649" s="11" t="str">
        <f aca="false">INDEX(Caixas!$C:$C,MATCH(C649,Caixas!$A:$A,0))</f>
        <v>Devolução fechada</v>
      </c>
      <c r="G649" s="9" t="n">
        <v>0</v>
      </c>
      <c r="H649" s="9" t="n">
        <v>0</v>
      </c>
      <c r="I649" s="8" t="n">
        <f aca="false">IF(F649="Inteira CBP",D649,IF(OR(F649="Aberta",F649="Avulso"),G649,0))</f>
        <v>0</v>
      </c>
      <c r="J649" s="8" t="n">
        <f aca="false">IF(F649="Inteira CBTBE",D649,IF(OR(F649="Aberta",F649="Avulso"),H649,0))</f>
        <v>0</v>
      </c>
      <c r="K649" s="8" t="n">
        <f aca="false">D649-I649-J649</f>
        <v>36</v>
      </c>
    </row>
    <row r="650" customFormat="false" ht="15" hidden="false" customHeight="false" outlineLevel="0" collapsed="false">
      <c r="A650" s="8" t="s">
        <v>635</v>
      </c>
      <c r="B650" s="8" t="s">
        <v>636</v>
      </c>
      <c r="C650" s="8" t="s">
        <v>288</v>
      </c>
      <c r="D650" s="8" t="n">
        <v>15</v>
      </c>
      <c r="E650" s="8" t="n">
        <v>476065</v>
      </c>
      <c r="F650" s="11" t="str">
        <f aca="false">INDEX(Caixas!$C:$C,MATCH(C650,Caixas!$A:$A,0))</f>
        <v>Devolução fechada</v>
      </c>
      <c r="G650" s="9" t="n">
        <v>0</v>
      </c>
      <c r="H650" s="9" t="n">
        <v>0</v>
      </c>
      <c r="I650" s="8" t="n">
        <f aca="false">IF(F650="Inteira CBP",D650,IF(OR(F650="Aberta",F650="Avulso"),G650,0))</f>
        <v>0</v>
      </c>
      <c r="J650" s="8" t="n">
        <f aca="false">IF(F650="Inteira CBTBE",D650,IF(OR(F650="Aberta",F650="Avulso"),H650,0))</f>
        <v>0</v>
      </c>
      <c r="K650" s="8" t="n">
        <f aca="false">D650-I650-J650</f>
        <v>15</v>
      </c>
    </row>
    <row r="651" customFormat="false" ht="15" hidden="false" customHeight="false" outlineLevel="0" collapsed="false">
      <c r="A651" s="8" t="s">
        <v>623</v>
      </c>
      <c r="B651" s="8" t="s">
        <v>624</v>
      </c>
      <c r="C651" s="8" t="s">
        <v>288</v>
      </c>
      <c r="D651" s="8" t="n">
        <v>8</v>
      </c>
      <c r="E651" s="8" t="n">
        <v>476065</v>
      </c>
      <c r="F651" s="11" t="str">
        <f aca="false">INDEX(Caixas!$C:$C,MATCH(C651,Caixas!$A:$A,0))</f>
        <v>Devolução fechada</v>
      </c>
      <c r="G651" s="9" t="n">
        <v>0</v>
      </c>
      <c r="H651" s="9" t="n">
        <v>0</v>
      </c>
      <c r="I651" s="8" t="n">
        <f aca="false">IF(F651="Inteira CBP",D651,IF(OR(F651="Aberta",F651="Avulso"),G651,0))</f>
        <v>0</v>
      </c>
      <c r="J651" s="8" t="n">
        <f aca="false">IF(F651="Inteira CBTBE",D651,IF(OR(F651="Aberta",F651="Avulso"),H651,0))</f>
        <v>0</v>
      </c>
      <c r="K651" s="8" t="n">
        <f aca="false">D651-I651-J651</f>
        <v>8</v>
      </c>
    </row>
    <row r="652" customFormat="false" ht="15" hidden="false" customHeight="false" outlineLevel="0" collapsed="false">
      <c r="A652" s="8" t="s">
        <v>619</v>
      </c>
      <c r="B652" s="8" t="s">
        <v>620</v>
      </c>
      <c r="C652" s="8" t="s">
        <v>288</v>
      </c>
      <c r="D652" s="8" t="n">
        <v>36</v>
      </c>
      <c r="E652" s="8" t="n">
        <v>476061</v>
      </c>
      <c r="F652" s="11" t="str">
        <f aca="false">INDEX(Caixas!$C:$C,MATCH(C652,Caixas!$A:$A,0))</f>
        <v>Devolução fechada</v>
      </c>
      <c r="G652" s="9" t="n">
        <v>0</v>
      </c>
      <c r="H652" s="9" t="n">
        <v>0</v>
      </c>
      <c r="I652" s="8" t="n">
        <f aca="false">IF(F652="Inteira CBP",D652,IF(OR(F652="Aberta",F652="Avulso"),G652,0))</f>
        <v>0</v>
      </c>
      <c r="J652" s="8" t="n">
        <f aca="false">IF(F652="Inteira CBTBE",D652,IF(OR(F652="Aberta",F652="Avulso"),H652,0))</f>
        <v>0</v>
      </c>
      <c r="K652" s="8" t="n">
        <f aca="false">D652-I652-J652</f>
        <v>36</v>
      </c>
    </row>
    <row r="653" customFormat="false" ht="15" hidden="false" customHeight="false" outlineLevel="0" collapsed="false">
      <c r="A653" s="8" t="s">
        <v>625</v>
      </c>
      <c r="B653" s="8" t="s">
        <v>626</v>
      </c>
      <c r="C653" s="8" t="s">
        <v>289</v>
      </c>
      <c r="D653" s="8" t="n">
        <v>20</v>
      </c>
      <c r="E653" s="8" t="n">
        <v>476061</v>
      </c>
      <c r="F653" s="11" t="str">
        <f aca="false">INDEX(Caixas!$C:$C,MATCH(C653,Caixas!$A:$A,0))</f>
        <v>Aberta</v>
      </c>
      <c r="G653" s="9" t="n">
        <v>0</v>
      </c>
      <c r="H653" s="9" t="n">
        <v>10</v>
      </c>
      <c r="I653" s="8" t="n">
        <f aca="false">IF(F653="Inteira CBP",D653,IF(OR(F653="Aberta",F653="Avulso"),G653,0))</f>
        <v>0</v>
      </c>
      <c r="J653" s="8" t="n">
        <f aca="false">IF(F653="Inteira CBTBE",D653,IF(OR(F653="Aberta",F653="Avulso"),H653,0))</f>
        <v>10</v>
      </c>
      <c r="K653" s="8" t="n">
        <f aca="false">D653-I653-J653</f>
        <v>10</v>
      </c>
    </row>
    <row r="654" customFormat="false" ht="15" hidden="false" customHeight="false" outlineLevel="0" collapsed="false">
      <c r="A654" s="8" t="s">
        <v>623</v>
      </c>
      <c r="B654" s="8" t="s">
        <v>624</v>
      </c>
      <c r="C654" s="8" t="s">
        <v>289</v>
      </c>
      <c r="D654" s="8" t="n">
        <v>16</v>
      </c>
      <c r="E654" s="8" t="n">
        <v>476065</v>
      </c>
      <c r="F654" s="11" t="str">
        <f aca="false">INDEX(Caixas!$C:$C,MATCH(C654,Caixas!$A:$A,0))</f>
        <v>Aberta</v>
      </c>
      <c r="G654" s="9" t="n">
        <v>0</v>
      </c>
      <c r="H654" s="9" t="n">
        <v>4</v>
      </c>
      <c r="I654" s="8" t="n">
        <f aca="false">IF(F654="Inteira CBP",D654,IF(OR(F654="Aberta",F654="Avulso"),G654,0))</f>
        <v>0</v>
      </c>
      <c r="J654" s="8" t="n">
        <f aca="false">IF(F654="Inteira CBTBE",D654,IF(OR(F654="Aberta",F654="Avulso"),H654,0))</f>
        <v>4</v>
      </c>
      <c r="K654" s="8" t="n">
        <f aca="false">D654-I654-J654</f>
        <v>12</v>
      </c>
    </row>
    <row r="655" customFormat="false" ht="15" hidden="false" customHeight="false" outlineLevel="0" collapsed="false">
      <c r="A655" s="8" t="s">
        <v>639</v>
      </c>
      <c r="B655" s="8" t="s">
        <v>640</v>
      </c>
      <c r="C655" s="8" t="s">
        <v>290</v>
      </c>
      <c r="D655" s="8" t="n">
        <v>10</v>
      </c>
      <c r="E655" s="8" t="n">
        <v>476061</v>
      </c>
      <c r="F655" s="11" t="str">
        <f aca="false">INDEX(Caixas!$C:$C,MATCH(C655,Caixas!$A:$A,0))</f>
        <v>Devolução fechada</v>
      </c>
      <c r="G655" s="9" t="n">
        <v>0</v>
      </c>
      <c r="H655" s="9" t="n">
        <v>0</v>
      </c>
      <c r="I655" s="8" t="n">
        <f aca="false">IF(F655="Inteira CBP",D655,IF(OR(F655="Aberta",F655="Avulso"),G655,0))</f>
        <v>0</v>
      </c>
      <c r="J655" s="8" t="n">
        <f aca="false">IF(F655="Inteira CBTBE",D655,IF(OR(F655="Aberta",F655="Avulso"),H655,0))</f>
        <v>0</v>
      </c>
      <c r="K655" s="8" t="n">
        <f aca="false">D655-I655-J655</f>
        <v>10</v>
      </c>
    </row>
    <row r="656" customFormat="false" ht="15" hidden="false" customHeight="false" outlineLevel="0" collapsed="false">
      <c r="A656" s="8" t="s">
        <v>621</v>
      </c>
      <c r="B656" s="8" t="s">
        <v>622</v>
      </c>
      <c r="C656" s="8" t="s">
        <v>290</v>
      </c>
      <c r="D656" s="8" t="n">
        <v>36</v>
      </c>
      <c r="E656" s="8" t="n">
        <v>476061</v>
      </c>
      <c r="F656" s="11" t="str">
        <f aca="false">INDEX(Caixas!$C:$C,MATCH(C656,Caixas!$A:$A,0))</f>
        <v>Devolução fechada</v>
      </c>
      <c r="G656" s="9" t="n">
        <v>0</v>
      </c>
      <c r="H656" s="9" t="n">
        <v>0</v>
      </c>
      <c r="I656" s="8" t="n">
        <f aca="false">IF(F656="Inteira CBP",D656,IF(OR(F656="Aberta",F656="Avulso"),G656,0))</f>
        <v>0</v>
      </c>
      <c r="J656" s="8" t="n">
        <f aca="false">IF(F656="Inteira CBTBE",D656,IF(OR(F656="Aberta",F656="Avulso"),H656,0))</f>
        <v>0</v>
      </c>
      <c r="K656" s="8" t="n">
        <f aca="false">D656-I656-J656</f>
        <v>36</v>
      </c>
    </row>
    <row r="657" customFormat="false" ht="15" hidden="false" customHeight="false" outlineLevel="0" collapsed="false">
      <c r="A657" s="8" t="s">
        <v>613</v>
      </c>
      <c r="B657" s="8" t="s">
        <v>614</v>
      </c>
      <c r="C657" s="8" t="s">
        <v>290</v>
      </c>
      <c r="D657" s="8" t="n">
        <v>10</v>
      </c>
      <c r="E657" s="8" t="n">
        <v>476061</v>
      </c>
      <c r="F657" s="11" t="str">
        <f aca="false">INDEX(Caixas!$C:$C,MATCH(C657,Caixas!$A:$A,0))</f>
        <v>Devolução fechada</v>
      </c>
      <c r="G657" s="9" t="n">
        <v>0</v>
      </c>
      <c r="H657" s="9" t="n">
        <v>0</v>
      </c>
      <c r="I657" s="8" t="n">
        <f aca="false">IF(F657="Inteira CBP",D657,IF(OR(F657="Aberta",F657="Avulso"),G657,0))</f>
        <v>0</v>
      </c>
      <c r="J657" s="8" t="n">
        <f aca="false">IF(F657="Inteira CBTBE",D657,IF(OR(F657="Aberta",F657="Avulso"),H657,0))</f>
        <v>0</v>
      </c>
      <c r="K657" s="8" t="n">
        <f aca="false">D657-I657-J657</f>
        <v>10</v>
      </c>
    </row>
    <row r="658" customFormat="false" ht="15" hidden="false" customHeight="false" outlineLevel="0" collapsed="false">
      <c r="A658" s="8" t="s">
        <v>641</v>
      </c>
      <c r="B658" s="8" t="s">
        <v>642</v>
      </c>
      <c r="C658" s="8" t="s">
        <v>290</v>
      </c>
      <c r="D658" s="8" t="n">
        <v>28</v>
      </c>
      <c r="E658" s="8" t="n">
        <v>476065</v>
      </c>
      <c r="F658" s="11" t="str">
        <f aca="false">INDEX(Caixas!$C:$C,MATCH(C658,Caixas!$A:$A,0))</f>
        <v>Devolução fechada</v>
      </c>
      <c r="G658" s="9" t="n">
        <v>0</v>
      </c>
      <c r="H658" s="9" t="n">
        <v>0</v>
      </c>
      <c r="I658" s="8" t="n">
        <f aca="false">IF(F658="Inteira CBP",D658,IF(OR(F658="Aberta",F658="Avulso"),G658,0))</f>
        <v>0</v>
      </c>
      <c r="J658" s="8" t="n">
        <f aca="false">IF(F658="Inteira CBTBE",D658,IF(OR(F658="Aberta",F658="Avulso"),H658,0))</f>
        <v>0</v>
      </c>
      <c r="K658" s="8" t="n">
        <f aca="false">D658-I658-J658</f>
        <v>28</v>
      </c>
    </row>
    <row r="659" customFormat="false" ht="15" hidden="false" customHeight="false" outlineLevel="0" collapsed="false">
      <c r="A659" s="8" t="s">
        <v>639</v>
      </c>
      <c r="B659" s="8" t="s">
        <v>640</v>
      </c>
      <c r="C659" s="8" t="s">
        <v>291</v>
      </c>
      <c r="D659" s="8" t="n">
        <v>11</v>
      </c>
      <c r="E659" s="8" t="n">
        <v>476061</v>
      </c>
      <c r="F659" s="11" t="str">
        <f aca="false">INDEX(Caixas!$C:$C,MATCH(C659,Caixas!$A:$A,0))</f>
        <v>Aberta</v>
      </c>
      <c r="G659" s="9" t="n">
        <v>9</v>
      </c>
      <c r="H659" s="9" t="n">
        <v>0</v>
      </c>
      <c r="I659" s="8" t="n">
        <f aca="false">IF(F659="Inteira CBP",D659,IF(OR(F659="Aberta",F659="Avulso"),G659,0))</f>
        <v>9</v>
      </c>
      <c r="J659" s="8" t="n">
        <f aca="false">IF(F659="Inteira CBTBE",D659,IF(OR(F659="Aberta",F659="Avulso"),H659,0))</f>
        <v>0</v>
      </c>
      <c r="K659" s="8" t="n">
        <f aca="false">D659-I659-J659</f>
        <v>2</v>
      </c>
    </row>
    <row r="660" customFormat="false" ht="15" hidden="false" customHeight="false" outlineLevel="0" collapsed="false">
      <c r="A660" s="8" t="s">
        <v>627</v>
      </c>
      <c r="B660" s="8" t="s">
        <v>628</v>
      </c>
      <c r="C660" s="8" t="s">
        <v>291</v>
      </c>
      <c r="D660" s="8" t="n">
        <v>7</v>
      </c>
      <c r="E660" s="8" t="n">
        <v>476061</v>
      </c>
      <c r="F660" s="11" t="str">
        <f aca="false">INDEX(Caixas!$C:$C,MATCH(C660,Caixas!$A:$A,0))</f>
        <v>Aberta</v>
      </c>
      <c r="G660" s="9" t="n">
        <v>0</v>
      </c>
      <c r="H660" s="9" t="n">
        <v>0</v>
      </c>
      <c r="I660" s="8" t="n">
        <f aca="false">IF(F660="Inteira CBP",D660,IF(OR(F660="Aberta",F660="Avulso"),G660,0))</f>
        <v>0</v>
      </c>
      <c r="J660" s="8" t="n">
        <f aca="false">IF(F660="Inteira CBTBE",D660,IF(OR(F660="Aberta",F660="Avulso"),H660,0))</f>
        <v>0</v>
      </c>
      <c r="K660" s="8" t="n">
        <f aca="false">D660-I660-J660</f>
        <v>7</v>
      </c>
    </row>
    <row r="661" customFormat="false" ht="15" hidden="false" customHeight="false" outlineLevel="0" collapsed="false">
      <c r="A661" s="8" t="s">
        <v>643</v>
      </c>
      <c r="B661" s="8" t="s">
        <v>644</v>
      </c>
      <c r="C661" s="8" t="s">
        <v>291</v>
      </c>
      <c r="D661" s="8" t="n">
        <v>36</v>
      </c>
      <c r="E661" s="8" t="n">
        <v>476065</v>
      </c>
      <c r="F661" s="11" t="str">
        <f aca="false">INDEX(Caixas!$C:$C,MATCH(C661,Caixas!$A:$A,0))</f>
        <v>Aberta</v>
      </c>
      <c r="G661" s="9" t="n">
        <v>34</v>
      </c>
      <c r="H661" s="9" t="n">
        <v>2</v>
      </c>
      <c r="I661" s="8" t="n">
        <f aca="false">IF(F661="Inteira CBP",D661,IF(OR(F661="Aberta",F661="Avulso"),G661,0))</f>
        <v>34</v>
      </c>
      <c r="J661" s="8" t="n">
        <f aca="false">IF(F661="Inteira CBTBE",D661,IF(OR(F661="Aberta",F661="Avulso"),H661,0))</f>
        <v>2</v>
      </c>
      <c r="K661" s="8" t="n">
        <f aca="false">D661-I661-J661</f>
        <v>0</v>
      </c>
    </row>
    <row r="662" customFormat="false" ht="15" hidden="false" customHeight="false" outlineLevel="0" collapsed="false">
      <c r="A662" s="8" t="s">
        <v>619</v>
      </c>
      <c r="B662" s="8" t="s">
        <v>620</v>
      </c>
      <c r="C662" s="8" t="s">
        <v>291</v>
      </c>
      <c r="D662" s="8" t="n">
        <v>23</v>
      </c>
      <c r="E662" s="8" t="n">
        <v>476061</v>
      </c>
      <c r="F662" s="11" t="str">
        <f aca="false">INDEX(Caixas!$C:$C,MATCH(C662,Caixas!$A:$A,0))</f>
        <v>Aberta</v>
      </c>
      <c r="G662" s="9" t="n">
        <v>1</v>
      </c>
      <c r="H662" s="9" t="n">
        <v>21</v>
      </c>
      <c r="I662" s="8" t="n">
        <f aca="false">IF(F662="Inteira CBP",D662,IF(OR(F662="Aberta",F662="Avulso"),G662,0))</f>
        <v>1</v>
      </c>
      <c r="J662" s="8" t="n">
        <f aca="false">IF(F662="Inteira CBTBE",D662,IF(OR(F662="Aberta",F662="Avulso"),H662,0))</f>
        <v>21</v>
      </c>
      <c r="K662" s="8" t="n">
        <f aca="false">D662-I662-J662</f>
        <v>1</v>
      </c>
    </row>
    <row r="663" customFormat="false" ht="15" hidden="false" customHeight="false" outlineLevel="0" collapsed="false">
      <c r="A663" s="8" t="s">
        <v>645</v>
      </c>
      <c r="B663" s="8" t="s">
        <v>646</v>
      </c>
      <c r="C663" s="8" t="s">
        <v>292</v>
      </c>
      <c r="D663" s="8" t="n">
        <v>26</v>
      </c>
      <c r="E663" s="8" t="n">
        <v>476065</v>
      </c>
      <c r="F663" s="11" t="str">
        <f aca="false">INDEX(Caixas!$C:$C,MATCH(C663,Caixas!$A:$A,0))</f>
        <v>Devolução fechada</v>
      </c>
      <c r="G663" s="9" t="n">
        <v>0</v>
      </c>
      <c r="H663" s="9" t="n">
        <v>0</v>
      </c>
      <c r="I663" s="8" t="n">
        <f aca="false">IF(F663="Inteira CBP",D663,IF(OR(F663="Aberta",F663="Avulso"),G663,0))</f>
        <v>0</v>
      </c>
      <c r="J663" s="8" t="n">
        <f aca="false">IF(F663="Inteira CBTBE",D663,IF(OR(F663="Aberta",F663="Avulso"),H663,0))</f>
        <v>0</v>
      </c>
      <c r="K663" s="8" t="n">
        <f aca="false">D663-I663-J663</f>
        <v>26</v>
      </c>
    </row>
    <row r="664" customFormat="false" ht="15" hidden="false" customHeight="false" outlineLevel="0" collapsed="false">
      <c r="A664" s="8" t="s">
        <v>601</v>
      </c>
      <c r="B664" s="8" t="s">
        <v>602</v>
      </c>
      <c r="C664" s="8" t="s">
        <v>293</v>
      </c>
      <c r="D664" s="8" t="n">
        <v>16</v>
      </c>
      <c r="E664" s="8" t="n">
        <v>476061</v>
      </c>
      <c r="F664" s="11" t="str">
        <f aca="false">INDEX(Caixas!$C:$C,MATCH(C664,Caixas!$A:$A,0))</f>
        <v>Aberta</v>
      </c>
      <c r="G664" s="9" t="n">
        <v>0</v>
      </c>
      <c r="H664" s="9" t="n">
        <v>0</v>
      </c>
      <c r="I664" s="8" t="n">
        <f aca="false">IF(F664="Inteira CBP",D664,IF(OR(F664="Aberta",F664="Avulso"),G664,0))</f>
        <v>0</v>
      </c>
      <c r="J664" s="8" t="n">
        <f aca="false">IF(F664="Inteira CBTBE",D664,IF(OR(F664="Aberta",F664="Avulso"),H664,0))</f>
        <v>0</v>
      </c>
      <c r="K664" s="8" t="n">
        <f aca="false">D664-I664-J664</f>
        <v>16</v>
      </c>
    </row>
    <row r="665" customFormat="false" ht="15" hidden="false" customHeight="false" outlineLevel="0" collapsed="false">
      <c r="A665" s="8" t="s">
        <v>595</v>
      </c>
      <c r="B665" s="8" t="s">
        <v>596</v>
      </c>
      <c r="C665" s="8" t="s">
        <v>293</v>
      </c>
      <c r="D665" s="8" t="n">
        <v>3</v>
      </c>
      <c r="E665" s="8" t="n">
        <v>476061</v>
      </c>
      <c r="F665" s="11" t="str">
        <f aca="false">INDEX(Caixas!$C:$C,MATCH(C665,Caixas!$A:$A,0))</f>
        <v>Aberta</v>
      </c>
      <c r="G665" s="9" t="n">
        <v>3</v>
      </c>
      <c r="H665" s="9" t="n">
        <v>0</v>
      </c>
      <c r="I665" s="8" t="n">
        <f aca="false">IF(F665="Inteira CBP",D665,IF(OR(F665="Aberta",F665="Avulso"),G665,0))</f>
        <v>3</v>
      </c>
      <c r="J665" s="8" t="n">
        <f aca="false">IF(F665="Inteira CBTBE",D665,IF(OR(F665="Aberta",F665="Avulso"),H665,0))</f>
        <v>0</v>
      </c>
      <c r="K665" s="8" t="n">
        <f aca="false">D665-I665-J665</f>
        <v>0</v>
      </c>
    </row>
    <row r="666" customFormat="false" ht="15" hidden="false" customHeight="false" outlineLevel="0" collapsed="false">
      <c r="A666" s="8" t="s">
        <v>647</v>
      </c>
      <c r="B666" s="8" t="s">
        <v>648</v>
      </c>
      <c r="C666" s="8" t="s">
        <v>293</v>
      </c>
      <c r="D666" s="8" t="n">
        <v>28</v>
      </c>
      <c r="E666" s="8" t="n">
        <v>476065</v>
      </c>
      <c r="F666" s="11" t="str">
        <f aca="false">INDEX(Caixas!$C:$C,MATCH(C666,Caixas!$A:$A,0))</f>
        <v>Aberta</v>
      </c>
      <c r="G666" s="9" t="n">
        <v>0</v>
      </c>
      <c r="H666" s="9" t="n">
        <v>13</v>
      </c>
      <c r="I666" s="8" t="n">
        <f aca="false">IF(F666="Inteira CBP",D666,IF(OR(F666="Aberta",F666="Avulso"),G666,0))</f>
        <v>0</v>
      </c>
      <c r="J666" s="8" t="n">
        <f aca="false">IF(F666="Inteira CBTBE",D666,IF(OR(F666="Aberta",F666="Avulso"),H666,0))</f>
        <v>13</v>
      </c>
      <c r="K666" s="8" t="n">
        <f aca="false">D666-I666-J666</f>
        <v>15</v>
      </c>
    </row>
    <row r="667" customFormat="false" ht="15" hidden="false" customHeight="false" outlineLevel="0" collapsed="false">
      <c r="A667" s="8" t="s">
        <v>649</v>
      </c>
      <c r="B667" s="8" t="s">
        <v>650</v>
      </c>
      <c r="C667" s="8" t="s">
        <v>293</v>
      </c>
      <c r="D667" s="8" t="n">
        <v>25</v>
      </c>
      <c r="E667" s="8" t="n">
        <v>476061</v>
      </c>
      <c r="F667" s="11" t="str">
        <f aca="false">INDEX(Caixas!$C:$C,MATCH(C667,Caixas!$A:$A,0))</f>
        <v>Aberta</v>
      </c>
      <c r="G667" s="9" t="n">
        <v>25</v>
      </c>
      <c r="H667" s="9" t="n">
        <v>0</v>
      </c>
      <c r="I667" s="8" t="n">
        <f aca="false">IF(F667="Inteira CBP",D667,IF(OR(F667="Aberta",F667="Avulso"),G667,0))</f>
        <v>25</v>
      </c>
      <c r="J667" s="8" t="n">
        <f aca="false">IF(F667="Inteira CBTBE",D667,IF(OR(F667="Aberta",F667="Avulso"),H667,0))</f>
        <v>0</v>
      </c>
      <c r="K667" s="8" t="n">
        <f aca="false">D667-I667-J667</f>
        <v>0</v>
      </c>
    </row>
    <row r="668" customFormat="false" ht="15" hidden="false" customHeight="false" outlineLevel="0" collapsed="false">
      <c r="A668" s="8" t="s">
        <v>601</v>
      </c>
      <c r="B668" s="8" t="s">
        <v>602</v>
      </c>
      <c r="C668" s="8" t="s">
        <v>294</v>
      </c>
      <c r="D668" s="8" t="n">
        <v>10</v>
      </c>
      <c r="E668" s="8" t="n">
        <v>476061</v>
      </c>
      <c r="F668" s="11" t="str">
        <f aca="false">INDEX(Caixas!$C:$C,MATCH(C668,Caixas!$A:$A,0))</f>
        <v>Aberta</v>
      </c>
      <c r="G668" s="9" t="n">
        <v>0</v>
      </c>
      <c r="H668" s="9" t="n">
        <v>10</v>
      </c>
      <c r="I668" s="8" t="n">
        <f aca="false">IF(F668="Inteira CBP",D668,IF(OR(F668="Aberta",F668="Avulso"),G668,0))</f>
        <v>0</v>
      </c>
      <c r="J668" s="8" t="n">
        <f aca="false">IF(F668="Inteira CBTBE",D668,IF(OR(F668="Aberta",F668="Avulso"),H668,0))</f>
        <v>10</v>
      </c>
      <c r="K668" s="8" t="n">
        <f aca="false">D668-I668-J668</f>
        <v>0</v>
      </c>
    </row>
    <row r="669" customFormat="false" ht="15" hidden="false" customHeight="false" outlineLevel="0" collapsed="false">
      <c r="A669" s="8" t="s">
        <v>645</v>
      </c>
      <c r="B669" s="8" t="s">
        <v>646</v>
      </c>
      <c r="C669" s="8" t="s">
        <v>294</v>
      </c>
      <c r="D669" s="8" t="n">
        <v>13</v>
      </c>
      <c r="E669" s="8" t="n">
        <v>476065</v>
      </c>
      <c r="F669" s="11" t="str">
        <f aca="false">INDEX(Caixas!$C:$C,MATCH(C669,Caixas!$A:$A,0))</f>
        <v>Aberta</v>
      </c>
      <c r="G669" s="9" t="n">
        <v>0</v>
      </c>
      <c r="H669" s="9" t="n">
        <v>3</v>
      </c>
      <c r="I669" s="8" t="n">
        <f aca="false">IF(F669="Inteira CBP",D669,IF(OR(F669="Aberta",F669="Avulso"),G669,0))</f>
        <v>0</v>
      </c>
      <c r="J669" s="8" t="n">
        <f aca="false">IF(F669="Inteira CBTBE",D669,IF(OR(F669="Aberta",F669="Avulso"),H669,0))</f>
        <v>3</v>
      </c>
      <c r="K669" s="8" t="n">
        <f aca="false">D669-I669-J669</f>
        <v>10</v>
      </c>
    </row>
    <row r="670" customFormat="false" ht="15" hidden="false" customHeight="false" outlineLevel="0" collapsed="false">
      <c r="A670" s="8" t="s">
        <v>599</v>
      </c>
      <c r="B670" s="8" t="s">
        <v>600</v>
      </c>
      <c r="C670" s="8" t="s">
        <v>294</v>
      </c>
      <c r="D670" s="8" t="n">
        <v>4</v>
      </c>
      <c r="E670" s="8" t="n">
        <v>476061</v>
      </c>
      <c r="F670" s="11" t="str">
        <f aca="false">INDEX(Caixas!$C:$C,MATCH(C670,Caixas!$A:$A,0))</f>
        <v>Aberta</v>
      </c>
      <c r="G670" s="9" t="n">
        <v>0</v>
      </c>
      <c r="H670" s="9" t="n">
        <v>0</v>
      </c>
      <c r="I670" s="8" t="n">
        <f aca="false">IF(F670="Inteira CBP",D670,IF(OR(F670="Aberta",F670="Avulso"),G670,0))</f>
        <v>0</v>
      </c>
      <c r="J670" s="8" t="n">
        <f aca="false">IF(F670="Inteira CBTBE",D670,IF(OR(F670="Aberta",F670="Avulso"),H670,0))</f>
        <v>0</v>
      </c>
      <c r="K670" s="8" t="n">
        <f aca="false">D670-I670-J670</f>
        <v>4</v>
      </c>
    </row>
    <row r="671" customFormat="false" ht="15" hidden="false" customHeight="false" outlineLevel="0" collapsed="false">
      <c r="A671" s="8" t="s">
        <v>589</v>
      </c>
      <c r="B671" s="8" t="s">
        <v>590</v>
      </c>
      <c r="C671" s="8" t="s">
        <v>294</v>
      </c>
      <c r="D671" s="8" t="n">
        <v>6</v>
      </c>
      <c r="E671" s="8" t="n">
        <v>476061</v>
      </c>
      <c r="F671" s="11" t="str">
        <f aca="false">INDEX(Caixas!$C:$C,MATCH(C671,Caixas!$A:$A,0))</f>
        <v>Aberta</v>
      </c>
      <c r="G671" s="9" t="n">
        <v>0</v>
      </c>
      <c r="H671" s="9" t="n">
        <v>0</v>
      </c>
      <c r="I671" s="8" t="n">
        <f aca="false">IF(F671="Inteira CBP",D671,IF(OR(F671="Aberta",F671="Avulso"),G671,0))</f>
        <v>0</v>
      </c>
      <c r="J671" s="8" t="n">
        <f aca="false">IF(F671="Inteira CBTBE",D671,IF(OR(F671="Aberta",F671="Avulso"),H671,0))</f>
        <v>0</v>
      </c>
      <c r="K671" s="8" t="n">
        <f aca="false">D671-I671-J671</f>
        <v>6</v>
      </c>
    </row>
    <row r="672" customFormat="false" ht="15" hidden="false" customHeight="false" outlineLevel="0" collapsed="false">
      <c r="A672" s="8" t="s">
        <v>593</v>
      </c>
      <c r="B672" s="8" t="s">
        <v>594</v>
      </c>
      <c r="C672" s="8" t="s">
        <v>294</v>
      </c>
      <c r="D672" s="8" t="n">
        <v>16</v>
      </c>
      <c r="E672" s="8" t="n">
        <v>476061</v>
      </c>
      <c r="F672" s="11" t="str">
        <f aca="false">INDEX(Caixas!$C:$C,MATCH(C672,Caixas!$A:$A,0))</f>
        <v>Aberta</v>
      </c>
      <c r="G672" s="9" t="n">
        <v>16</v>
      </c>
      <c r="H672" s="9" t="n">
        <v>0</v>
      </c>
      <c r="I672" s="8" t="n">
        <f aca="false">IF(F672="Inteira CBP",D672,IF(OR(F672="Aberta",F672="Avulso"),G672,0))</f>
        <v>16</v>
      </c>
      <c r="J672" s="8" t="n">
        <f aca="false">IF(F672="Inteira CBTBE",D672,IF(OR(F672="Aberta",F672="Avulso"),H672,0))</f>
        <v>0</v>
      </c>
      <c r="K672" s="8" t="n">
        <f aca="false">D672-I672-J672</f>
        <v>0</v>
      </c>
    </row>
    <row r="673" customFormat="false" ht="15" hidden="false" customHeight="false" outlineLevel="0" collapsed="false">
      <c r="A673" s="8" t="s">
        <v>645</v>
      </c>
      <c r="B673" s="8" t="s">
        <v>646</v>
      </c>
      <c r="C673" s="8" t="s">
        <v>295</v>
      </c>
      <c r="D673" s="8" t="n">
        <v>13</v>
      </c>
      <c r="E673" s="8" t="n">
        <v>476065</v>
      </c>
      <c r="F673" s="11" t="str">
        <f aca="false">INDEX(Caixas!$C:$C,MATCH(C673,Caixas!$A:$A,0))</f>
        <v>Devolução fechada</v>
      </c>
      <c r="G673" s="9" t="n">
        <v>0</v>
      </c>
      <c r="H673" s="9" t="n">
        <v>0</v>
      </c>
      <c r="I673" s="8" t="n">
        <f aca="false">IF(F673="Inteira CBP",D673,IF(OR(F673="Aberta",F673="Avulso"),G673,0))</f>
        <v>0</v>
      </c>
      <c r="J673" s="8" t="n">
        <f aca="false">IF(F673="Inteira CBTBE",D673,IF(OR(F673="Aberta",F673="Avulso"),H673,0))</f>
        <v>0</v>
      </c>
      <c r="K673" s="8" t="n">
        <f aca="false">D673-I673-J673</f>
        <v>13</v>
      </c>
    </row>
    <row r="674" customFormat="false" ht="15" hidden="false" customHeight="false" outlineLevel="0" collapsed="false">
      <c r="A674" s="8" t="s">
        <v>589</v>
      </c>
      <c r="B674" s="8" t="s">
        <v>590</v>
      </c>
      <c r="C674" s="8" t="s">
        <v>295</v>
      </c>
      <c r="D674" s="8" t="n">
        <v>49</v>
      </c>
      <c r="E674" s="8" t="n">
        <v>476061</v>
      </c>
      <c r="F674" s="11" t="str">
        <f aca="false">INDEX(Caixas!$C:$C,MATCH(C674,Caixas!$A:$A,0))</f>
        <v>Devolução fechada</v>
      </c>
      <c r="G674" s="9" t="n">
        <v>0</v>
      </c>
      <c r="H674" s="9" t="n">
        <v>0</v>
      </c>
      <c r="I674" s="8" t="n">
        <f aca="false">IF(F674="Inteira CBP",D674,IF(OR(F674="Aberta",F674="Avulso"),G674,0))</f>
        <v>0</v>
      </c>
      <c r="J674" s="8" t="n">
        <f aca="false">IF(F674="Inteira CBTBE",D674,IF(OR(F674="Aberta",F674="Avulso"),H674,0))</f>
        <v>0</v>
      </c>
      <c r="K674" s="8" t="n">
        <f aca="false">D674-I674-J674</f>
        <v>49</v>
      </c>
    </row>
    <row r="675" customFormat="false" ht="15" hidden="false" customHeight="false" outlineLevel="0" collapsed="false">
      <c r="A675" s="8" t="s">
        <v>645</v>
      </c>
      <c r="B675" s="8" t="s">
        <v>646</v>
      </c>
      <c r="C675" s="8" t="s">
        <v>296</v>
      </c>
      <c r="D675" s="8" t="n">
        <v>13</v>
      </c>
      <c r="E675" s="8" t="n">
        <v>476065</v>
      </c>
      <c r="F675" s="11" t="str">
        <f aca="false">INDEX(Caixas!$C:$C,MATCH(C675,Caixas!$A:$A,0))</f>
        <v>Devolução fechada</v>
      </c>
      <c r="G675" s="9" t="n">
        <v>0</v>
      </c>
      <c r="H675" s="9" t="n">
        <v>0</v>
      </c>
      <c r="I675" s="8" t="n">
        <f aca="false">IF(F675="Inteira CBP",D675,IF(OR(F675="Aberta",F675="Avulso"),G675,0))</f>
        <v>0</v>
      </c>
      <c r="J675" s="8" t="n">
        <f aca="false">IF(F675="Inteira CBTBE",D675,IF(OR(F675="Aberta",F675="Avulso"),H675,0))</f>
        <v>0</v>
      </c>
      <c r="K675" s="8" t="n">
        <f aca="false">D675-I675-J675</f>
        <v>13</v>
      </c>
    </row>
    <row r="676" customFormat="false" ht="15" hidden="false" customHeight="false" outlineLevel="0" collapsed="false">
      <c r="A676" s="8" t="s">
        <v>645</v>
      </c>
      <c r="B676" s="8" t="s">
        <v>646</v>
      </c>
      <c r="C676" s="8" t="s">
        <v>297</v>
      </c>
      <c r="D676" s="8" t="n">
        <v>13</v>
      </c>
      <c r="E676" s="8" t="n">
        <v>476065</v>
      </c>
      <c r="F676" s="11" t="str">
        <f aca="false">INDEX(Caixas!$C:$C,MATCH(C676,Caixas!$A:$A,0))</f>
        <v>Devolução fechada</v>
      </c>
      <c r="G676" s="9" t="n">
        <v>0</v>
      </c>
      <c r="H676" s="9" t="n">
        <v>0</v>
      </c>
      <c r="I676" s="8" t="n">
        <f aca="false">IF(F676="Inteira CBP",D676,IF(OR(F676="Aberta",F676="Avulso"),G676,0))</f>
        <v>0</v>
      </c>
      <c r="J676" s="8" t="n">
        <f aca="false">IF(F676="Inteira CBTBE",D676,IF(OR(F676="Aberta",F676="Avulso"),H676,0))</f>
        <v>0</v>
      </c>
      <c r="K676" s="8" t="n">
        <f aca="false">D676-I676-J676</f>
        <v>13</v>
      </c>
    </row>
    <row r="677" customFormat="false" ht="15" hidden="false" customHeight="false" outlineLevel="0" collapsed="false">
      <c r="A677" s="8" t="s">
        <v>651</v>
      </c>
      <c r="B677" s="8" t="s">
        <v>652</v>
      </c>
      <c r="C677" s="8" t="s">
        <v>298</v>
      </c>
      <c r="D677" s="8" t="n">
        <v>24</v>
      </c>
      <c r="E677" s="8" t="n">
        <v>476065</v>
      </c>
      <c r="F677" s="11" t="str">
        <f aca="false">INDEX(Caixas!$C:$C,MATCH(C677,Caixas!$A:$A,0))</f>
        <v>Inteira CBTBE</v>
      </c>
      <c r="G677" s="9" t="n">
        <v>0</v>
      </c>
      <c r="H677" s="9" t="n">
        <v>0</v>
      </c>
      <c r="I677" s="8" t="n">
        <f aca="false">IF(F677="Inteira CBP",D677,IF(OR(F677="Aberta",F677="Avulso"),G677,0))</f>
        <v>0</v>
      </c>
      <c r="J677" s="8" t="n">
        <f aca="false">IF(F677="Inteira CBTBE",D677,IF(OR(F677="Aberta",F677="Avulso"),H677,0))</f>
        <v>24</v>
      </c>
      <c r="K677" s="8" t="n">
        <f aca="false">D677-I677-J677</f>
        <v>0</v>
      </c>
    </row>
    <row r="678" customFormat="false" ht="15" hidden="false" customHeight="false" outlineLevel="0" collapsed="false">
      <c r="A678" s="8" t="s">
        <v>651</v>
      </c>
      <c r="B678" s="8" t="s">
        <v>652</v>
      </c>
      <c r="C678" s="8" t="s">
        <v>299</v>
      </c>
      <c r="D678" s="8" t="n">
        <v>24</v>
      </c>
      <c r="E678" s="8" t="n">
        <v>476065</v>
      </c>
      <c r="F678" s="11" t="str">
        <f aca="false">INDEX(Caixas!$C:$C,MATCH(C678,Caixas!$A:$A,0))</f>
        <v>Inteira CBTBE</v>
      </c>
      <c r="G678" s="9" t="n">
        <v>0</v>
      </c>
      <c r="H678" s="9" t="n">
        <v>0</v>
      </c>
      <c r="I678" s="8" t="n">
        <f aca="false">IF(F678="Inteira CBP",D678,IF(OR(F678="Aberta",F678="Avulso"),G678,0))</f>
        <v>0</v>
      </c>
      <c r="J678" s="8" t="n">
        <f aca="false">IF(F678="Inteira CBTBE",D678,IF(OR(F678="Aberta",F678="Avulso"),H678,0))</f>
        <v>24</v>
      </c>
      <c r="K678" s="8" t="n">
        <f aca="false">D678-I678-J678</f>
        <v>0</v>
      </c>
    </row>
    <row r="679" customFormat="false" ht="15" hidden="false" customHeight="false" outlineLevel="0" collapsed="false">
      <c r="A679" s="8" t="s">
        <v>653</v>
      </c>
      <c r="B679" s="8" t="s">
        <v>654</v>
      </c>
      <c r="C679" s="8" t="s">
        <v>299</v>
      </c>
      <c r="D679" s="8" t="n">
        <v>34</v>
      </c>
      <c r="E679" s="8" t="n">
        <v>476061</v>
      </c>
      <c r="F679" s="11" t="str">
        <f aca="false">INDEX(Caixas!$C:$C,MATCH(C679,Caixas!$A:$A,0))</f>
        <v>Inteira CBTBE</v>
      </c>
      <c r="G679" s="9" t="n">
        <v>0</v>
      </c>
      <c r="H679" s="9" t="n">
        <v>0</v>
      </c>
      <c r="I679" s="8" t="n">
        <f aca="false">IF(F679="Inteira CBP",D679,IF(OR(F679="Aberta",F679="Avulso"),G679,0))</f>
        <v>0</v>
      </c>
      <c r="J679" s="8" t="n">
        <f aca="false">IF(F679="Inteira CBTBE",D679,IF(OR(F679="Aberta",F679="Avulso"),H679,0))</f>
        <v>34</v>
      </c>
      <c r="K679" s="8" t="n">
        <f aca="false">D679-I679-J679</f>
        <v>0</v>
      </c>
    </row>
    <row r="680" customFormat="false" ht="15" hidden="false" customHeight="false" outlineLevel="0" collapsed="false">
      <c r="A680" s="8" t="s">
        <v>645</v>
      </c>
      <c r="B680" s="8" t="s">
        <v>646</v>
      </c>
      <c r="C680" s="8" t="s">
        <v>300</v>
      </c>
      <c r="D680" s="8" t="n">
        <v>26</v>
      </c>
      <c r="E680" s="8" t="n">
        <v>476065</v>
      </c>
      <c r="F680" s="11" t="str">
        <f aca="false">INDEX(Caixas!$C:$C,MATCH(C680,Caixas!$A:$A,0))</f>
        <v>Devolução fechada</v>
      </c>
      <c r="G680" s="9" t="n">
        <v>0</v>
      </c>
      <c r="H680" s="9" t="n">
        <v>0</v>
      </c>
      <c r="I680" s="8" t="n">
        <f aca="false">IF(F680="Inteira CBP",D680,IF(OR(F680="Aberta",F680="Avulso"),G680,0))</f>
        <v>0</v>
      </c>
      <c r="J680" s="8" t="n">
        <f aca="false">IF(F680="Inteira CBTBE",D680,IF(OR(F680="Aberta",F680="Avulso"),H680,0))</f>
        <v>0</v>
      </c>
      <c r="K680" s="8" t="n">
        <f aca="false">D680-I680-J680</f>
        <v>26</v>
      </c>
    </row>
    <row r="681" customFormat="false" ht="15" hidden="false" customHeight="false" outlineLevel="0" collapsed="false">
      <c r="A681" s="8" t="s">
        <v>653</v>
      </c>
      <c r="B681" s="8" t="s">
        <v>654</v>
      </c>
      <c r="C681" s="8" t="s">
        <v>300</v>
      </c>
      <c r="D681" s="8" t="n">
        <v>34</v>
      </c>
      <c r="E681" s="8" t="n">
        <v>476061</v>
      </c>
      <c r="F681" s="11" t="str">
        <f aca="false">INDEX(Caixas!$C:$C,MATCH(C681,Caixas!$A:$A,0))</f>
        <v>Devolução fechada</v>
      </c>
      <c r="G681" s="9" t="n">
        <v>0</v>
      </c>
      <c r="H681" s="9" t="n">
        <v>0</v>
      </c>
      <c r="I681" s="8" t="n">
        <f aca="false">IF(F681="Inteira CBP",D681,IF(OR(F681="Aberta",F681="Avulso"),G681,0))</f>
        <v>0</v>
      </c>
      <c r="J681" s="8" t="n">
        <f aca="false">IF(F681="Inteira CBTBE",D681,IF(OR(F681="Aberta",F681="Avulso"),H681,0))</f>
        <v>0</v>
      </c>
      <c r="K681" s="8" t="n">
        <f aca="false">D681-I681-J681</f>
        <v>34</v>
      </c>
    </row>
    <row r="682" customFormat="false" ht="15" hidden="false" customHeight="false" outlineLevel="0" collapsed="false">
      <c r="A682" s="8" t="s">
        <v>647</v>
      </c>
      <c r="B682" s="8" t="s">
        <v>648</v>
      </c>
      <c r="C682" s="8" t="s">
        <v>301</v>
      </c>
      <c r="D682" s="8" t="n">
        <v>28</v>
      </c>
      <c r="E682" s="8" t="n">
        <v>476065</v>
      </c>
      <c r="F682" s="11" t="str">
        <f aca="false">INDEX(Caixas!$C:$C,MATCH(C682,Caixas!$A:$A,0))</f>
        <v>Aberta</v>
      </c>
      <c r="G682" s="9" t="n">
        <v>23</v>
      </c>
      <c r="H682" s="9" t="n">
        <v>0</v>
      </c>
      <c r="I682" s="8" t="n">
        <f aca="false">IF(F682="Inteira CBP",D682,IF(OR(F682="Aberta",F682="Avulso"),G682,0))</f>
        <v>23</v>
      </c>
      <c r="J682" s="8" t="n">
        <f aca="false">IF(F682="Inteira CBTBE",D682,IF(OR(F682="Aberta",F682="Avulso"),H682,0))</f>
        <v>0</v>
      </c>
      <c r="K682" s="8" t="n">
        <f aca="false">D682-I682-J682</f>
        <v>5</v>
      </c>
    </row>
    <row r="683" customFormat="false" ht="15" hidden="false" customHeight="false" outlineLevel="0" collapsed="false">
      <c r="A683" s="8" t="s">
        <v>653</v>
      </c>
      <c r="B683" s="8" t="s">
        <v>654</v>
      </c>
      <c r="C683" s="8" t="s">
        <v>301</v>
      </c>
      <c r="D683" s="8" t="n">
        <v>34</v>
      </c>
      <c r="E683" s="8" t="n">
        <v>476061</v>
      </c>
      <c r="F683" s="11" t="str">
        <f aca="false">INDEX(Caixas!$C:$C,MATCH(C683,Caixas!$A:$A,0))</f>
        <v>Aberta</v>
      </c>
      <c r="G683" s="9" t="n">
        <v>0</v>
      </c>
      <c r="H683" s="9" t="n">
        <v>3</v>
      </c>
      <c r="I683" s="8" t="n">
        <f aca="false">IF(F683="Inteira CBP",D683,IF(OR(F683="Aberta",F683="Avulso"),G683,0))</f>
        <v>0</v>
      </c>
      <c r="J683" s="8" t="n">
        <f aca="false">IF(F683="Inteira CBTBE",D683,IF(OR(F683="Aberta",F683="Avulso"),H683,0))</f>
        <v>3</v>
      </c>
      <c r="K683" s="8" t="n">
        <f aca="false">D683-I683-J683</f>
        <v>31</v>
      </c>
    </row>
    <row r="684" customFormat="false" ht="15" hidden="false" customHeight="false" outlineLevel="0" collapsed="false">
      <c r="A684" s="8" t="s">
        <v>651</v>
      </c>
      <c r="B684" s="8" t="s">
        <v>652</v>
      </c>
      <c r="C684" s="8" t="s">
        <v>302</v>
      </c>
      <c r="D684" s="8" t="n">
        <v>24</v>
      </c>
      <c r="E684" s="8" t="n">
        <v>476065</v>
      </c>
      <c r="F684" s="11" t="str">
        <f aca="false">INDEX(Caixas!$C:$C,MATCH(C684,Caixas!$A:$A,0))</f>
        <v>Aberta</v>
      </c>
      <c r="G684" s="9" t="n">
        <v>0</v>
      </c>
      <c r="H684" s="9" t="n">
        <v>24</v>
      </c>
      <c r="I684" s="8" t="n">
        <f aca="false">IF(F684="Inteira CBP",D684,IF(OR(F684="Aberta",F684="Avulso"),G684,0))</f>
        <v>0</v>
      </c>
      <c r="J684" s="8" t="n">
        <f aca="false">IF(F684="Inteira CBTBE",D684,IF(OR(F684="Aberta",F684="Avulso"),H684,0))</f>
        <v>24</v>
      </c>
      <c r="K684" s="8" t="n">
        <f aca="false">D684-I684-J684</f>
        <v>0</v>
      </c>
    </row>
    <row r="685" customFormat="false" ht="15" hidden="false" customHeight="false" outlineLevel="0" collapsed="false">
      <c r="A685" s="8" t="s">
        <v>653</v>
      </c>
      <c r="B685" s="8" t="s">
        <v>654</v>
      </c>
      <c r="C685" s="8" t="s">
        <v>302</v>
      </c>
      <c r="D685" s="8" t="n">
        <v>34</v>
      </c>
      <c r="E685" s="8" t="n">
        <v>476061</v>
      </c>
      <c r="F685" s="11" t="str">
        <f aca="false">INDEX(Caixas!$C:$C,MATCH(C685,Caixas!$A:$A,0))</f>
        <v>Aberta</v>
      </c>
      <c r="G685" s="9" t="n">
        <v>0</v>
      </c>
      <c r="H685" s="9" t="n">
        <v>0</v>
      </c>
      <c r="I685" s="8" t="n">
        <f aca="false">IF(F685="Inteira CBP",D685,IF(OR(F685="Aberta",F685="Avulso"),G685,0))</f>
        <v>0</v>
      </c>
      <c r="J685" s="8" t="n">
        <f aca="false">IF(F685="Inteira CBTBE",D685,IF(OR(F685="Aberta",F685="Avulso"),H685,0))</f>
        <v>0</v>
      </c>
      <c r="K685" s="8" t="n">
        <f aca="false">D685-I685-J685</f>
        <v>34</v>
      </c>
    </row>
    <row r="686" customFormat="false" ht="15" hidden="false" customHeight="false" outlineLevel="0" collapsed="false">
      <c r="A686" s="8" t="s">
        <v>647</v>
      </c>
      <c r="B686" s="8" t="s">
        <v>648</v>
      </c>
      <c r="C686" s="8" t="s">
        <v>303</v>
      </c>
      <c r="D686" s="8" t="n">
        <v>28</v>
      </c>
      <c r="E686" s="8" t="n">
        <v>476065</v>
      </c>
      <c r="F686" s="11" t="str">
        <f aca="false">INDEX(Caixas!$C:$C,MATCH(C686,Caixas!$A:$A,0))</f>
        <v>Devolução fechada</v>
      </c>
      <c r="G686" s="9" t="n">
        <v>0</v>
      </c>
      <c r="H686" s="9" t="n">
        <v>0</v>
      </c>
      <c r="I686" s="8" t="n">
        <f aca="false">IF(F686="Inteira CBP",D686,IF(OR(F686="Aberta",F686="Avulso"),G686,0))</f>
        <v>0</v>
      </c>
      <c r="J686" s="8" t="n">
        <f aca="false">IF(F686="Inteira CBTBE",D686,IF(OR(F686="Aberta",F686="Avulso"),H686,0))</f>
        <v>0</v>
      </c>
      <c r="K686" s="8" t="n">
        <f aca="false">D686-I686-J686</f>
        <v>28</v>
      </c>
    </row>
    <row r="687" customFormat="false" ht="15" hidden="false" customHeight="false" outlineLevel="0" collapsed="false">
      <c r="A687" s="8" t="s">
        <v>655</v>
      </c>
      <c r="B687" s="8" t="s">
        <v>656</v>
      </c>
      <c r="C687" s="8" t="s">
        <v>303</v>
      </c>
      <c r="D687" s="8" t="n">
        <v>38</v>
      </c>
      <c r="E687" s="8" t="n">
        <v>476061</v>
      </c>
      <c r="F687" s="11" t="str">
        <f aca="false">INDEX(Caixas!$C:$C,MATCH(C687,Caixas!$A:$A,0))</f>
        <v>Devolução fechada</v>
      </c>
      <c r="G687" s="9" t="n">
        <v>0</v>
      </c>
      <c r="H687" s="9" t="n">
        <v>0</v>
      </c>
      <c r="I687" s="8" t="n">
        <f aca="false">IF(F687="Inteira CBP",D687,IF(OR(F687="Aberta",F687="Avulso"),G687,0))</f>
        <v>0</v>
      </c>
      <c r="J687" s="8" t="n">
        <f aca="false">IF(F687="Inteira CBTBE",D687,IF(OR(F687="Aberta",F687="Avulso"),H687,0))</f>
        <v>0</v>
      </c>
      <c r="K687" s="8" t="n">
        <f aca="false">D687-I687-J687</f>
        <v>38</v>
      </c>
    </row>
    <row r="688" customFormat="false" ht="15" hidden="false" customHeight="false" outlineLevel="0" collapsed="false">
      <c r="A688" s="8" t="s">
        <v>655</v>
      </c>
      <c r="B688" s="8" t="s">
        <v>656</v>
      </c>
      <c r="C688" s="8" t="s">
        <v>304</v>
      </c>
      <c r="D688" s="8" t="n">
        <v>38</v>
      </c>
      <c r="E688" s="8" t="n">
        <v>476061</v>
      </c>
      <c r="F688" s="11" t="str">
        <f aca="false">INDEX(Caixas!$C:$C,MATCH(C688,Caixas!$A:$A,0))</f>
        <v>Inteira CBP</v>
      </c>
      <c r="G688" s="9" t="n">
        <v>0</v>
      </c>
      <c r="H688" s="9" t="n">
        <v>0</v>
      </c>
      <c r="I688" s="8" t="n">
        <f aca="false">IF(F688="Inteira CBP",D688,IF(OR(F688="Aberta",F688="Avulso"),G688,0))</f>
        <v>38</v>
      </c>
      <c r="J688" s="8" t="n">
        <f aca="false">IF(F688="Inteira CBTBE",D688,IF(OR(F688="Aberta",F688="Avulso"),H688,0))</f>
        <v>0</v>
      </c>
      <c r="K688" s="8" t="n">
        <f aca="false">D688-I688-J688</f>
        <v>0</v>
      </c>
    </row>
    <row r="689" customFormat="false" ht="15" hidden="false" customHeight="false" outlineLevel="0" collapsed="false">
      <c r="A689" s="8" t="s">
        <v>655</v>
      </c>
      <c r="B689" s="8" t="s">
        <v>656</v>
      </c>
      <c r="C689" s="8" t="s">
        <v>306</v>
      </c>
      <c r="D689" s="8" t="n">
        <v>38</v>
      </c>
      <c r="E689" s="8" t="n">
        <v>476061</v>
      </c>
      <c r="F689" s="11" t="str">
        <f aca="false">INDEX(Caixas!$C:$C,MATCH(C689,Caixas!$A:$A,0))</f>
        <v>Devolução fechada</v>
      </c>
      <c r="G689" s="9" t="n">
        <v>0</v>
      </c>
      <c r="H689" s="9" t="n">
        <v>0</v>
      </c>
      <c r="I689" s="8" t="n">
        <f aca="false">IF(F689="Inteira CBP",D689,IF(OR(F689="Aberta",F689="Avulso"),G689,0))</f>
        <v>0</v>
      </c>
      <c r="J689" s="8" t="n">
        <f aca="false">IF(F689="Inteira CBTBE",D689,IF(OR(F689="Aberta",F689="Avulso"),H689,0))</f>
        <v>0</v>
      </c>
      <c r="K689" s="8" t="n">
        <f aca="false">D689-I689-J689</f>
        <v>38</v>
      </c>
    </row>
    <row r="690" customFormat="false" ht="15" hidden="false" customHeight="false" outlineLevel="0" collapsed="false">
      <c r="A690" s="8" t="s">
        <v>647</v>
      </c>
      <c r="B690" s="8" t="s">
        <v>648</v>
      </c>
      <c r="C690" s="8" t="s">
        <v>307</v>
      </c>
      <c r="D690" s="8" t="n">
        <v>28</v>
      </c>
      <c r="E690" s="8" t="n">
        <v>476065</v>
      </c>
      <c r="F690" s="11" t="str">
        <f aca="false">INDEX(Caixas!$C:$C,MATCH(C690,Caixas!$A:$A,0))</f>
        <v>Inteira CBTBE</v>
      </c>
      <c r="G690" s="9" t="n">
        <v>0</v>
      </c>
      <c r="H690" s="9" t="n">
        <v>0</v>
      </c>
      <c r="I690" s="8" t="n">
        <f aca="false">IF(F690="Inteira CBP",D690,IF(OR(F690="Aberta",F690="Avulso"),G690,0))</f>
        <v>0</v>
      </c>
      <c r="J690" s="8" t="n">
        <f aca="false">IF(F690="Inteira CBTBE",D690,IF(OR(F690="Aberta",F690="Avulso"),H690,0))</f>
        <v>28</v>
      </c>
      <c r="K690" s="8" t="n">
        <f aca="false">D690-I690-J690</f>
        <v>0</v>
      </c>
    </row>
    <row r="691" customFormat="false" ht="15" hidden="false" customHeight="false" outlineLevel="0" collapsed="false">
      <c r="A691" s="8" t="s">
        <v>647</v>
      </c>
      <c r="B691" s="8" t="s">
        <v>648</v>
      </c>
      <c r="C691" s="8" t="s">
        <v>308</v>
      </c>
      <c r="D691" s="8" t="n">
        <v>28</v>
      </c>
      <c r="E691" s="8" t="n">
        <v>476065</v>
      </c>
      <c r="F691" s="11" t="str">
        <f aca="false">INDEX(Caixas!$C:$C,MATCH(C691,Caixas!$A:$A,0))</f>
        <v>Inteira CBTBE</v>
      </c>
      <c r="G691" s="9" t="n">
        <v>0</v>
      </c>
      <c r="H691" s="9" t="n">
        <v>0</v>
      </c>
      <c r="I691" s="8" t="n">
        <f aca="false">IF(F691="Inteira CBP",D691,IF(OR(F691="Aberta",F691="Avulso"),G691,0))</f>
        <v>0</v>
      </c>
      <c r="J691" s="8" t="n">
        <f aca="false">IF(F691="Inteira CBTBE",D691,IF(OR(F691="Aberta",F691="Avulso"),H691,0))</f>
        <v>28</v>
      </c>
      <c r="K691" s="8" t="n">
        <f aca="false">D691-I691-J691</f>
        <v>0</v>
      </c>
    </row>
    <row r="692" customFormat="false" ht="15" hidden="false" customHeight="false" outlineLevel="0" collapsed="false">
      <c r="A692" s="8" t="s">
        <v>647</v>
      </c>
      <c r="B692" s="8" t="s">
        <v>648</v>
      </c>
      <c r="C692" s="8" t="s">
        <v>309</v>
      </c>
      <c r="D692" s="8" t="n">
        <v>28</v>
      </c>
      <c r="E692" s="8" t="n">
        <v>476065</v>
      </c>
      <c r="F692" s="11" t="str">
        <f aca="false">INDEX(Caixas!$C:$C,MATCH(C692,Caixas!$A:$A,0))</f>
        <v>Devolução fechada</v>
      </c>
      <c r="G692" s="9" t="n">
        <v>0</v>
      </c>
      <c r="H692" s="9" t="n">
        <v>0</v>
      </c>
      <c r="I692" s="8" t="n">
        <f aca="false">IF(F692="Inteira CBP",D692,IF(OR(F692="Aberta",F692="Avulso"),G692,0))</f>
        <v>0</v>
      </c>
      <c r="J692" s="8" t="n">
        <f aca="false">IF(F692="Inteira CBTBE",D692,IF(OR(F692="Aberta",F692="Avulso"),H692,0))</f>
        <v>0</v>
      </c>
      <c r="K692" s="8" t="n">
        <f aca="false">D692-I692-J692</f>
        <v>28</v>
      </c>
    </row>
    <row r="693" customFormat="false" ht="15" hidden="false" customHeight="false" outlineLevel="0" collapsed="false">
      <c r="A693" s="8" t="s">
        <v>657</v>
      </c>
      <c r="B693" s="8" t="s">
        <v>658</v>
      </c>
      <c r="C693" s="8" t="s">
        <v>309</v>
      </c>
      <c r="D693" s="8" t="n">
        <v>9</v>
      </c>
      <c r="E693" s="8" t="n">
        <v>476061</v>
      </c>
      <c r="F693" s="11" t="str">
        <f aca="false">INDEX(Caixas!$C:$C,MATCH(C693,Caixas!$A:$A,0))</f>
        <v>Devolução fechada</v>
      </c>
      <c r="G693" s="9" t="n">
        <v>0</v>
      </c>
      <c r="H693" s="9" t="n">
        <v>0</v>
      </c>
      <c r="I693" s="8" t="n">
        <f aca="false">IF(F693="Inteira CBP",D693,IF(OR(F693="Aberta",F693="Avulso"),G693,0))</f>
        <v>0</v>
      </c>
      <c r="J693" s="8" t="n">
        <f aca="false">IF(F693="Inteira CBTBE",D693,IF(OR(F693="Aberta",F693="Avulso"),H693,0))</f>
        <v>0</v>
      </c>
      <c r="K693" s="8" t="n">
        <f aca="false">D693-I693-J693</f>
        <v>9</v>
      </c>
    </row>
    <row r="694" customFormat="false" ht="15" hidden="false" customHeight="false" outlineLevel="0" collapsed="false">
      <c r="A694" s="8" t="s">
        <v>657</v>
      </c>
      <c r="B694" s="8" t="s">
        <v>658</v>
      </c>
      <c r="C694" s="8" t="s">
        <v>310</v>
      </c>
      <c r="D694" s="8" t="n">
        <v>9</v>
      </c>
      <c r="E694" s="8" t="n">
        <v>476061</v>
      </c>
      <c r="F694" s="11" t="str">
        <f aca="false">INDEX(Caixas!$C:$C,MATCH(C694,Caixas!$A:$A,0))</f>
        <v>Devolução fechada</v>
      </c>
      <c r="G694" s="9" t="n">
        <v>0</v>
      </c>
      <c r="H694" s="9" t="n">
        <v>0</v>
      </c>
      <c r="I694" s="8" t="n">
        <f aca="false">IF(F694="Inteira CBP",D694,IF(OR(F694="Aberta",F694="Avulso"),G694,0))</f>
        <v>0</v>
      </c>
      <c r="J694" s="8" t="n">
        <f aca="false">IF(F694="Inteira CBTBE",D694,IF(OR(F694="Aberta",F694="Avulso"),H694,0))</f>
        <v>0</v>
      </c>
      <c r="K694" s="8" t="n">
        <f aca="false">D694-I694-J694</f>
        <v>9</v>
      </c>
    </row>
    <row r="695" customFormat="false" ht="15" hidden="false" customHeight="false" outlineLevel="0" collapsed="false">
      <c r="A695" s="8" t="s">
        <v>647</v>
      </c>
      <c r="B695" s="8" t="s">
        <v>648</v>
      </c>
      <c r="C695" s="8" t="s">
        <v>311</v>
      </c>
      <c r="D695" s="8" t="n">
        <v>28</v>
      </c>
      <c r="E695" s="8" t="n">
        <v>476065</v>
      </c>
      <c r="F695" s="11" t="str">
        <f aca="false">INDEX(Caixas!$C:$C,MATCH(C695,Caixas!$A:$A,0))</f>
        <v>Inteira CBTBE</v>
      </c>
      <c r="G695" s="9" t="n">
        <v>0</v>
      </c>
      <c r="H695" s="9" t="n">
        <v>0</v>
      </c>
      <c r="I695" s="8" t="n">
        <f aca="false">IF(F695="Inteira CBP",D695,IF(OR(F695="Aberta",F695="Avulso"),G695,0))</f>
        <v>0</v>
      </c>
      <c r="J695" s="8" t="n">
        <f aca="false">IF(F695="Inteira CBTBE",D695,IF(OR(F695="Aberta",F695="Avulso"),H695,0))</f>
        <v>28</v>
      </c>
      <c r="K695" s="8" t="n">
        <f aca="false">D695-I695-J695</f>
        <v>0</v>
      </c>
    </row>
    <row r="696" customFormat="false" ht="15" hidden="false" customHeight="false" outlineLevel="0" collapsed="false">
      <c r="A696" s="8" t="s">
        <v>657</v>
      </c>
      <c r="B696" s="8" t="s">
        <v>658</v>
      </c>
      <c r="C696" s="8" t="s">
        <v>311</v>
      </c>
      <c r="D696" s="8" t="n">
        <v>9</v>
      </c>
      <c r="E696" s="8" t="n">
        <v>476061</v>
      </c>
      <c r="F696" s="11" t="str">
        <f aca="false">INDEX(Caixas!$C:$C,MATCH(C696,Caixas!$A:$A,0))</f>
        <v>Inteira CBTBE</v>
      </c>
      <c r="G696" s="9" t="n">
        <v>0</v>
      </c>
      <c r="H696" s="9" t="n">
        <v>0</v>
      </c>
      <c r="I696" s="8" t="n">
        <f aca="false">IF(F696="Inteira CBP",D696,IF(OR(F696="Aberta",F696="Avulso"),G696,0))</f>
        <v>0</v>
      </c>
      <c r="J696" s="8" t="n">
        <f aca="false">IF(F696="Inteira CBTBE",D696,IF(OR(F696="Aberta",F696="Avulso"),H696,0))</f>
        <v>9</v>
      </c>
      <c r="K696" s="8" t="n">
        <f aca="false">D696-I696-J696</f>
        <v>0</v>
      </c>
    </row>
    <row r="697" customFormat="false" ht="15" hidden="false" customHeight="false" outlineLevel="0" collapsed="false">
      <c r="A697" s="8" t="s">
        <v>647</v>
      </c>
      <c r="B697" s="8" t="s">
        <v>648</v>
      </c>
      <c r="C697" s="8" t="s">
        <v>312</v>
      </c>
      <c r="D697" s="8" t="n">
        <v>28</v>
      </c>
      <c r="E697" s="8" t="n">
        <v>476065</v>
      </c>
      <c r="F697" s="11" t="str">
        <f aca="false">INDEX(Caixas!$C:$C,MATCH(C697,Caixas!$A:$A,0))</f>
        <v>Inteira CBTBE</v>
      </c>
      <c r="G697" s="9" t="n">
        <v>0</v>
      </c>
      <c r="H697" s="9" t="n">
        <v>0</v>
      </c>
      <c r="I697" s="8" t="n">
        <f aca="false">IF(F697="Inteira CBP",D697,IF(OR(F697="Aberta",F697="Avulso"),G697,0))</f>
        <v>0</v>
      </c>
      <c r="J697" s="8" t="n">
        <f aca="false">IF(F697="Inteira CBTBE",D697,IF(OR(F697="Aberta",F697="Avulso"),H697,0))</f>
        <v>28</v>
      </c>
      <c r="K697" s="8" t="n">
        <f aca="false">D697-I697-J697</f>
        <v>0</v>
      </c>
    </row>
    <row r="698" customFormat="false" ht="15" hidden="false" customHeight="false" outlineLevel="0" collapsed="false">
      <c r="A698" s="8" t="s">
        <v>657</v>
      </c>
      <c r="B698" s="8" t="s">
        <v>658</v>
      </c>
      <c r="C698" s="8" t="s">
        <v>312</v>
      </c>
      <c r="D698" s="8" t="n">
        <v>9</v>
      </c>
      <c r="E698" s="8" t="n">
        <v>476061</v>
      </c>
      <c r="F698" s="11" t="str">
        <f aca="false">INDEX(Caixas!$C:$C,MATCH(C698,Caixas!$A:$A,0))</f>
        <v>Inteira CBTBE</v>
      </c>
      <c r="G698" s="9" t="n">
        <v>0</v>
      </c>
      <c r="H698" s="9" t="n">
        <v>0</v>
      </c>
      <c r="I698" s="8" t="n">
        <f aca="false">IF(F698="Inteira CBP",D698,IF(OR(F698="Aberta",F698="Avulso"),G698,0))</f>
        <v>0</v>
      </c>
      <c r="J698" s="8" t="n">
        <f aca="false">IF(F698="Inteira CBTBE",D698,IF(OR(F698="Aberta",F698="Avulso"),H698,0))</f>
        <v>9</v>
      </c>
      <c r="K698" s="8" t="n">
        <f aca="false">D698-I698-J698</f>
        <v>0</v>
      </c>
    </row>
    <row r="699" customFormat="false" ht="15" hidden="false" customHeight="false" outlineLevel="0" collapsed="false">
      <c r="A699" s="8" t="s">
        <v>657</v>
      </c>
      <c r="B699" s="8" t="s">
        <v>658</v>
      </c>
      <c r="C699" s="8" t="s">
        <v>313</v>
      </c>
      <c r="D699" s="8" t="n">
        <v>9</v>
      </c>
      <c r="E699" s="8" t="n">
        <v>476061</v>
      </c>
      <c r="F699" s="11" t="str">
        <f aca="false">INDEX(Caixas!$C:$C,MATCH(C699,Caixas!$A:$A,0))</f>
        <v>Devolução fechada</v>
      </c>
      <c r="G699" s="9" t="n">
        <v>0</v>
      </c>
      <c r="H699" s="9" t="n">
        <v>0</v>
      </c>
      <c r="I699" s="8" t="n">
        <f aca="false">IF(F699="Inteira CBP",D699,IF(OR(F699="Aberta",F699="Avulso"),G699,0))</f>
        <v>0</v>
      </c>
      <c r="J699" s="8" t="n">
        <f aca="false">IF(F699="Inteira CBTBE",D699,IF(OR(F699="Aberta",F699="Avulso"),H699,0))</f>
        <v>0</v>
      </c>
      <c r="K699" s="8" t="n">
        <f aca="false">D699-I699-J699</f>
        <v>9</v>
      </c>
    </row>
    <row r="700" customFormat="false" ht="15" hidden="false" customHeight="false" outlineLevel="0" collapsed="false">
      <c r="A700" s="8" t="s">
        <v>647</v>
      </c>
      <c r="B700" s="8" t="s">
        <v>648</v>
      </c>
      <c r="C700" s="8" t="s">
        <v>314</v>
      </c>
      <c r="D700" s="8" t="n">
        <v>28</v>
      </c>
      <c r="E700" s="8" t="n">
        <v>476065</v>
      </c>
      <c r="F700" s="11" t="str">
        <f aca="false">INDEX(Caixas!$C:$C,MATCH(C700,Caixas!$A:$A,0))</f>
        <v>Inteira CBTBE</v>
      </c>
      <c r="G700" s="9" t="n">
        <v>0</v>
      </c>
      <c r="H700" s="9" t="n">
        <v>0</v>
      </c>
      <c r="I700" s="8" t="n">
        <f aca="false">IF(F700="Inteira CBP",D700,IF(OR(F700="Aberta",F700="Avulso"),G700,0))</f>
        <v>0</v>
      </c>
      <c r="J700" s="8" t="n">
        <f aca="false">IF(F700="Inteira CBTBE",D700,IF(OR(F700="Aberta",F700="Avulso"),H700,0))</f>
        <v>28</v>
      </c>
      <c r="K700" s="8" t="n">
        <f aca="false">D700-I700-J700</f>
        <v>0</v>
      </c>
    </row>
    <row r="701" customFormat="false" ht="15" hidden="false" customHeight="false" outlineLevel="0" collapsed="false">
      <c r="A701" s="8" t="s">
        <v>657</v>
      </c>
      <c r="B701" s="8" t="s">
        <v>658</v>
      </c>
      <c r="C701" s="8" t="s">
        <v>315</v>
      </c>
      <c r="D701" s="8" t="n">
        <v>9</v>
      </c>
      <c r="E701" s="8" t="n">
        <v>476061</v>
      </c>
      <c r="F701" s="11" t="str">
        <f aca="false">INDEX(Caixas!$C:$C,MATCH(C701,Caixas!$A:$A,0))</f>
        <v>Inteira CBP</v>
      </c>
      <c r="G701" s="9" t="n">
        <v>0</v>
      </c>
      <c r="H701" s="9" t="n">
        <v>0</v>
      </c>
      <c r="I701" s="8" t="n">
        <f aca="false">IF(F701="Inteira CBP",D701,IF(OR(F701="Aberta",F701="Avulso"),G701,0))</f>
        <v>9</v>
      </c>
      <c r="J701" s="8" t="n">
        <f aca="false">IF(F701="Inteira CBTBE",D701,IF(OR(F701="Aberta",F701="Avulso"),H701,0))</f>
        <v>0</v>
      </c>
      <c r="K701" s="8" t="n">
        <f aca="false">D701-I701-J701</f>
        <v>0</v>
      </c>
    </row>
    <row r="702" customFormat="false" ht="15" hidden="false" customHeight="false" outlineLevel="0" collapsed="false">
      <c r="A702" s="8" t="s">
        <v>657</v>
      </c>
      <c r="B702" s="8" t="s">
        <v>658</v>
      </c>
      <c r="C702" s="8" t="s">
        <v>316</v>
      </c>
      <c r="D702" s="8" t="n">
        <v>9</v>
      </c>
      <c r="E702" s="8" t="n">
        <v>476061</v>
      </c>
      <c r="F702" s="11" t="str">
        <f aca="false">INDEX(Caixas!$C:$C,MATCH(C702,Caixas!$A:$A,0))</f>
        <v>Inteira CBP</v>
      </c>
      <c r="G702" s="9" t="n">
        <v>0</v>
      </c>
      <c r="H702" s="9" t="n">
        <v>0</v>
      </c>
      <c r="I702" s="8" t="n">
        <f aca="false">IF(F702="Inteira CBP",D702,IF(OR(F702="Aberta",F702="Avulso"),G702,0))</f>
        <v>9</v>
      </c>
      <c r="J702" s="8" t="n">
        <f aca="false">IF(F702="Inteira CBTBE",D702,IF(OR(F702="Aberta",F702="Avulso"),H702,0))</f>
        <v>0</v>
      </c>
      <c r="K702" s="8" t="n">
        <f aca="false">D702-I702-J702</f>
        <v>0</v>
      </c>
    </row>
    <row r="703" customFormat="false" ht="15" hidden="false" customHeight="false" outlineLevel="0" collapsed="false">
      <c r="A703" s="8" t="s">
        <v>641</v>
      </c>
      <c r="B703" s="8" t="s">
        <v>642</v>
      </c>
      <c r="C703" s="8" t="s">
        <v>316</v>
      </c>
      <c r="D703" s="8" t="n">
        <v>28</v>
      </c>
      <c r="E703" s="8" t="n">
        <v>476065</v>
      </c>
      <c r="F703" s="11" t="str">
        <f aca="false">INDEX(Caixas!$C:$C,MATCH(C703,Caixas!$A:$A,0))</f>
        <v>Inteira CBP</v>
      </c>
      <c r="G703" s="9" t="n">
        <v>0</v>
      </c>
      <c r="H703" s="9" t="n">
        <v>0</v>
      </c>
      <c r="I703" s="8" t="n">
        <f aca="false">IF(F703="Inteira CBP",D703,IF(OR(F703="Aberta",F703="Avulso"),G703,0))</f>
        <v>28</v>
      </c>
      <c r="J703" s="8" t="n">
        <f aca="false">IF(F703="Inteira CBTBE",D703,IF(OR(F703="Aberta",F703="Avulso"),H703,0))</f>
        <v>0</v>
      </c>
      <c r="K703" s="8" t="n">
        <f aca="false">D703-I703-J703</f>
        <v>0</v>
      </c>
    </row>
    <row r="704" customFormat="false" ht="15" hidden="false" customHeight="false" outlineLevel="0" collapsed="false">
      <c r="A704" s="8" t="s">
        <v>657</v>
      </c>
      <c r="B704" s="8" t="s">
        <v>658</v>
      </c>
      <c r="C704" s="8" t="s">
        <v>318</v>
      </c>
      <c r="D704" s="8" t="n">
        <v>9</v>
      </c>
      <c r="E704" s="8" t="n">
        <v>476061</v>
      </c>
      <c r="F704" s="11" t="str">
        <f aca="false">INDEX(Caixas!$C:$C,MATCH(C704,Caixas!$A:$A,0))</f>
        <v>Devolução fechada</v>
      </c>
      <c r="G704" s="9" t="n">
        <v>0</v>
      </c>
      <c r="H704" s="9" t="n">
        <v>0</v>
      </c>
      <c r="I704" s="8" t="n">
        <f aca="false">IF(F704="Inteira CBP",D704,IF(OR(F704="Aberta",F704="Avulso"),G704,0))</f>
        <v>0</v>
      </c>
      <c r="J704" s="8" t="n">
        <f aca="false">IF(F704="Inteira CBTBE",D704,IF(OR(F704="Aberta",F704="Avulso"),H704,0))</f>
        <v>0</v>
      </c>
      <c r="K704" s="8" t="n">
        <f aca="false">D704-I704-J704</f>
        <v>9</v>
      </c>
    </row>
    <row r="705" customFormat="false" ht="15" hidden="false" customHeight="false" outlineLevel="0" collapsed="false">
      <c r="A705" s="8" t="s">
        <v>651</v>
      </c>
      <c r="B705" s="8" t="s">
        <v>652</v>
      </c>
      <c r="C705" s="8" t="s">
        <v>319</v>
      </c>
      <c r="D705" s="8" t="n">
        <v>24</v>
      </c>
      <c r="E705" s="8" t="n">
        <v>476065</v>
      </c>
      <c r="F705" s="11" t="str">
        <f aca="false">INDEX(Caixas!$C:$C,MATCH(C705,Caixas!$A:$A,0))</f>
        <v>Aberta</v>
      </c>
      <c r="G705" s="9" t="n">
        <v>1</v>
      </c>
      <c r="H705" s="9" t="n">
        <v>23</v>
      </c>
      <c r="I705" s="8" t="n">
        <f aca="false">IF(F705="Inteira CBP",D705,IF(OR(F705="Aberta",F705="Avulso"),G705,0))</f>
        <v>1</v>
      </c>
      <c r="J705" s="8" t="n">
        <f aca="false">IF(F705="Inteira CBTBE",D705,IF(OR(F705="Aberta",F705="Avulso"),H705,0))</f>
        <v>23</v>
      </c>
      <c r="K705" s="8" t="n">
        <f aca="false">D705-I705-J705</f>
        <v>0</v>
      </c>
    </row>
    <row r="706" customFormat="false" ht="15" hidden="false" customHeight="false" outlineLevel="0" collapsed="false">
      <c r="A706" s="8" t="s">
        <v>657</v>
      </c>
      <c r="B706" s="8" t="s">
        <v>658</v>
      </c>
      <c r="C706" s="8" t="s">
        <v>319</v>
      </c>
      <c r="D706" s="8" t="n">
        <v>27</v>
      </c>
      <c r="E706" s="8" t="n">
        <v>476061</v>
      </c>
      <c r="F706" s="11" t="str">
        <f aca="false">INDEX(Caixas!$C:$C,MATCH(C706,Caixas!$A:$A,0))</f>
        <v>Aberta</v>
      </c>
      <c r="G706" s="9" t="n">
        <v>2</v>
      </c>
      <c r="H706" s="9" t="n">
        <v>2</v>
      </c>
      <c r="I706" s="8" t="n">
        <f aca="false">IF(F706="Inteira CBP",D706,IF(OR(F706="Aberta",F706="Avulso"),G706,0))</f>
        <v>2</v>
      </c>
      <c r="J706" s="8" t="n">
        <f aca="false">IF(F706="Inteira CBTBE",D706,IF(OR(F706="Aberta",F706="Avulso"),H706,0))</f>
        <v>2</v>
      </c>
      <c r="K706" s="8" t="n">
        <f aca="false">D706-I706-J706</f>
        <v>23</v>
      </c>
    </row>
    <row r="707" customFormat="false" ht="15" hidden="false" customHeight="false" outlineLevel="0" collapsed="false">
      <c r="A707" s="8" t="s">
        <v>643</v>
      </c>
      <c r="B707" s="8" t="s">
        <v>644</v>
      </c>
      <c r="C707" s="8" t="s">
        <v>320</v>
      </c>
      <c r="D707" s="8" t="n">
        <v>36</v>
      </c>
      <c r="E707" s="8" t="n">
        <v>476065</v>
      </c>
      <c r="F707" s="11" t="str">
        <f aca="false">INDEX(Caixas!$C:$C,MATCH(C707,Caixas!$A:$A,0))</f>
        <v>Inteira CBP</v>
      </c>
      <c r="G707" s="9" t="n">
        <v>0</v>
      </c>
      <c r="H707" s="9" t="n">
        <v>0</v>
      </c>
      <c r="I707" s="8" t="n">
        <f aca="false">IF(F707="Inteira CBP",D707,IF(OR(F707="Aberta",F707="Avulso"),G707,0))</f>
        <v>36</v>
      </c>
      <c r="J707" s="8" t="n">
        <f aca="false">IF(F707="Inteira CBTBE",D707,IF(OR(F707="Aberta",F707="Avulso"),H707,0))</f>
        <v>0</v>
      </c>
      <c r="K707" s="8" t="n">
        <f aca="false">D707-I707-J707</f>
        <v>0</v>
      </c>
    </row>
    <row r="708" customFormat="false" ht="15" hidden="false" customHeight="false" outlineLevel="0" collapsed="false">
      <c r="A708" s="8" t="s">
        <v>659</v>
      </c>
      <c r="B708" s="8" t="s">
        <v>660</v>
      </c>
      <c r="C708" s="8" t="s">
        <v>320</v>
      </c>
      <c r="D708" s="8" t="n">
        <v>11</v>
      </c>
      <c r="E708" s="8" t="n">
        <v>476061</v>
      </c>
      <c r="F708" s="11" t="str">
        <f aca="false">INDEX(Caixas!$C:$C,MATCH(C708,Caixas!$A:$A,0))</f>
        <v>Inteira CBP</v>
      </c>
      <c r="G708" s="9" t="n">
        <v>0</v>
      </c>
      <c r="H708" s="9" t="n">
        <v>0</v>
      </c>
      <c r="I708" s="8" t="n">
        <f aca="false">IF(F708="Inteira CBP",D708,IF(OR(F708="Aberta",F708="Avulso"),G708,0))</f>
        <v>11</v>
      </c>
      <c r="J708" s="8" t="n">
        <f aca="false">IF(F708="Inteira CBTBE",D708,IF(OR(F708="Aberta",F708="Avulso"),H708,0))</f>
        <v>0</v>
      </c>
      <c r="K708" s="8" t="n">
        <f aca="false">D708-I708-J708</f>
        <v>0</v>
      </c>
    </row>
    <row r="709" customFormat="false" ht="15" hidden="false" customHeight="false" outlineLevel="0" collapsed="false">
      <c r="A709" s="8" t="s">
        <v>659</v>
      </c>
      <c r="B709" s="8" t="s">
        <v>660</v>
      </c>
      <c r="C709" s="8" t="s">
        <v>321</v>
      </c>
      <c r="D709" s="8" t="n">
        <v>11</v>
      </c>
      <c r="E709" s="8" t="n">
        <v>476061</v>
      </c>
      <c r="F709" s="11" t="str">
        <f aca="false">INDEX(Caixas!$C:$C,MATCH(C709,Caixas!$A:$A,0))</f>
        <v>Devolução fechada</v>
      </c>
      <c r="G709" s="9" t="n">
        <v>0</v>
      </c>
      <c r="H709" s="9" t="n">
        <v>0</v>
      </c>
      <c r="I709" s="8" t="n">
        <f aca="false">IF(F709="Inteira CBP",D709,IF(OR(F709="Aberta",F709="Avulso"),G709,0))</f>
        <v>0</v>
      </c>
      <c r="J709" s="8" t="n">
        <f aca="false">IF(F709="Inteira CBTBE",D709,IF(OR(F709="Aberta",F709="Avulso"),H709,0))</f>
        <v>0</v>
      </c>
      <c r="K709" s="8" t="n">
        <f aca="false">D709-I709-J709</f>
        <v>11</v>
      </c>
    </row>
    <row r="710" customFormat="false" ht="15" hidden="false" customHeight="false" outlineLevel="0" collapsed="false">
      <c r="A710" s="8" t="s">
        <v>661</v>
      </c>
      <c r="B710" s="8" t="s">
        <v>662</v>
      </c>
      <c r="C710" s="8" t="s">
        <v>322</v>
      </c>
      <c r="D710" s="8" t="n">
        <v>7</v>
      </c>
      <c r="E710" s="8" t="n">
        <v>476061</v>
      </c>
      <c r="F710" s="11" t="str">
        <f aca="false">INDEX(Caixas!$C:$C,MATCH(C710,Caixas!$A:$A,0))</f>
        <v>Devolução fechada</v>
      </c>
      <c r="G710" s="9" t="n">
        <v>0</v>
      </c>
      <c r="H710" s="9" t="n">
        <v>0</v>
      </c>
      <c r="I710" s="8" t="n">
        <f aca="false">IF(F710="Inteira CBP",D710,IF(OR(F710="Aberta",F710="Avulso"),G710,0))</f>
        <v>0</v>
      </c>
      <c r="J710" s="8" t="n">
        <f aca="false">IF(F710="Inteira CBTBE",D710,IF(OR(F710="Aberta",F710="Avulso"),H710,0))</f>
        <v>0</v>
      </c>
      <c r="K710" s="8" t="n">
        <f aca="false">D710-I710-J710</f>
        <v>7</v>
      </c>
    </row>
    <row r="711" customFormat="false" ht="15" hidden="false" customHeight="false" outlineLevel="0" collapsed="false">
      <c r="A711" s="8" t="s">
        <v>657</v>
      </c>
      <c r="B711" s="8" t="s">
        <v>658</v>
      </c>
      <c r="C711" s="8" t="s">
        <v>322</v>
      </c>
      <c r="D711" s="8" t="n">
        <v>6</v>
      </c>
      <c r="E711" s="8" t="n">
        <v>476061</v>
      </c>
      <c r="F711" s="11" t="str">
        <f aca="false">INDEX(Caixas!$C:$C,MATCH(C711,Caixas!$A:$A,0))</f>
        <v>Devolução fechada</v>
      </c>
      <c r="G711" s="9" t="n">
        <v>0</v>
      </c>
      <c r="H711" s="9" t="n">
        <v>0</v>
      </c>
      <c r="I711" s="8" t="n">
        <f aca="false">IF(F711="Inteira CBP",D711,IF(OR(F711="Aberta",F711="Avulso"),G711,0))</f>
        <v>0</v>
      </c>
      <c r="J711" s="8" t="n">
        <f aca="false">IF(F711="Inteira CBTBE",D711,IF(OR(F711="Aberta",F711="Avulso"),H711,0))</f>
        <v>0</v>
      </c>
      <c r="K711" s="8" t="n">
        <f aca="false">D711-I711-J711</f>
        <v>6</v>
      </c>
    </row>
    <row r="712" customFormat="false" ht="15" hidden="false" customHeight="false" outlineLevel="0" collapsed="false">
      <c r="A712" s="8" t="s">
        <v>659</v>
      </c>
      <c r="B712" s="8" t="s">
        <v>660</v>
      </c>
      <c r="C712" s="8" t="s">
        <v>322</v>
      </c>
      <c r="D712" s="8" t="n">
        <v>1</v>
      </c>
      <c r="E712" s="8" t="n">
        <v>476061</v>
      </c>
      <c r="F712" s="11" t="str">
        <f aca="false">INDEX(Caixas!$C:$C,MATCH(C712,Caixas!$A:$A,0))</f>
        <v>Devolução fechada</v>
      </c>
      <c r="G712" s="9" t="n">
        <v>0</v>
      </c>
      <c r="H712" s="9" t="n">
        <v>0</v>
      </c>
      <c r="I712" s="8" t="n">
        <f aca="false">IF(F712="Inteira CBP",D712,IF(OR(F712="Aberta",F712="Avulso"),G712,0))</f>
        <v>0</v>
      </c>
      <c r="J712" s="8" t="n">
        <f aca="false">IF(F712="Inteira CBTBE",D712,IF(OR(F712="Aberta",F712="Avulso"),H712,0))</f>
        <v>0</v>
      </c>
      <c r="K712" s="8" t="n">
        <f aca="false">D712-I712-J712</f>
        <v>1</v>
      </c>
    </row>
    <row r="713" customFormat="false" ht="15" hidden="false" customHeight="false" outlineLevel="0" collapsed="false">
      <c r="A713" s="8" t="s">
        <v>659</v>
      </c>
      <c r="B713" s="8" t="s">
        <v>660</v>
      </c>
      <c r="C713" s="8" t="s">
        <v>323</v>
      </c>
      <c r="D713" s="8" t="n">
        <v>11</v>
      </c>
      <c r="E713" s="8" t="n">
        <v>476061</v>
      </c>
      <c r="F713" s="11" t="str">
        <f aca="false">INDEX(Caixas!$C:$C,MATCH(C713,Caixas!$A:$A,0))</f>
        <v>Devolução fechada</v>
      </c>
      <c r="G713" s="9" t="n">
        <v>0</v>
      </c>
      <c r="H713" s="9" t="n">
        <v>0</v>
      </c>
      <c r="I713" s="8" t="n">
        <f aca="false">IF(F713="Inteira CBP",D713,IF(OR(F713="Aberta",F713="Avulso"),G713,0))</f>
        <v>0</v>
      </c>
      <c r="J713" s="8" t="n">
        <f aca="false">IF(F713="Inteira CBTBE",D713,IF(OR(F713="Aberta",F713="Avulso"),H713,0))</f>
        <v>0</v>
      </c>
      <c r="K713" s="8" t="n">
        <f aca="false">D713-I713-J713</f>
        <v>11</v>
      </c>
    </row>
    <row r="714" customFormat="false" ht="15" hidden="false" customHeight="false" outlineLevel="0" collapsed="false">
      <c r="A714" s="8" t="s">
        <v>663</v>
      </c>
      <c r="B714" s="8" t="s">
        <v>664</v>
      </c>
      <c r="C714" s="8" t="s">
        <v>324</v>
      </c>
      <c r="D714" s="8" t="n">
        <v>24</v>
      </c>
      <c r="E714" s="8" t="n">
        <v>476065</v>
      </c>
      <c r="F714" s="11" t="str">
        <f aca="false">INDEX(Caixas!$C:$C,MATCH(C714,Caixas!$A:$A,0))</f>
        <v>Inteira CBP</v>
      </c>
      <c r="G714" s="9" t="n">
        <v>0</v>
      </c>
      <c r="H714" s="9" t="n">
        <v>0</v>
      </c>
      <c r="I714" s="8" t="n">
        <f aca="false">IF(F714="Inteira CBP",D714,IF(OR(F714="Aberta",F714="Avulso"),G714,0))</f>
        <v>24</v>
      </c>
      <c r="J714" s="8" t="n">
        <f aca="false">IF(F714="Inteira CBTBE",D714,IF(OR(F714="Aberta",F714="Avulso"),H714,0))</f>
        <v>0</v>
      </c>
      <c r="K714" s="8" t="n">
        <f aca="false">D714-I714-J714</f>
        <v>0</v>
      </c>
    </row>
    <row r="715" customFormat="false" ht="15" hidden="false" customHeight="false" outlineLevel="0" collapsed="false">
      <c r="A715" s="8" t="s">
        <v>659</v>
      </c>
      <c r="B715" s="8" t="s">
        <v>660</v>
      </c>
      <c r="C715" s="8" t="s">
        <v>324</v>
      </c>
      <c r="D715" s="8" t="n">
        <v>11</v>
      </c>
      <c r="E715" s="8" t="n">
        <v>476061</v>
      </c>
      <c r="F715" s="11" t="str">
        <f aca="false">INDEX(Caixas!$C:$C,MATCH(C715,Caixas!$A:$A,0))</f>
        <v>Inteira CBP</v>
      </c>
      <c r="G715" s="9" t="n">
        <v>0</v>
      </c>
      <c r="H715" s="9" t="n">
        <v>0</v>
      </c>
      <c r="I715" s="8" t="n">
        <f aca="false">IF(F715="Inteira CBP",D715,IF(OR(F715="Aberta",F715="Avulso"),G715,0))</f>
        <v>11</v>
      </c>
      <c r="J715" s="8" t="n">
        <f aca="false">IF(F715="Inteira CBTBE",D715,IF(OR(F715="Aberta",F715="Avulso"),H715,0))</f>
        <v>0</v>
      </c>
      <c r="K715" s="8" t="n">
        <f aca="false">D715-I715-J715</f>
        <v>0</v>
      </c>
    </row>
    <row r="716" customFormat="false" ht="15" hidden="false" customHeight="false" outlineLevel="0" collapsed="false">
      <c r="A716" s="8" t="s">
        <v>665</v>
      </c>
      <c r="B716" s="8" t="s">
        <v>666</v>
      </c>
      <c r="C716" s="8" t="s">
        <v>326</v>
      </c>
      <c r="D716" s="8" t="n">
        <v>14</v>
      </c>
      <c r="E716" s="8" t="n">
        <v>476065</v>
      </c>
      <c r="F716" s="11" t="str">
        <f aca="false">INDEX(Caixas!$C:$C,MATCH(C716,Caixas!$A:$A,0))</f>
        <v>Inteira CBP</v>
      </c>
      <c r="G716" s="9" t="n">
        <v>0</v>
      </c>
      <c r="H716" s="9" t="n">
        <v>0</v>
      </c>
      <c r="I716" s="8" t="n">
        <f aca="false">IF(F716="Inteira CBP",D716,IF(OR(F716="Aberta",F716="Avulso"),G716,0))</f>
        <v>14</v>
      </c>
      <c r="J716" s="8" t="n">
        <f aca="false">IF(F716="Inteira CBTBE",D716,IF(OR(F716="Aberta",F716="Avulso"),H716,0))</f>
        <v>0</v>
      </c>
      <c r="K716" s="8" t="n">
        <f aca="false">D716-I716-J716</f>
        <v>0</v>
      </c>
    </row>
    <row r="717" customFormat="false" ht="15" hidden="false" customHeight="false" outlineLevel="0" collapsed="false">
      <c r="A717" s="8" t="s">
        <v>641</v>
      </c>
      <c r="B717" s="8" t="s">
        <v>642</v>
      </c>
      <c r="C717" s="8" t="s">
        <v>326</v>
      </c>
      <c r="D717" s="8" t="n">
        <v>14</v>
      </c>
      <c r="E717" s="8" t="n">
        <v>476065</v>
      </c>
      <c r="F717" s="11" t="str">
        <f aca="false">INDEX(Caixas!$C:$C,MATCH(C717,Caixas!$A:$A,0))</f>
        <v>Inteira CBP</v>
      </c>
      <c r="G717" s="9" t="n">
        <v>0</v>
      </c>
      <c r="H717" s="9" t="n">
        <v>0</v>
      </c>
      <c r="I717" s="8" t="n">
        <f aca="false">IF(F717="Inteira CBP",D717,IF(OR(F717="Aberta",F717="Avulso"),G717,0))</f>
        <v>14</v>
      </c>
      <c r="J717" s="8" t="n">
        <f aca="false">IF(F717="Inteira CBTBE",D717,IF(OR(F717="Aberta",F717="Avulso"),H717,0))</f>
        <v>0</v>
      </c>
      <c r="K717" s="8" t="n">
        <f aca="false">D717-I717-J717</f>
        <v>0</v>
      </c>
    </row>
    <row r="718" customFormat="false" ht="15" hidden="false" customHeight="false" outlineLevel="0" collapsed="false">
      <c r="A718" s="8" t="s">
        <v>659</v>
      </c>
      <c r="B718" s="8" t="s">
        <v>660</v>
      </c>
      <c r="C718" s="8" t="s">
        <v>326</v>
      </c>
      <c r="D718" s="8" t="n">
        <v>11</v>
      </c>
      <c r="E718" s="8" t="n">
        <v>476061</v>
      </c>
      <c r="F718" s="11" t="str">
        <f aca="false">INDEX(Caixas!$C:$C,MATCH(C718,Caixas!$A:$A,0))</f>
        <v>Inteira CBP</v>
      </c>
      <c r="G718" s="9" t="n">
        <v>0</v>
      </c>
      <c r="H718" s="9" t="n">
        <v>0</v>
      </c>
      <c r="I718" s="8" t="n">
        <f aca="false">IF(F718="Inteira CBP",D718,IF(OR(F718="Aberta",F718="Avulso"),G718,0))</f>
        <v>11</v>
      </c>
      <c r="J718" s="8" t="n">
        <f aca="false">IF(F718="Inteira CBTBE",D718,IF(OR(F718="Aberta",F718="Avulso"),H718,0))</f>
        <v>0</v>
      </c>
      <c r="K718" s="8" t="n">
        <f aca="false">D718-I718-J718</f>
        <v>0</v>
      </c>
    </row>
    <row r="719" customFormat="false" ht="15" hidden="false" customHeight="false" outlineLevel="0" collapsed="false">
      <c r="A719" s="8" t="s">
        <v>645</v>
      </c>
      <c r="B719" s="8" t="s">
        <v>646</v>
      </c>
      <c r="C719" s="8" t="s">
        <v>328</v>
      </c>
      <c r="D719" s="8" t="n">
        <v>8</v>
      </c>
      <c r="E719" s="8" t="n">
        <v>476065</v>
      </c>
      <c r="F719" s="11" t="str">
        <f aca="false">INDEX(Caixas!$C:$C,MATCH(C719,Caixas!$A:$A,0))</f>
        <v>Inteira CBTBE</v>
      </c>
      <c r="G719" s="9" t="n">
        <v>0</v>
      </c>
      <c r="H719" s="9" t="n">
        <v>0</v>
      </c>
      <c r="I719" s="8" t="n">
        <f aca="false">IF(F719="Inteira CBP",D719,IF(OR(F719="Aberta",F719="Avulso"),G719,0))</f>
        <v>0</v>
      </c>
      <c r="J719" s="8" t="n">
        <f aca="false">IF(F719="Inteira CBTBE",D719,IF(OR(F719="Aberta",F719="Avulso"),H719,0))</f>
        <v>8</v>
      </c>
      <c r="K719" s="8" t="n">
        <f aca="false">D719-I719-J719</f>
        <v>0</v>
      </c>
    </row>
    <row r="720" customFormat="false" ht="15" hidden="false" customHeight="false" outlineLevel="0" collapsed="false">
      <c r="A720" s="8" t="s">
        <v>647</v>
      </c>
      <c r="B720" s="8" t="s">
        <v>648</v>
      </c>
      <c r="C720" s="8" t="s">
        <v>328</v>
      </c>
      <c r="D720" s="8" t="n">
        <v>2</v>
      </c>
      <c r="E720" s="8" t="n">
        <v>476065</v>
      </c>
      <c r="F720" s="11" t="str">
        <f aca="false">INDEX(Caixas!$C:$C,MATCH(C720,Caixas!$A:$A,0))</f>
        <v>Inteira CBTBE</v>
      </c>
      <c r="G720" s="9" t="n">
        <v>0</v>
      </c>
      <c r="H720" s="9" t="n">
        <v>0</v>
      </c>
      <c r="I720" s="8" t="n">
        <f aca="false">IF(F720="Inteira CBP",D720,IF(OR(F720="Aberta",F720="Avulso"),G720,0))</f>
        <v>0</v>
      </c>
      <c r="J720" s="8" t="n">
        <f aca="false">IF(F720="Inteira CBTBE",D720,IF(OR(F720="Aberta",F720="Avulso"),H720,0))</f>
        <v>2</v>
      </c>
      <c r="K720" s="8" t="n">
        <f aca="false">D720-I720-J720</f>
        <v>0</v>
      </c>
    </row>
    <row r="721" customFormat="false" ht="15" hidden="false" customHeight="false" outlineLevel="0" collapsed="false">
      <c r="A721" s="8" t="s">
        <v>651</v>
      </c>
      <c r="B721" s="8" t="s">
        <v>652</v>
      </c>
      <c r="C721" s="8" t="s">
        <v>328</v>
      </c>
      <c r="D721" s="8" t="n">
        <v>9</v>
      </c>
      <c r="E721" s="8" t="n">
        <v>476065</v>
      </c>
      <c r="F721" s="11" t="str">
        <f aca="false">INDEX(Caixas!$C:$C,MATCH(C721,Caixas!$A:$A,0))</f>
        <v>Inteira CBTBE</v>
      </c>
      <c r="G721" s="9" t="n">
        <v>0</v>
      </c>
      <c r="H721" s="9" t="n">
        <v>0</v>
      </c>
      <c r="I721" s="8" t="n">
        <f aca="false">IF(F721="Inteira CBP",D721,IF(OR(F721="Aberta",F721="Avulso"),G721,0))</f>
        <v>0</v>
      </c>
      <c r="J721" s="8" t="n">
        <f aca="false">IF(F721="Inteira CBTBE",D721,IF(OR(F721="Aberta",F721="Avulso"),H721,0))</f>
        <v>9</v>
      </c>
      <c r="K721" s="8" t="n">
        <f aca="false">D721-I721-J721</f>
        <v>0</v>
      </c>
    </row>
    <row r="722" customFormat="false" ht="15" hidden="false" customHeight="false" outlineLevel="0" collapsed="false">
      <c r="A722" s="8" t="s">
        <v>661</v>
      </c>
      <c r="B722" s="8" t="s">
        <v>662</v>
      </c>
      <c r="C722" s="8" t="s">
        <v>328</v>
      </c>
      <c r="D722" s="8" t="n">
        <v>28</v>
      </c>
      <c r="E722" s="8" t="n">
        <v>476061</v>
      </c>
      <c r="F722" s="11" t="str">
        <f aca="false">INDEX(Caixas!$C:$C,MATCH(C722,Caixas!$A:$A,0))</f>
        <v>Inteira CBTBE</v>
      </c>
      <c r="G722" s="9" t="n">
        <v>0</v>
      </c>
      <c r="H722" s="9" t="n">
        <v>0</v>
      </c>
      <c r="I722" s="8" t="n">
        <f aca="false">IF(F722="Inteira CBP",D722,IF(OR(F722="Aberta",F722="Avulso"),G722,0))</f>
        <v>0</v>
      </c>
      <c r="J722" s="8" t="n">
        <f aca="false">IF(F722="Inteira CBTBE",D722,IF(OR(F722="Aberta",F722="Avulso"),H722,0))</f>
        <v>28</v>
      </c>
      <c r="K722" s="8" t="n">
        <f aca="false">D722-I722-J722</f>
        <v>0</v>
      </c>
    </row>
    <row r="723" customFormat="false" ht="15" hidden="false" customHeight="false" outlineLevel="0" collapsed="false">
      <c r="A723" s="8" t="s">
        <v>665</v>
      </c>
      <c r="B723" s="8" t="s">
        <v>666</v>
      </c>
      <c r="C723" s="8" t="s">
        <v>328</v>
      </c>
      <c r="D723" s="8" t="n">
        <v>17</v>
      </c>
      <c r="E723" s="8" t="n">
        <v>476065</v>
      </c>
      <c r="F723" s="11" t="str">
        <f aca="false">INDEX(Caixas!$C:$C,MATCH(C723,Caixas!$A:$A,0))</f>
        <v>Inteira CBTBE</v>
      </c>
      <c r="G723" s="9" t="n">
        <v>0</v>
      </c>
      <c r="H723" s="9" t="n">
        <v>0</v>
      </c>
      <c r="I723" s="8" t="n">
        <f aca="false">IF(F723="Inteira CBP",D723,IF(OR(F723="Aberta",F723="Avulso"),G723,0))</f>
        <v>0</v>
      </c>
      <c r="J723" s="8" t="n">
        <f aca="false">IF(F723="Inteira CBTBE",D723,IF(OR(F723="Aberta",F723="Avulso"),H723,0))</f>
        <v>17</v>
      </c>
      <c r="K723" s="8" t="n">
        <f aca="false">D723-I723-J723</f>
        <v>0</v>
      </c>
    </row>
    <row r="724" customFormat="false" ht="15" hidden="false" customHeight="false" outlineLevel="0" collapsed="false">
      <c r="A724" s="8" t="s">
        <v>647</v>
      </c>
      <c r="B724" s="8" t="s">
        <v>648</v>
      </c>
      <c r="C724" s="8" t="s">
        <v>329</v>
      </c>
      <c r="D724" s="8" t="n">
        <v>25</v>
      </c>
      <c r="E724" s="8" t="n">
        <v>476065</v>
      </c>
      <c r="F724" s="11" t="str">
        <f aca="false">INDEX(Caixas!$C:$C,MATCH(C724,Caixas!$A:$A,0))</f>
        <v>Inteira CBTBE</v>
      </c>
      <c r="G724" s="9" t="n">
        <v>0</v>
      </c>
      <c r="H724" s="9" t="n">
        <v>0</v>
      </c>
      <c r="I724" s="8" t="n">
        <f aca="false">IF(F724="Inteira CBP",D724,IF(OR(F724="Aberta",F724="Avulso"),G724,0))</f>
        <v>0</v>
      </c>
      <c r="J724" s="8" t="n">
        <f aca="false">IF(F724="Inteira CBTBE",D724,IF(OR(F724="Aberta",F724="Avulso"),H724,0))</f>
        <v>25</v>
      </c>
      <c r="K724" s="8" t="n">
        <f aca="false">D724-I724-J724</f>
        <v>0</v>
      </c>
    </row>
    <row r="725" customFormat="false" ht="15" hidden="false" customHeight="false" outlineLevel="0" collapsed="false">
      <c r="A725" s="8" t="s">
        <v>655</v>
      </c>
      <c r="B725" s="8" t="s">
        <v>656</v>
      </c>
      <c r="C725" s="8" t="s">
        <v>329</v>
      </c>
      <c r="D725" s="8" t="n">
        <v>18</v>
      </c>
      <c r="E725" s="8" t="n">
        <v>476061</v>
      </c>
      <c r="F725" s="11" t="str">
        <f aca="false">INDEX(Caixas!$C:$C,MATCH(C725,Caixas!$A:$A,0))</f>
        <v>Inteira CBTBE</v>
      </c>
      <c r="G725" s="9" t="n">
        <v>0</v>
      </c>
      <c r="H725" s="9" t="n">
        <v>0</v>
      </c>
      <c r="I725" s="8" t="n">
        <f aca="false">IF(F725="Inteira CBP",D725,IF(OR(F725="Aberta",F725="Avulso"),G725,0))</f>
        <v>0</v>
      </c>
      <c r="J725" s="8" t="n">
        <f aca="false">IF(F725="Inteira CBTBE",D725,IF(OR(F725="Aberta",F725="Avulso"),H725,0))</f>
        <v>18</v>
      </c>
      <c r="K725" s="8" t="n">
        <f aca="false">D725-I725-J725</f>
        <v>0</v>
      </c>
    </row>
    <row r="726" customFormat="false" ht="15" hidden="false" customHeight="false" outlineLevel="0" collapsed="false">
      <c r="A726" s="8" t="s">
        <v>667</v>
      </c>
      <c r="B726" s="8" t="s">
        <v>668</v>
      </c>
      <c r="C726" s="8" t="s">
        <v>329</v>
      </c>
      <c r="D726" s="8" t="n">
        <v>20</v>
      </c>
      <c r="E726" s="8" t="n">
        <v>476061</v>
      </c>
      <c r="F726" s="11" t="str">
        <f aca="false">INDEX(Caixas!$C:$C,MATCH(C726,Caixas!$A:$A,0))</f>
        <v>Inteira CBTBE</v>
      </c>
      <c r="G726" s="9" t="n">
        <v>0</v>
      </c>
      <c r="H726" s="9" t="n">
        <v>0</v>
      </c>
      <c r="I726" s="8" t="n">
        <f aca="false">IF(F726="Inteira CBP",D726,IF(OR(F726="Aberta",F726="Avulso"),G726,0))</f>
        <v>0</v>
      </c>
      <c r="J726" s="8" t="n">
        <f aca="false">IF(F726="Inteira CBTBE",D726,IF(OR(F726="Aberta",F726="Avulso"),H726,0))</f>
        <v>20</v>
      </c>
      <c r="K726" s="8" t="n">
        <f aca="false">D726-I726-J726</f>
        <v>0</v>
      </c>
    </row>
    <row r="727" customFormat="false" ht="15" hidden="false" customHeight="false" outlineLevel="0" collapsed="false">
      <c r="A727" s="8" t="s">
        <v>653</v>
      </c>
      <c r="B727" s="8" t="s">
        <v>654</v>
      </c>
      <c r="C727" s="8" t="s">
        <v>329</v>
      </c>
      <c r="D727" s="8" t="n">
        <v>4</v>
      </c>
      <c r="E727" s="8" t="n">
        <v>476061</v>
      </c>
      <c r="F727" s="11" t="str">
        <f aca="false">INDEX(Caixas!$C:$C,MATCH(C727,Caixas!$A:$A,0))</f>
        <v>Inteira CBTBE</v>
      </c>
      <c r="G727" s="9" t="n">
        <v>0</v>
      </c>
      <c r="H727" s="9" t="n">
        <v>0</v>
      </c>
      <c r="I727" s="8" t="n">
        <f aca="false">IF(F727="Inteira CBP",D727,IF(OR(F727="Aberta",F727="Avulso"),G727,0))</f>
        <v>0</v>
      </c>
      <c r="J727" s="8" t="n">
        <f aca="false">IF(F727="Inteira CBTBE",D727,IF(OR(F727="Aberta",F727="Avulso"),H727,0))</f>
        <v>4</v>
      </c>
      <c r="K727" s="8" t="n">
        <f aca="false">D727-I727-J727</f>
        <v>0</v>
      </c>
    </row>
    <row r="728" customFormat="false" ht="15" hidden="false" customHeight="false" outlineLevel="0" collapsed="false">
      <c r="A728" s="8" t="s">
        <v>647</v>
      </c>
      <c r="B728" s="8" t="s">
        <v>648</v>
      </c>
      <c r="C728" s="8" t="s">
        <v>330</v>
      </c>
      <c r="D728" s="8" t="n">
        <v>1</v>
      </c>
      <c r="E728" s="8" t="n">
        <v>476065</v>
      </c>
      <c r="F728" s="11" t="str">
        <f aca="false">INDEX(Caixas!$C:$C,MATCH(C728,Caixas!$A:$A,0))</f>
        <v>Aberta</v>
      </c>
      <c r="G728" s="9" t="n">
        <v>0</v>
      </c>
      <c r="H728" s="9" t="n">
        <v>0</v>
      </c>
      <c r="I728" s="8" t="n">
        <f aca="false">IF(F728="Inteira CBP",D728,IF(OR(F728="Aberta",F728="Avulso"),G728,0))</f>
        <v>0</v>
      </c>
      <c r="J728" s="8" t="n">
        <f aca="false">IF(F728="Inteira CBTBE",D728,IF(OR(F728="Aberta",F728="Avulso"),H728,0))</f>
        <v>0</v>
      </c>
      <c r="K728" s="8" t="n">
        <f aca="false">D728-I728-J728</f>
        <v>1</v>
      </c>
    </row>
    <row r="729" customFormat="false" ht="15" hidden="false" customHeight="false" outlineLevel="0" collapsed="false">
      <c r="A729" s="8" t="s">
        <v>655</v>
      </c>
      <c r="B729" s="8" t="s">
        <v>656</v>
      </c>
      <c r="C729" s="8" t="s">
        <v>330</v>
      </c>
      <c r="D729" s="8" t="n">
        <v>8</v>
      </c>
      <c r="E729" s="8" t="n">
        <v>476061</v>
      </c>
      <c r="F729" s="11" t="str">
        <f aca="false">INDEX(Caixas!$C:$C,MATCH(C729,Caixas!$A:$A,0))</f>
        <v>Aberta</v>
      </c>
      <c r="G729" s="9" t="n">
        <v>4</v>
      </c>
      <c r="H729" s="9" t="n">
        <v>2</v>
      </c>
      <c r="I729" s="8" t="n">
        <f aca="false">IF(F729="Inteira CBP",D729,IF(OR(F729="Aberta",F729="Avulso"),G729,0))</f>
        <v>4</v>
      </c>
      <c r="J729" s="8" t="n">
        <f aca="false">IF(F729="Inteira CBTBE",D729,IF(OR(F729="Aberta",F729="Avulso"),H729,0))</f>
        <v>2</v>
      </c>
      <c r="K729" s="8" t="n">
        <f aca="false">D729-I729-J729</f>
        <v>2</v>
      </c>
    </row>
    <row r="730" customFormat="false" ht="15" hidden="false" customHeight="false" outlineLevel="0" collapsed="false">
      <c r="A730" s="8" t="s">
        <v>663</v>
      </c>
      <c r="B730" s="8" t="s">
        <v>664</v>
      </c>
      <c r="C730" s="8" t="s">
        <v>330</v>
      </c>
      <c r="D730" s="8" t="n">
        <v>7</v>
      </c>
      <c r="E730" s="8" t="n">
        <v>476065</v>
      </c>
      <c r="F730" s="11" t="str">
        <f aca="false">INDEX(Caixas!$C:$C,MATCH(C730,Caixas!$A:$A,0))</f>
        <v>Aberta</v>
      </c>
      <c r="G730" s="9" t="n">
        <v>7</v>
      </c>
      <c r="H730" s="9" t="n">
        <v>0</v>
      </c>
      <c r="I730" s="8" t="n">
        <f aca="false">IF(F730="Inteira CBP",D730,IF(OR(F730="Aberta",F730="Avulso"),G730,0))</f>
        <v>7</v>
      </c>
      <c r="J730" s="8" t="n">
        <f aca="false">IF(F730="Inteira CBTBE",D730,IF(OR(F730="Aberta",F730="Avulso"),H730,0))</f>
        <v>0</v>
      </c>
      <c r="K730" s="8" t="n">
        <f aca="false">D730-I730-J730</f>
        <v>0</v>
      </c>
    </row>
    <row r="731" customFormat="false" ht="15" hidden="false" customHeight="false" outlineLevel="0" collapsed="false">
      <c r="A731" s="8" t="s">
        <v>547</v>
      </c>
      <c r="B731" s="8" t="s">
        <v>548</v>
      </c>
      <c r="C731" s="8" t="s">
        <v>330</v>
      </c>
      <c r="D731" s="8" t="n">
        <v>1</v>
      </c>
      <c r="E731" s="8" t="n">
        <v>476061</v>
      </c>
      <c r="F731" s="11" t="str">
        <f aca="false">INDEX(Caixas!$C:$C,MATCH(C731,Caixas!$A:$A,0))</f>
        <v>Aberta</v>
      </c>
      <c r="G731" s="9" t="n">
        <v>1</v>
      </c>
      <c r="H731" s="9" t="n">
        <v>0</v>
      </c>
      <c r="I731" s="8" t="n">
        <f aca="false">IF(F731="Inteira CBP",D731,IF(OR(F731="Aberta",F731="Avulso"),G731,0))</f>
        <v>1</v>
      </c>
      <c r="J731" s="8" t="n">
        <f aca="false">IF(F731="Inteira CBTBE",D731,IF(OR(F731="Aberta",F731="Avulso"),H731,0))</f>
        <v>0</v>
      </c>
      <c r="K731" s="8" t="n">
        <f aca="false">D731-I731-J731</f>
        <v>0</v>
      </c>
    </row>
    <row r="732" customFormat="false" ht="15" hidden="false" customHeight="false" outlineLevel="0" collapsed="false">
      <c r="A732" s="8" t="s">
        <v>669</v>
      </c>
      <c r="B732" s="8" t="s">
        <v>670</v>
      </c>
      <c r="C732" s="8" t="s">
        <v>330</v>
      </c>
      <c r="D732" s="8" t="n">
        <v>20</v>
      </c>
      <c r="E732" s="8" t="n">
        <v>476065</v>
      </c>
      <c r="F732" s="11" t="str">
        <f aca="false">INDEX(Caixas!$C:$C,MATCH(C732,Caixas!$A:$A,0))</f>
        <v>Aberta</v>
      </c>
      <c r="G732" s="9" t="n">
        <v>0</v>
      </c>
      <c r="H732" s="9" t="n">
        <v>0</v>
      </c>
      <c r="I732" s="8" t="n">
        <f aca="false">IF(F732="Inteira CBP",D732,IF(OR(F732="Aberta",F732="Avulso"),G732,0))</f>
        <v>0</v>
      </c>
      <c r="J732" s="8" t="n">
        <f aca="false">IF(F732="Inteira CBTBE",D732,IF(OR(F732="Aberta",F732="Avulso"),H732,0))</f>
        <v>0</v>
      </c>
      <c r="K732" s="8" t="n">
        <f aca="false">D732-I732-J732</f>
        <v>20</v>
      </c>
    </row>
    <row r="733" customFormat="false" ht="15" hidden="false" customHeight="false" outlineLevel="0" collapsed="false">
      <c r="A733" s="8" t="s">
        <v>661</v>
      </c>
      <c r="B733" s="8" t="s">
        <v>662</v>
      </c>
      <c r="C733" s="8" t="s">
        <v>331</v>
      </c>
      <c r="D733" s="8" t="n">
        <v>28</v>
      </c>
      <c r="E733" s="8" t="n">
        <v>476061</v>
      </c>
      <c r="F733" s="11" t="str">
        <f aca="false">INDEX(Caixas!$C:$C,MATCH(C733,Caixas!$A:$A,0))</f>
        <v>Aberta</v>
      </c>
      <c r="G733" s="9" t="n">
        <v>26</v>
      </c>
      <c r="H733" s="9" t="n">
        <v>2</v>
      </c>
      <c r="I733" s="8" t="n">
        <f aca="false">IF(F733="Inteira CBP",D733,IF(OR(F733="Aberta",F733="Avulso"),G733,0))</f>
        <v>26</v>
      </c>
      <c r="J733" s="8" t="n">
        <f aca="false">IF(F733="Inteira CBTBE",D733,IF(OR(F733="Aberta",F733="Avulso"),H733,0))</f>
        <v>2</v>
      </c>
      <c r="K733" s="8" t="n">
        <f aca="false">D733-I733-J733</f>
        <v>0</v>
      </c>
    </row>
    <row r="734" customFormat="false" ht="15" hidden="false" customHeight="false" outlineLevel="0" collapsed="false">
      <c r="A734" s="8" t="s">
        <v>643</v>
      </c>
      <c r="B734" s="8" t="s">
        <v>644</v>
      </c>
      <c r="C734" s="8" t="s">
        <v>331</v>
      </c>
      <c r="D734" s="8" t="n">
        <v>28</v>
      </c>
      <c r="E734" s="8" t="n">
        <v>476065</v>
      </c>
      <c r="F734" s="11" t="str">
        <f aca="false">INDEX(Caixas!$C:$C,MATCH(C734,Caixas!$A:$A,0))</f>
        <v>Aberta</v>
      </c>
      <c r="G734" s="9" t="n">
        <v>0</v>
      </c>
      <c r="H734" s="9" t="n">
        <v>28</v>
      </c>
      <c r="I734" s="8" t="n">
        <f aca="false">IF(F734="Inteira CBP",D734,IF(OR(F734="Aberta",F734="Avulso"),G734,0))</f>
        <v>0</v>
      </c>
      <c r="J734" s="8" t="n">
        <f aca="false">IF(F734="Inteira CBTBE",D734,IF(OR(F734="Aberta",F734="Avulso"),H734,0))</f>
        <v>28</v>
      </c>
      <c r="K734" s="8" t="n">
        <f aca="false">D734-I734-J734</f>
        <v>0</v>
      </c>
    </row>
    <row r="735" customFormat="false" ht="15" hidden="false" customHeight="false" outlineLevel="0" collapsed="false">
      <c r="A735" s="8" t="s">
        <v>661</v>
      </c>
      <c r="B735" s="8" t="s">
        <v>662</v>
      </c>
      <c r="C735" s="8" t="s">
        <v>332</v>
      </c>
      <c r="D735" s="8" t="n">
        <v>28</v>
      </c>
      <c r="E735" s="8" t="n">
        <v>476061</v>
      </c>
      <c r="F735" s="11" t="str">
        <f aca="false">INDEX(Caixas!$C:$C,MATCH(C735,Caixas!$A:$A,0))</f>
        <v>Devolução fechada</v>
      </c>
      <c r="G735" s="9" t="n">
        <v>0</v>
      </c>
      <c r="H735" s="9" t="n">
        <v>0</v>
      </c>
      <c r="I735" s="8" t="n">
        <f aca="false">IF(F735="Inteira CBP",D735,IF(OR(F735="Aberta",F735="Avulso"),G735,0))</f>
        <v>0</v>
      </c>
      <c r="J735" s="8" t="n">
        <f aca="false">IF(F735="Inteira CBTBE",D735,IF(OR(F735="Aberta",F735="Avulso"),H735,0))</f>
        <v>0</v>
      </c>
      <c r="K735" s="8" t="n">
        <f aca="false">D735-I735-J735</f>
        <v>28</v>
      </c>
    </row>
    <row r="736" customFormat="false" ht="15" hidden="false" customHeight="false" outlineLevel="0" collapsed="false">
      <c r="A736" s="8" t="s">
        <v>661</v>
      </c>
      <c r="B736" s="8" t="s">
        <v>662</v>
      </c>
      <c r="C736" s="8" t="s">
        <v>333</v>
      </c>
      <c r="D736" s="8" t="n">
        <v>28</v>
      </c>
      <c r="E736" s="8" t="n">
        <v>476061</v>
      </c>
      <c r="F736" s="11" t="str">
        <f aca="false">INDEX(Caixas!$C:$C,MATCH(C736,Caixas!$A:$A,0))</f>
        <v>Inteira CBP</v>
      </c>
      <c r="G736" s="9" t="n">
        <v>0</v>
      </c>
      <c r="H736" s="9" t="n">
        <v>0</v>
      </c>
      <c r="I736" s="8" t="n">
        <f aca="false">IF(F736="Inteira CBP",D736,IF(OR(F736="Aberta",F736="Avulso"),G736,0))</f>
        <v>28</v>
      </c>
      <c r="J736" s="8" t="n">
        <f aca="false">IF(F736="Inteira CBTBE",D736,IF(OR(F736="Aberta",F736="Avulso"),H736,0))</f>
        <v>0</v>
      </c>
      <c r="K736" s="8" t="n">
        <f aca="false">D736-I736-J736</f>
        <v>0</v>
      </c>
    </row>
    <row r="737" customFormat="false" ht="15" hidden="false" customHeight="false" outlineLevel="0" collapsed="false">
      <c r="A737" s="8" t="s">
        <v>661</v>
      </c>
      <c r="B737" s="8" t="s">
        <v>662</v>
      </c>
      <c r="C737" s="8" t="s">
        <v>334</v>
      </c>
      <c r="D737" s="8" t="n">
        <v>28</v>
      </c>
      <c r="E737" s="8" t="n">
        <v>476061</v>
      </c>
      <c r="F737" s="11" t="str">
        <f aca="false">INDEX(Caixas!$C:$C,MATCH(C737,Caixas!$A:$A,0))</f>
        <v>Devolução fechada</v>
      </c>
      <c r="G737" s="9" t="n">
        <v>0</v>
      </c>
      <c r="H737" s="9" t="n">
        <v>0</v>
      </c>
      <c r="I737" s="8" t="n">
        <f aca="false">IF(F737="Inteira CBP",D737,IF(OR(F737="Aberta",F737="Avulso"),G737,0))</f>
        <v>0</v>
      </c>
      <c r="J737" s="8" t="n">
        <f aca="false">IF(F737="Inteira CBTBE",D737,IF(OR(F737="Aberta",F737="Avulso"),H737,0))</f>
        <v>0</v>
      </c>
      <c r="K737" s="8" t="n">
        <f aca="false">D737-I737-J737</f>
        <v>28</v>
      </c>
    </row>
    <row r="738" customFormat="false" ht="15" hidden="false" customHeight="false" outlineLevel="0" collapsed="false">
      <c r="A738" s="8" t="s">
        <v>661</v>
      </c>
      <c r="B738" s="8" t="s">
        <v>662</v>
      </c>
      <c r="C738" s="8" t="s">
        <v>335</v>
      </c>
      <c r="D738" s="8" t="n">
        <v>28</v>
      </c>
      <c r="E738" s="8" t="n">
        <v>476061</v>
      </c>
      <c r="F738" s="11" t="str">
        <f aca="false">INDEX(Caixas!$C:$C,MATCH(C738,Caixas!$A:$A,0))</f>
        <v>Devolução fechada</v>
      </c>
      <c r="G738" s="9" t="n">
        <v>0</v>
      </c>
      <c r="H738" s="9" t="n">
        <v>0</v>
      </c>
      <c r="I738" s="8" t="n">
        <f aca="false">IF(F738="Inteira CBP",D738,IF(OR(F738="Aberta",F738="Avulso"),G738,0))</f>
        <v>0</v>
      </c>
      <c r="J738" s="8" t="n">
        <f aca="false">IF(F738="Inteira CBTBE",D738,IF(OR(F738="Aberta",F738="Avulso"),H738,0))</f>
        <v>0</v>
      </c>
      <c r="K738" s="8" t="n">
        <f aca="false">D738-I738-J738</f>
        <v>28</v>
      </c>
    </row>
    <row r="739" customFormat="false" ht="15" hidden="false" customHeight="false" outlineLevel="0" collapsed="false">
      <c r="A739" s="8" t="s">
        <v>671</v>
      </c>
      <c r="B739" s="8" t="s">
        <v>672</v>
      </c>
      <c r="C739" s="8" t="s">
        <v>336</v>
      </c>
      <c r="D739" s="8" t="n">
        <v>20</v>
      </c>
      <c r="E739" s="8" t="n">
        <v>476065</v>
      </c>
      <c r="F739" s="11" t="str">
        <f aca="false">INDEX(Caixas!$C:$C,MATCH(C739,Caixas!$A:$A,0))</f>
        <v>Inteira CBP</v>
      </c>
      <c r="G739" s="9" t="n">
        <v>0</v>
      </c>
      <c r="H739" s="9" t="n">
        <v>0</v>
      </c>
      <c r="I739" s="8" t="n">
        <f aca="false">IF(F739="Inteira CBP",D739,IF(OR(F739="Aberta",F739="Avulso"),G739,0))</f>
        <v>20</v>
      </c>
      <c r="J739" s="8" t="n">
        <f aca="false">IF(F739="Inteira CBTBE",D739,IF(OR(F739="Aberta",F739="Avulso"),H739,0))</f>
        <v>0</v>
      </c>
      <c r="K739" s="8" t="n">
        <f aca="false">D739-I739-J739</f>
        <v>0</v>
      </c>
    </row>
    <row r="740" customFormat="false" ht="15" hidden="false" customHeight="false" outlineLevel="0" collapsed="false">
      <c r="A740" s="8" t="s">
        <v>673</v>
      </c>
      <c r="B740" s="8" t="s">
        <v>674</v>
      </c>
      <c r="C740" s="8" t="s">
        <v>337</v>
      </c>
      <c r="D740" s="8" t="n">
        <v>44</v>
      </c>
      <c r="E740" s="8" t="n">
        <v>476065</v>
      </c>
      <c r="F740" s="11" t="str">
        <f aca="false">INDEX(Caixas!$C:$C,MATCH(C740,Caixas!$A:$A,0))</f>
        <v>Devolução fechada</v>
      </c>
      <c r="G740" s="9" t="n">
        <v>0</v>
      </c>
      <c r="H740" s="9" t="n">
        <v>0</v>
      </c>
      <c r="I740" s="8" t="n">
        <f aca="false">IF(F740="Inteira CBP",D740,IF(OR(F740="Aberta",F740="Avulso"),G740,0))</f>
        <v>0</v>
      </c>
      <c r="J740" s="8" t="n">
        <f aca="false">IF(F740="Inteira CBTBE",D740,IF(OR(F740="Aberta",F740="Avulso"),H740,0))</f>
        <v>0</v>
      </c>
      <c r="K740" s="8" t="n">
        <f aca="false">D740-I740-J740</f>
        <v>44</v>
      </c>
    </row>
    <row r="741" customFormat="false" ht="15" hidden="false" customHeight="false" outlineLevel="0" collapsed="false">
      <c r="A741" s="8" t="s">
        <v>673</v>
      </c>
      <c r="B741" s="8" t="s">
        <v>674</v>
      </c>
      <c r="C741" s="8" t="s">
        <v>338</v>
      </c>
      <c r="D741" s="8" t="n">
        <v>2</v>
      </c>
      <c r="E741" s="8" t="n">
        <v>476065</v>
      </c>
      <c r="F741" s="11" t="str">
        <f aca="false">INDEX(Caixas!$C:$C,MATCH(C741,Caixas!$A:$A,0))</f>
        <v>Inteira CBTBE</v>
      </c>
      <c r="G741" s="9" t="n">
        <v>0</v>
      </c>
      <c r="H741" s="9" t="n">
        <v>0</v>
      </c>
      <c r="I741" s="8" t="n">
        <f aca="false">IF(F741="Inteira CBP",D741,IF(OR(F741="Aberta",F741="Avulso"),G741,0))</f>
        <v>0</v>
      </c>
      <c r="J741" s="8" t="n">
        <f aca="false">IF(F741="Inteira CBTBE",D741,IF(OR(F741="Aberta",F741="Avulso"),H741,0))</f>
        <v>2</v>
      </c>
      <c r="K741" s="8" t="n">
        <f aca="false">D741-I741-J741</f>
        <v>0</v>
      </c>
    </row>
    <row r="742" customFormat="false" ht="15" hidden="false" customHeight="false" outlineLevel="0" collapsed="false">
      <c r="A742" s="8" t="s">
        <v>675</v>
      </c>
      <c r="B742" s="8" t="s">
        <v>676</v>
      </c>
      <c r="C742" s="8" t="s">
        <v>338</v>
      </c>
      <c r="D742" s="8" t="n">
        <v>9</v>
      </c>
      <c r="E742" s="8" t="n">
        <v>476065</v>
      </c>
      <c r="F742" s="11" t="str">
        <f aca="false">INDEX(Caixas!$C:$C,MATCH(C742,Caixas!$A:$A,0))</f>
        <v>Inteira CBTBE</v>
      </c>
      <c r="G742" s="9" t="n">
        <v>0</v>
      </c>
      <c r="H742" s="9" t="n">
        <v>0</v>
      </c>
      <c r="I742" s="8" t="n">
        <f aca="false">IF(F742="Inteira CBP",D742,IF(OR(F742="Aberta",F742="Avulso"),G742,0))</f>
        <v>0</v>
      </c>
      <c r="J742" s="8" t="n">
        <f aca="false">IF(F742="Inteira CBTBE",D742,IF(OR(F742="Aberta",F742="Avulso"),H742,0))</f>
        <v>9</v>
      </c>
      <c r="K742" s="8" t="n">
        <f aca="false">D742-I742-J742</f>
        <v>0</v>
      </c>
    </row>
    <row r="743" customFormat="false" ht="15" hidden="false" customHeight="false" outlineLevel="0" collapsed="false">
      <c r="A743" s="8" t="s">
        <v>677</v>
      </c>
      <c r="B743" s="8" t="s">
        <v>678</v>
      </c>
      <c r="C743" s="8" t="s">
        <v>338</v>
      </c>
      <c r="D743" s="8" t="n">
        <v>14</v>
      </c>
      <c r="E743" s="8" t="n">
        <v>476065</v>
      </c>
      <c r="F743" s="11" t="str">
        <f aca="false">INDEX(Caixas!$C:$C,MATCH(C743,Caixas!$A:$A,0))</f>
        <v>Inteira CBTBE</v>
      </c>
      <c r="G743" s="9" t="n">
        <v>0</v>
      </c>
      <c r="H743" s="9" t="n">
        <v>0</v>
      </c>
      <c r="I743" s="8" t="n">
        <f aca="false">IF(F743="Inteira CBP",D743,IF(OR(F743="Aberta",F743="Avulso"),G743,0))</f>
        <v>0</v>
      </c>
      <c r="J743" s="8" t="n">
        <f aca="false">IF(F743="Inteira CBTBE",D743,IF(OR(F743="Aberta",F743="Avulso"),H743,0))</f>
        <v>14</v>
      </c>
      <c r="K743" s="8" t="n">
        <f aca="false">D743-I743-J743</f>
        <v>0</v>
      </c>
    </row>
    <row r="744" customFormat="false" ht="15" hidden="false" customHeight="false" outlineLevel="0" collapsed="false">
      <c r="A744" s="8" t="s">
        <v>677</v>
      </c>
      <c r="B744" s="8" t="s">
        <v>678</v>
      </c>
      <c r="C744" s="8" t="s">
        <v>339</v>
      </c>
      <c r="D744" s="8" t="n">
        <v>56</v>
      </c>
      <c r="E744" s="8" t="n">
        <v>476065</v>
      </c>
      <c r="F744" s="11" t="str">
        <f aca="false">INDEX(Caixas!$C:$C,MATCH(C744,Caixas!$A:$A,0))</f>
        <v>Inteira CBP</v>
      </c>
      <c r="G744" s="9" t="n">
        <v>0</v>
      </c>
      <c r="H744" s="9" t="n">
        <v>0</v>
      </c>
      <c r="I744" s="8" t="n">
        <f aca="false">IF(F744="Inteira CBP",D744,IF(OR(F744="Aberta",F744="Avulso"),G744,0))</f>
        <v>56</v>
      </c>
      <c r="J744" s="8" t="n">
        <f aca="false">IF(F744="Inteira CBTBE",D744,IF(OR(F744="Aberta",F744="Avulso"),H744,0))</f>
        <v>0</v>
      </c>
      <c r="K744" s="8" t="n">
        <f aca="false">D744-I744-J744</f>
        <v>0</v>
      </c>
    </row>
    <row r="745" customFormat="false" ht="15" hidden="false" customHeight="false" outlineLevel="0" collapsed="false">
      <c r="A745" s="8" t="s">
        <v>677</v>
      </c>
      <c r="B745" s="8" t="s">
        <v>678</v>
      </c>
      <c r="C745" s="8" t="s">
        <v>340</v>
      </c>
      <c r="D745" s="8" t="n">
        <v>56</v>
      </c>
      <c r="E745" s="8" t="n">
        <v>476065</v>
      </c>
      <c r="F745" s="11" t="str">
        <f aca="false">INDEX(Caixas!$C:$C,MATCH(C745,Caixas!$A:$A,0))</f>
        <v>Inteira CBP</v>
      </c>
      <c r="G745" s="9" t="n">
        <v>0</v>
      </c>
      <c r="H745" s="9" t="n">
        <v>0</v>
      </c>
      <c r="I745" s="8" t="n">
        <f aca="false">IF(F745="Inteira CBP",D745,IF(OR(F745="Aberta",F745="Avulso"),G745,0))</f>
        <v>56</v>
      </c>
      <c r="J745" s="8" t="n">
        <f aca="false">IF(F745="Inteira CBTBE",D745,IF(OR(F745="Aberta",F745="Avulso"),H745,0))</f>
        <v>0</v>
      </c>
      <c r="K745" s="8" t="n">
        <f aca="false">D745-I745-J745</f>
        <v>0</v>
      </c>
    </row>
    <row r="746" customFormat="false" ht="15" hidden="false" customHeight="false" outlineLevel="0" collapsed="false">
      <c r="A746" s="8" t="s">
        <v>679</v>
      </c>
      <c r="B746" s="8" t="s">
        <v>680</v>
      </c>
      <c r="C746" s="8" t="s">
        <v>341</v>
      </c>
      <c r="D746" s="8" t="n">
        <v>9</v>
      </c>
      <c r="E746" s="8" t="n">
        <v>476065</v>
      </c>
      <c r="F746" s="11" t="str">
        <f aca="false">INDEX(Caixas!$C:$C,MATCH(C746,Caixas!$A:$A,0))</f>
        <v>Inteira CBP</v>
      </c>
      <c r="G746" s="9" t="n">
        <v>0</v>
      </c>
      <c r="H746" s="9" t="n">
        <v>0</v>
      </c>
      <c r="I746" s="8" t="n">
        <f aca="false">IF(F746="Inteira CBP",D746,IF(OR(F746="Aberta",F746="Avulso"),G746,0))</f>
        <v>9</v>
      </c>
      <c r="J746" s="8" t="n">
        <f aca="false">IF(F746="Inteira CBTBE",D746,IF(OR(F746="Aberta",F746="Avulso"),H746,0))</f>
        <v>0</v>
      </c>
      <c r="K746" s="8" t="n">
        <f aca="false">D746-I746-J746</f>
        <v>0</v>
      </c>
    </row>
    <row r="747" customFormat="false" ht="15" hidden="false" customHeight="false" outlineLevel="0" collapsed="false">
      <c r="A747" s="8" t="s">
        <v>679</v>
      </c>
      <c r="B747" s="8" t="s">
        <v>680</v>
      </c>
      <c r="C747" s="8" t="s">
        <v>342</v>
      </c>
      <c r="D747" s="8" t="n">
        <v>9</v>
      </c>
      <c r="E747" s="8" t="n">
        <v>476065</v>
      </c>
      <c r="F747" s="11" t="str">
        <f aca="false">INDEX(Caixas!$C:$C,MATCH(C747,Caixas!$A:$A,0))</f>
        <v>Devolução fechada</v>
      </c>
      <c r="G747" s="9" t="n">
        <v>0</v>
      </c>
      <c r="H747" s="9" t="n">
        <v>0</v>
      </c>
      <c r="I747" s="8" t="n">
        <f aca="false">IF(F747="Inteira CBP",D747,IF(OR(F747="Aberta",F747="Avulso"),G747,0))</f>
        <v>0</v>
      </c>
      <c r="J747" s="8" t="n">
        <f aca="false">IF(F747="Inteira CBTBE",D747,IF(OR(F747="Aberta",F747="Avulso"),H747,0))</f>
        <v>0</v>
      </c>
      <c r="K747" s="8" t="n">
        <f aca="false">D747-I747-J747</f>
        <v>9</v>
      </c>
    </row>
    <row r="748" customFormat="false" ht="15" hidden="false" customHeight="false" outlineLevel="0" collapsed="false">
      <c r="A748" s="8" t="s">
        <v>679</v>
      </c>
      <c r="B748" s="8" t="s">
        <v>680</v>
      </c>
      <c r="C748" s="8" t="s">
        <v>343</v>
      </c>
      <c r="D748" s="8" t="n">
        <v>9</v>
      </c>
      <c r="E748" s="8" t="n">
        <v>476065</v>
      </c>
      <c r="F748" s="11" t="str">
        <f aca="false">INDEX(Caixas!$C:$C,MATCH(C748,Caixas!$A:$A,0))</f>
        <v>Devolução fechada</v>
      </c>
      <c r="G748" s="9" t="n">
        <v>0</v>
      </c>
      <c r="H748" s="9" t="n">
        <v>0</v>
      </c>
      <c r="I748" s="8" t="n">
        <f aca="false">IF(F748="Inteira CBP",D748,IF(OR(F748="Aberta",F748="Avulso"),G748,0))</f>
        <v>0</v>
      </c>
      <c r="J748" s="8" t="n">
        <f aca="false">IF(F748="Inteira CBTBE",D748,IF(OR(F748="Aberta",F748="Avulso"),H748,0))</f>
        <v>0</v>
      </c>
      <c r="K748" s="8" t="n">
        <f aca="false">D748-I748-J748</f>
        <v>9</v>
      </c>
    </row>
    <row r="749" customFormat="false" ht="15" hidden="false" customHeight="false" outlineLevel="0" collapsed="false">
      <c r="A749" s="8" t="s">
        <v>679</v>
      </c>
      <c r="B749" s="8" t="s">
        <v>680</v>
      </c>
      <c r="C749" s="8" t="s">
        <v>344</v>
      </c>
      <c r="D749" s="8" t="n">
        <v>9</v>
      </c>
      <c r="E749" s="8" t="n">
        <v>476065</v>
      </c>
      <c r="F749" s="11" t="str">
        <f aca="false">INDEX(Caixas!$C:$C,MATCH(C749,Caixas!$A:$A,0))</f>
        <v>Inteira CBTBE</v>
      </c>
      <c r="G749" s="9" t="n">
        <v>0</v>
      </c>
      <c r="H749" s="9" t="n">
        <v>0</v>
      </c>
      <c r="I749" s="8" t="n">
        <f aca="false">IF(F749="Inteira CBP",D749,IF(OR(F749="Aberta",F749="Avulso"),G749,0))</f>
        <v>0</v>
      </c>
      <c r="J749" s="8" t="n">
        <f aca="false">IF(F749="Inteira CBTBE",D749,IF(OR(F749="Aberta",F749="Avulso"),H749,0))</f>
        <v>9</v>
      </c>
      <c r="K749" s="8" t="n">
        <f aca="false">D749-I749-J749</f>
        <v>0</v>
      </c>
    </row>
    <row r="750" customFormat="false" ht="15" hidden="false" customHeight="false" outlineLevel="0" collapsed="false">
      <c r="A750" s="8" t="s">
        <v>679</v>
      </c>
      <c r="B750" s="8" t="s">
        <v>680</v>
      </c>
      <c r="C750" s="8" t="s">
        <v>345</v>
      </c>
      <c r="D750" s="8" t="n">
        <v>9</v>
      </c>
      <c r="E750" s="8" t="n">
        <v>476065</v>
      </c>
      <c r="F750" s="11" t="str">
        <f aca="false">INDEX(Caixas!$C:$C,MATCH(C750,Caixas!$A:$A,0))</f>
        <v>Inteira CBP</v>
      </c>
      <c r="G750" s="9" t="n">
        <v>0</v>
      </c>
      <c r="H750" s="9" t="n">
        <v>0</v>
      </c>
      <c r="I750" s="8" t="n">
        <f aca="false">IF(F750="Inteira CBP",D750,IF(OR(F750="Aberta",F750="Avulso"),G750,0))</f>
        <v>9</v>
      </c>
      <c r="J750" s="8" t="n">
        <f aca="false">IF(F750="Inteira CBTBE",D750,IF(OR(F750="Aberta",F750="Avulso"),H750,0))</f>
        <v>0</v>
      </c>
      <c r="K750" s="8" t="n">
        <f aca="false">D750-I750-J750</f>
        <v>0</v>
      </c>
    </row>
    <row r="751" customFormat="false" ht="15" hidden="false" customHeight="false" outlineLevel="0" collapsed="false">
      <c r="A751" s="8" t="s">
        <v>679</v>
      </c>
      <c r="B751" s="8" t="s">
        <v>680</v>
      </c>
      <c r="C751" s="8" t="s">
        <v>346</v>
      </c>
      <c r="D751" s="8" t="n">
        <v>9</v>
      </c>
      <c r="E751" s="8" t="n">
        <v>476065</v>
      </c>
      <c r="F751" s="11" t="str">
        <f aca="false">INDEX(Caixas!$C:$C,MATCH(C751,Caixas!$A:$A,0))</f>
        <v>Inteira CBP</v>
      </c>
      <c r="G751" s="9" t="n">
        <v>0</v>
      </c>
      <c r="H751" s="9" t="n">
        <v>0</v>
      </c>
      <c r="I751" s="8" t="n">
        <f aca="false">IF(F751="Inteira CBP",D751,IF(OR(F751="Aberta",F751="Avulso"),G751,0))</f>
        <v>9</v>
      </c>
      <c r="J751" s="8" t="n">
        <f aca="false">IF(F751="Inteira CBTBE",D751,IF(OR(F751="Aberta",F751="Avulso"),H751,0))</f>
        <v>0</v>
      </c>
      <c r="K751" s="8" t="n">
        <f aca="false">D751-I751-J751</f>
        <v>0</v>
      </c>
    </row>
    <row r="752" customFormat="false" ht="15" hidden="false" customHeight="false" outlineLevel="0" collapsed="false">
      <c r="A752" s="8" t="s">
        <v>671</v>
      </c>
      <c r="B752" s="8" t="s">
        <v>672</v>
      </c>
      <c r="C752" s="8" t="s">
        <v>347</v>
      </c>
      <c r="D752" s="8" t="n">
        <v>20</v>
      </c>
      <c r="E752" s="8" t="n">
        <v>476065</v>
      </c>
      <c r="F752" s="11" t="str">
        <f aca="false">INDEX(Caixas!$C:$C,MATCH(C752,Caixas!$A:$A,0))</f>
        <v>Devolução fechada</v>
      </c>
      <c r="G752" s="9" t="n">
        <v>0</v>
      </c>
      <c r="H752" s="9" t="n">
        <v>0</v>
      </c>
      <c r="I752" s="8" t="n">
        <f aca="false">IF(F752="Inteira CBP",D752,IF(OR(F752="Aberta",F752="Avulso"),G752,0))</f>
        <v>0</v>
      </c>
      <c r="J752" s="8" t="n">
        <f aca="false">IF(F752="Inteira CBTBE",D752,IF(OR(F752="Aberta",F752="Avulso"),H752,0))</f>
        <v>0</v>
      </c>
      <c r="K752" s="8" t="n">
        <f aca="false">D752-I752-J752</f>
        <v>20</v>
      </c>
    </row>
    <row r="753" customFormat="false" ht="15" hidden="false" customHeight="false" outlineLevel="0" collapsed="false">
      <c r="A753" s="8" t="s">
        <v>671</v>
      </c>
      <c r="B753" s="8" t="s">
        <v>672</v>
      </c>
      <c r="C753" s="8" t="s">
        <v>348</v>
      </c>
      <c r="D753" s="8" t="n">
        <v>20</v>
      </c>
      <c r="E753" s="8" t="n">
        <v>476065</v>
      </c>
      <c r="F753" s="11" t="str">
        <f aca="false">INDEX(Caixas!$C:$C,MATCH(C753,Caixas!$A:$A,0))</f>
        <v>Inteira CBTBE</v>
      </c>
      <c r="G753" s="9" t="n">
        <v>0</v>
      </c>
      <c r="H753" s="9" t="n">
        <v>0</v>
      </c>
      <c r="I753" s="8" t="n">
        <f aca="false">IF(F753="Inteira CBP",D753,IF(OR(F753="Aberta",F753="Avulso"),G753,0))</f>
        <v>0</v>
      </c>
      <c r="J753" s="8" t="n">
        <f aca="false">IF(F753="Inteira CBTBE",D753,IF(OR(F753="Aberta",F753="Avulso"),H753,0))</f>
        <v>20</v>
      </c>
      <c r="K753" s="8" t="n">
        <f aca="false">D753-I753-J753</f>
        <v>0</v>
      </c>
    </row>
    <row r="754" customFormat="false" ht="15" hidden="false" customHeight="false" outlineLevel="0" collapsed="false">
      <c r="A754" s="8" t="s">
        <v>671</v>
      </c>
      <c r="B754" s="8" t="s">
        <v>672</v>
      </c>
      <c r="C754" s="8" t="s">
        <v>349</v>
      </c>
      <c r="D754" s="8" t="n">
        <v>20</v>
      </c>
      <c r="E754" s="8" t="n">
        <v>476065</v>
      </c>
      <c r="F754" s="11" t="str">
        <f aca="false">INDEX(Caixas!$C:$C,MATCH(C754,Caixas!$A:$A,0))</f>
        <v>Inteira CBP</v>
      </c>
      <c r="G754" s="9" t="n">
        <v>0</v>
      </c>
      <c r="H754" s="9" t="n">
        <v>0</v>
      </c>
      <c r="I754" s="8" t="n">
        <f aca="false">IF(F754="Inteira CBP",D754,IF(OR(F754="Aberta",F754="Avulso"),G754,0))</f>
        <v>20</v>
      </c>
      <c r="J754" s="8" t="n">
        <f aca="false">IF(F754="Inteira CBTBE",D754,IF(OR(F754="Aberta",F754="Avulso"),H754,0))</f>
        <v>0</v>
      </c>
      <c r="K754" s="8" t="n">
        <f aca="false">D754-I754-J754</f>
        <v>0</v>
      </c>
    </row>
    <row r="755" customFormat="false" ht="15" hidden="false" customHeight="false" outlineLevel="0" collapsed="false">
      <c r="A755" s="8" t="s">
        <v>671</v>
      </c>
      <c r="B755" s="8" t="s">
        <v>672</v>
      </c>
      <c r="C755" s="8" t="s">
        <v>350</v>
      </c>
      <c r="D755" s="8" t="n">
        <v>24</v>
      </c>
      <c r="E755" s="8" t="n">
        <v>476065</v>
      </c>
      <c r="F755" s="11" t="str">
        <f aca="false">INDEX(Caixas!$C:$C,MATCH(C755,Caixas!$A:$A,0))</f>
        <v>Aberta</v>
      </c>
      <c r="G755" s="9" t="n">
        <v>8</v>
      </c>
      <c r="H755" s="9" t="n">
        <v>9</v>
      </c>
      <c r="I755" s="8" t="n">
        <f aca="false">IF(F755="Inteira CBP",D755,IF(OR(F755="Aberta",F755="Avulso"),G755,0))</f>
        <v>8</v>
      </c>
      <c r="J755" s="8" t="n">
        <f aca="false">IF(F755="Inteira CBTBE",D755,IF(OR(F755="Aberta",F755="Avulso"),H755,0))</f>
        <v>9</v>
      </c>
      <c r="K755" s="8" t="n">
        <f aca="false">D755-I755-J755</f>
        <v>7</v>
      </c>
    </row>
    <row r="756" customFormat="false" ht="15" hidden="false" customHeight="false" outlineLevel="0" collapsed="false">
      <c r="A756" s="8" t="s">
        <v>673</v>
      </c>
      <c r="B756" s="8" t="s">
        <v>674</v>
      </c>
      <c r="C756" s="8" t="s">
        <v>350</v>
      </c>
      <c r="D756" s="8" t="n">
        <v>59</v>
      </c>
      <c r="E756" s="8" t="n">
        <v>476065</v>
      </c>
      <c r="F756" s="11" t="str">
        <f aca="false">INDEX(Caixas!$C:$C,MATCH(C756,Caixas!$A:$A,0))</f>
        <v>Aberta</v>
      </c>
      <c r="G756" s="9" t="n">
        <v>15</v>
      </c>
      <c r="H756" s="9" t="n">
        <v>13</v>
      </c>
      <c r="I756" s="8" t="n">
        <f aca="false">IF(F756="Inteira CBP",D756,IF(OR(F756="Aberta",F756="Avulso"),G756,0))</f>
        <v>15</v>
      </c>
      <c r="J756" s="8" t="n">
        <f aca="false">IF(F756="Inteira CBTBE",D756,IF(OR(F756="Aberta",F756="Avulso"),H756,0))</f>
        <v>13</v>
      </c>
      <c r="K756" s="8" t="n">
        <f aca="false">D756-I756-J756</f>
        <v>31</v>
      </c>
    </row>
    <row r="757" customFormat="false" ht="15" hidden="false" customHeight="false" outlineLevel="0" collapsed="false">
      <c r="A757" s="8" t="s">
        <v>679</v>
      </c>
      <c r="B757" s="8" t="s">
        <v>680</v>
      </c>
      <c r="C757" s="8" t="s">
        <v>350</v>
      </c>
      <c r="D757" s="8" t="n">
        <v>2</v>
      </c>
      <c r="E757" s="8" t="n">
        <v>476065</v>
      </c>
      <c r="F757" s="11" t="str">
        <f aca="false">INDEX(Caixas!$C:$C,MATCH(C757,Caixas!$A:$A,0))</f>
        <v>Aberta</v>
      </c>
      <c r="G757" s="9" t="n">
        <v>0</v>
      </c>
      <c r="H757" s="9" t="n">
        <v>2</v>
      </c>
      <c r="I757" s="8" t="n">
        <f aca="false">IF(F757="Inteira CBP",D757,IF(OR(F757="Aberta",F757="Avulso"),G757,0))</f>
        <v>0</v>
      </c>
      <c r="J757" s="8" t="n">
        <f aca="false">IF(F757="Inteira CBTBE",D757,IF(OR(F757="Aberta",F757="Avulso"),H757,0))</f>
        <v>2</v>
      </c>
      <c r="K757" s="8" t="n">
        <f aca="false">D757-I757-J757</f>
        <v>0</v>
      </c>
    </row>
    <row r="758" customFormat="false" ht="15" hidden="false" customHeight="false" outlineLevel="0" collapsed="false">
      <c r="A758" s="8" t="s">
        <v>671</v>
      </c>
      <c r="B758" s="8" t="s">
        <v>672</v>
      </c>
      <c r="C758" s="8" t="s">
        <v>351</v>
      </c>
      <c r="D758" s="8" t="n">
        <v>1</v>
      </c>
      <c r="E758" s="8" t="n">
        <v>476065</v>
      </c>
      <c r="F758" s="11" t="str">
        <f aca="false">INDEX(Caixas!$C:$C,MATCH(C758,Caixas!$A:$A,0))</f>
        <v>Inteira CBTBE</v>
      </c>
      <c r="G758" s="9" t="n">
        <v>0</v>
      </c>
      <c r="H758" s="9" t="n">
        <v>0</v>
      </c>
      <c r="I758" s="8" t="n">
        <f aca="false">IF(F758="Inteira CBP",D758,IF(OR(F758="Aberta",F758="Avulso"),G758,0))</f>
        <v>0</v>
      </c>
      <c r="J758" s="8" t="n">
        <f aca="false">IF(F758="Inteira CBTBE",D758,IF(OR(F758="Aberta",F758="Avulso"),H758,0))</f>
        <v>1</v>
      </c>
      <c r="K758" s="8" t="n">
        <f aca="false">D758-I758-J758</f>
        <v>0</v>
      </c>
    </row>
    <row r="759" customFormat="false" ht="15" hidden="false" customHeight="false" outlineLevel="0" collapsed="false">
      <c r="A759" s="8" t="s">
        <v>677</v>
      </c>
      <c r="B759" s="8" t="s">
        <v>678</v>
      </c>
      <c r="C759" s="8" t="s">
        <v>351</v>
      </c>
      <c r="D759" s="8" t="n">
        <v>14</v>
      </c>
      <c r="E759" s="8" t="n">
        <v>476065</v>
      </c>
      <c r="F759" s="11" t="str">
        <f aca="false">INDEX(Caixas!$C:$C,MATCH(C759,Caixas!$A:$A,0))</f>
        <v>Inteira CBTBE</v>
      </c>
      <c r="G759" s="9" t="n">
        <v>0</v>
      </c>
      <c r="H759" s="9" t="n">
        <v>0</v>
      </c>
      <c r="I759" s="8" t="n">
        <f aca="false">IF(F759="Inteira CBP",D759,IF(OR(F759="Aberta",F759="Avulso"),G759,0))</f>
        <v>0</v>
      </c>
      <c r="J759" s="8" t="n">
        <f aca="false">IF(F759="Inteira CBTBE",D759,IF(OR(F759="Aberta",F759="Avulso"),H759,0))</f>
        <v>14</v>
      </c>
      <c r="K759" s="8" t="n">
        <f aca="false">D759-I759-J759</f>
        <v>0</v>
      </c>
    </row>
    <row r="760" customFormat="false" ht="15" hidden="false" customHeight="false" outlineLevel="0" collapsed="false">
      <c r="A760" s="8" t="s">
        <v>681</v>
      </c>
      <c r="B760" s="8" t="s">
        <v>682</v>
      </c>
      <c r="C760" s="8" t="s">
        <v>352</v>
      </c>
      <c r="D760" s="8" t="n">
        <v>24</v>
      </c>
      <c r="E760" s="8" t="n">
        <v>476065</v>
      </c>
      <c r="F760" s="11" t="str">
        <f aca="false">INDEX(Caixas!$C:$C,MATCH(C760,Caixas!$A:$A,0))</f>
        <v>Inteira CBP</v>
      </c>
      <c r="G760" s="9" t="n">
        <v>0</v>
      </c>
      <c r="H760" s="9" t="n">
        <v>0</v>
      </c>
      <c r="I760" s="8" t="n">
        <f aca="false">IF(F760="Inteira CBP",D760,IF(OR(F760="Aberta",F760="Avulso"),G760,0))</f>
        <v>24</v>
      </c>
      <c r="J760" s="8" t="n">
        <f aca="false">IF(F760="Inteira CBTBE",D760,IF(OR(F760="Aberta",F760="Avulso"),H760,0))</f>
        <v>0</v>
      </c>
      <c r="K760" s="8" t="n">
        <f aca="false">D760-I760-J760</f>
        <v>0</v>
      </c>
    </row>
    <row r="761" customFormat="false" ht="15" hidden="false" customHeight="false" outlineLevel="0" collapsed="false">
      <c r="A761" s="8" t="s">
        <v>683</v>
      </c>
      <c r="B761" s="8" t="s">
        <v>684</v>
      </c>
      <c r="C761" s="8" t="s">
        <v>353</v>
      </c>
      <c r="D761" s="8" t="n">
        <v>24</v>
      </c>
      <c r="E761" s="8" t="n">
        <v>476065</v>
      </c>
      <c r="F761" s="11" t="str">
        <f aca="false">INDEX(Caixas!$C:$C,MATCH(C761,Caixas!$A:$A,0))</f>
        <v>Devolução fechada</v>
      </c>
      <c r="G761" s="9" t="n">
        <v>0</v>
      </c>
      <c r="H761" s="9" t="n">
        <v>0</v>
      </c>
      <c r="I761" s="8" t="n">
        <f aca="false">IF(F761="Inteira CBP",D761,IF(OR(F761="Aberta",F761="Avulso"),G761,0))</f>
        <v>0</v>
      </c>
      <c r="J761" s="8" t="n">
        <f aca="false">IF(F761="Inteira CBTBE",D761,IF(OR(F761="Aberta",F761="Avulso"),H761,0))</f>
        <v>0</v>
      </c>
      <c r="K761" s="8" t="n">
        <f aca="false">D761-I761-J761</f>
        <v>24</v>
      </c>
    </row>
    <row r="762" customFormat="false" ht="15" hidden="false" customHeight="false" outlineLevel="0" collapsed="false">
      <c r="A762" s="8" t="s">
        <v>681</v>
      </c>
      <c r="B762" s="8" t="s">
        <v>682</v>
      </c>
      <c r="C762" s="8" t="s">
        <v>354</v>
      </c>
      <c r="D762" s="8" t="n">
        <v>24</v>
      </c>
      <c r="E762" s="8" t="n">
        <v>476065</v>
      </c>
      <c r="F762" s="11" t="str">
        <f aca="false">INDEX(Caixas!$C:$C,MATCH(C762,Caixas!$A:$A,0))</f>
        <v>Inteira CBP</v>
      </c>
      <c r="G762" s="9" t="n">
        <v>0</v>
      </c>
      <c r="H762" s="9" t="n">
        <v>0</v>
      </c>
      <c r="I762" s="8" t="n">
        <f aca="false">IF(F762="Inteira CBP",D762,IF(OR(F762="Aberta",F762="Avulso"),G762,0))</f>
        <v>24</v>
      </c>
      <c r="J762" s="8" t="n">
        <f aca="false">IF(F762="Inteira CBTBE",D762,IF(OR(F762="Aberta",F762="Avulso"),H762,0))</f>
        <v>0</v>
      </c>
      <c r="K762" s="8" t="n">
        <f aca="false">D762-I762-J762</f>
        <v>0</v>
      </c>
    </row>
    <row r="763" customFormat="false" ht="15" hidden="false" customHeight="false" outlineLevel="0" collapsed="false">
      <c r="A763" s="8" t="s">
        <v>681</v>
      </c>
      <c r="B763" s="8" t="s">
        <v>682</v>
      </c>
      <c r="C763" s="8" t="s">
        <v>355</v>
      </c>
      <c r="D763" s="8" t="n">
        <v>24</v>
      </c>
      <c r="E763" s="8" t="n">
        <v>476065</v>
      </c>
      <c r="F763" s="11" t="str">
        <f aca="false">INDEX(Caixas!$C:$C,MATCH(C763,Caixas!$A:$A,0))</f>
        <v>Devolução fechada</v>
      </c>
      <c r="G763" s="9" t="n">
        <v>0</v>
      </c>
      <c r="H763" s="9" t="n">
        <v>0</v>
      </c>
      <c r="I763" s="8" t="n">
        <f aca="false">IF(F763="Inteira CBP",D763,IF(OR(F763="Aberta",F763="Avulso"),G763,0))</f>
        <v>0</v>
      </c>
      <c r="J763" s="8" t="n">
        <f aca="false">IF(F763="Inteira CBTBE",D763,IF(OR(F763="Aberta",F763="Avulso"),H763,0))</f>
        <v>0</v>
      </c>
      <c r="K763" s="8" t="n">
        <f aca="false">D763-I763-J763</f>
        <v>24</v>
      </c>
    </row>
    <row r="764" customFormat="false" ht="15" hidden="false" customHeight="false" outlineLevel="0" collapsed="false">
      <c r="A764" s="8" t="s">
        <v>681</v>
      </c>
      <c r="B764" s="8" t="s">
        <v>682</v>
      </c>
      <c r="C764" s="8" t="s">
        <v>356</v>
      </c>
      <c r="D764" s="8" t="n">
        <v>24</v>
      </c>
      <c r="E764" s="8" t="n">
        <v>476065</v>
      </c>
      <c r="F764" s="11" t="str">
        <f aca="false">INDEX(Caixas!$C:$C,MATCH(C764,Caixas!$A:$A,0))</f>
        <v>Inteira CBP</v>
      </c>
      <c r="G764" s="9" t="n">
        <v>0</v>
      </c>
      <c r="H764" s="9" t="n">
        <v>0</v>
      </c>
      <c r="I764" s="8" t="n">
        <f aca="false">IF(F764="Inteira CBP",D764,IF(OR(F764="Aberta",F764="Avulso"),G764,0))</f>
        <v>24</v>
      </c>
      <c r="J764" s="8" t="n">
        <f aca="false">IF(F764="Inteira CBTBE",D764,IF(OR(F764="Aberta",F764="Avulso"),H764,0))</f>
        <v>0</v>
      </c>
      <c r="K764" s="8" t="n">
        <f aca="false">D764-I764-J764</f>
        <v>0</v>
      </c>
    </row>
    <row r="765" customFormat="false" ht="15" hidden="false" customHeight="false" outlineLevel="0" collapsed="false">
      <c r="A765" s="8" t="s">
        <v>681</v>
      </c>
      <c r="B765" s="8" t="s">
        <v>682</v>
      </c>
      <c r="C765" s="8" t="s">
        <v>357</v>
      </c>
      <c r="D765" s="8" t="n">
        <v>24</v>
      </c>
      <c r="E765" s="8" t="n">
        <v>476065</v>
      </c>
      <c r="F765" s="11" t="str">
        <f aca="false">INDEX(Caixas!$C:$C,MATCH(C765,Caixas!$A:$A,0))</f>
        <v>Devolução fechada</v>
      </c>
      <c r="G765" s="9" t="n">
        <v>0</v>
      </c>
      <c r="H765" s="9" t="n">
        <v>0</v>
      </c>
      <c r="I765" s="8" t="n">
        <f aca="false">IF(F765="Inteira CBP",D765,IF(OR(F765="Aberta",F765="Avulso"),G765,0))</f>
        <v>0</v>
      </c>
      <c r="J765" s="8" t="n">
        <f aca="false">IF(F765="Inteira CBTBE",D765,IF(OR(F765="Aberta",F765="Avulso"),H765,0))</f>
        <v>0</v>
      </c>
      <c r="K765" s="8" t="n">
        <f aca="false">D765-I765-J765</f>
        <v>24</v>
      </c>
    </row>
    <row r="766" customFormat="false" ht="15" hidden="false" customHeight="false" outlineLevel="0" collapsed="false">
      <c r="A766" s="8" t="s">
        <v>681</v>
      </c>
      <c r="B766" s="8" t="s">
        <v>682</v>
      </c>
      <c r="C766" s="8" t="s">
        <v>358</v>
      </c>
      <c r="D766" s="8" t="n">
        <v>24</v>
      </c>
      <c r="E766" s="8" t="n">
        <v>476065</v>
      </c>
      <c r="F766" s="11" t="str">
        <f aca="false">INDEX(Caixas!$C:$C,MATCH(C766,Caixas!$A:$A,0))</f>
        <v>Devolução fechada</v>
      </c>
      <c r="G766" s="9" t="n">
        <v>0</v>
      </c>
      <c r="H766" s="9" t="n">
        <v>0</v>
      </c>
      <c r="I766" s="8" t="n">
        <f aca="false">IF(F766="Inteira CBP",D766,IF(OR(F766="Aberta",F766="Avulso"),G766,0))</f>
        <v>0</v>
      </c>
      <c r="J766" s="8" t="n">
        <f aca="false">IF(F766="Inteira CBTBE",D766,IF(OR(F766="Aberta",F766="Avulso"),H766,0))</f>
        <v>0</v>
      </c>
      <c r="K766" s="8" t="n">
        <f aca="false">D766-I766-J766</f>
        <v>24</v>
      </c>
    </row>
    <row r="767" customFormat="false" ht="15" hidden="false" customHeight="false" outlineLevel="0" collapsed="false">
      <c r="A767" s="8" t="s">
        <v>681</v>
      </c>
      <c r="B767" s="8" t="s">
        <v>682</v>
      </c>
      <c r="C767" s="8" t="s">
        <v>359</v>
      </c>
      <c r="D767" s="8" t="n">
        <v>24</v>
      </c>
      <c r="E767" s="8" t="n">
        <v>476065</v>
      </c>
      <c r="F767" s="11" t="str">
        <f aca="false">INDEX(Caixas!$C:$C,MATCH(C767,Caixas!$A:$A,0))</f>
        <v>Devolução fechada</v>
      </c>
      <c r="G767" s="9" t="n">
        <v>0</v>
      </c>
      <c r="H767" s="9" t="n">
        <v>0</v>
      </c>
      <c r="I767" s="8" t="n">
        <f aca="false">IF(F767="Inteira CBP",D767,IF(OR(F767="Aberta",F767="Avulso"),G767,0))</f>
        <v>0</v>
      </c>
      <c r="J767" s="8" t="n">
        <f aca="false">IF(F767="Inteira CBTBE",D767,IF(OR(F767="Aberta",F767="Avulso"),H767,0))</f>
        <v>0</v>
      </c>
      <c r="K767" s="8" t="n">
        <f aca="false">D767-I767-J767</f>
        <v>24</v>
      </c>
    </row>
    <row r="768" customFormat="false" ht="15" hidden="false" customHeight="false" outlineLevel="0" collapsed="false">
      <c r="A768" s="8" t="s">
        <v>685</v>
      </c>
      <c r="B768" s="8" t="s">
        <v>686</v>
      </c>
      <c r="C768" s="8" t="s">
        <v>360</v>
      </c>
      <c r="D768" s="8" t="n">
        <v>18</v>
      </c>
      <c r="E768" s="8" t="n">
        <v>476065</v>
      </c>
      <c r="F768" s="11" t="str">
        <f aca="false">INDEX(Caixas!$C:$C,MATCH(C768,Caixas!$A:$A,0))</f>
        <v>Devolução fechada</v>
      </c>
      <c r="G768" s="9" t="n">
        <v>0</v>
      </c>
      <c r="H768" s="9" t="n">
        <v>0</v>
      </c>
      <c r="I768" s="8" t="n">
        <f aca="false">IF(F768="Inteira CBP",D768,IF(OR(F768="Aberta",F768="Avulso"),G768,0))</f>
        <v>0</v>
      </c>
      <c r="J768" s="8" t="n">
        <f aca="false">IF(F768="Inteira CBTBE",D768,IF(OR(F768="Aberta",F768="Avulso"),H768,0))</f>
        <v>0</v>
      </c>
      <c r="K768" s="8" t="n">
        <f aca="false">D768-I768-J768</f>
        <v>18</v>
      </c>
    </row>
    <row r="769" customFormat="false" ht="15" hidden="false" customHeight="false" outlineLevel="0" collapsed="false">
      <c r="A769" s="8" t="s">
        <v>685</v>
      </c>
      <c r="B769" s="8" t="s">
        <v>686</v>
      </c>
      <c r="C769" s="8" t="s">
        <v>361</v>
      </c>
      <c r="D769" s="8" t="n">
        <v>18</v>
      </c>
      <c r="E769" s="8" t="n">
        <v>476065</v>
      </c>
      <c r="F769" s="11" t="str">
        <f aca="false">INDEX(Caixas!$C:$C,MATCH(C769,Caixas!$A:$A,0))</f>
        <v>Devolução fechada</v>
      </c>
      <c r="G769" s="9" t="n">
        <v>0</v>
      </c>
      <c r="H769" s="9" t="n">
        <v>0</v>
      </c>
      <c r="I769" s="8" t="n">
        <f aca="false">IF(F769="Inteira CBP",D769,IF(OR(F769="Aberta",F769="Avulso"),G769,0))</f>
        <v>0</v>
      </c>
      <c r="J769" s="8" t="n">
        <f aca="false">IF(F769="Inteira CBTBE",D769,IF(OR(F769="Aberta",F769="Avulso"),H769,0))</f>
        <v>0</v>
      </c>
      <c r="K769" s="8" t="n">
        <f aca="false">D769-I769-J769</f>
        <v>18</v>
      </c>
    </row>
    <row r="770" customFormat="false" ht="15" hidden="false" customHeight="false" outlineLevel="0" collapsed="false">
      <c r="A770" s="8" t="s">
        <v>681</v>
      </c>
      <c r="B770" s="8" t="s">
        <v>682</v>
      </c>
      <c r="C770" s="8" t="s">
        <v>362</v>
      </c>
      <c r="D770" s="8" t="n">
        <v>24</v>
      </c>
      <c r="E770" s="8" t="n">
        <v>476065</v>
      </c>
      <c r="F770" s="11" t="str">
        <f aca="false">INDEX(Caixas!$C:$C,MATCH(C770,Caixas!$A:$A,0))</f>
        <v>Devolução fechada</v>
      </c>
      <c r="G770" s="9" t="n">
        <v>0</v>
      </c>
      <c r="H770" s="9" t="n">
        <v>0</v>
      </c>
      <c r="I770" s="8" t="n">
        <f aca="false">IF(F770="Inteira CBP",D770,IF(OR(F770="Aberta",F770="Avulso"),G770,0))</f>
        <v>0</v>
      </c>
      <c r="J770" s="8" t="n">
        <f aca="false">IF(F770="Inteira CBTBE",D770,IF(OR(F770="Aberta",F770="Avulso"),H770,0))</f>
        <v>0</v>
      </c>
      <c r="K770" s="8" t="n">
        <f aca="false">D770-I770-J770</f>
        <v>24</v>
      </c>
    </row>
    <row r="771" customFormat="false" ht="15" hidden="false" customHeight="false" outlineLevel="0" collapsed="false">
      <c r="A771" s="8" t="s">
        <v>681</v>
      </c>
      <c r="B771" s="8" t="s">
        <v>682</v>
      </c>
      <c r="C771" s="8" t="s">
        <v>363</v>
      </c>
      <c r="D771" s="8" t="n">
        <v>24</v>
      </c>
      <c r="E771" s="8" t="n">
        <v>476065</v>
      </c>
      <c r="F771" s="11" t="str">
        <f aca="false">INDEX(Caixas!$C:$C,MATCH(C771,Caixas!$A:$A,0))</f>
        <v>Devolução fechada</v>
      </c>
      <c r="G771" s="9" t="n">
        <v>0</v>
      </c>
      <c r="H771" s="9" t="n">
        <v>0</v>
      </c>
      <c r="I771" s="8" t="n">
        <f aca="false">IF(F771="Inteira CBP",D771,IF(OR(F771="Aberta",F771="Avulso"),G771,0))</f>
        <v>0</v>
      </c>
      <c r="J771" s="8" t="n">
        <f aca="false">IF(F771="Inteira CBTBE",D771,IF(OR(F771="Aberta",F771="Avulso"),H771,0))</f>
        <v>0</v>
      </c>
      <c r="K771" s="8" t="n">
        <f aca="false">D771-I771-J771</f>
        <v>24</v>
      </c>
    </row>
    <row r="772" customFormat="false" ht="15" hidden="false" customHeight="false" outlineLevel="0" collapsed="false">
      <c r="A772" s="8" t="s">
        <v>685</v>
      </c>
      <c r="B772" s="8" t="s">
        <v>686</v>
      </c>
      <c r="C772" s="8" t="s">
        <v>364</v>
      </c>
      <c r="D772" s="8" t="n">
        <v>18</v>
      </c>
      <c r="E772" s="8" t="n">
        <v>476065</v>
      </c>
      <c r="F772" s="11" t="str">
        <f aca="false">INDEX(Caixas!$C:$C,MATCH(C772,Caixas!$A:$A,0))</f>
        <v>Inteira CBP</v>
      </c>
      <c r="G772" s="9" t="n">
        <v>0</v>
      </c>
      <c r="H772" s="9" t="n">
        <v>0</v>
      </c>
      <c r="I772" s="8" t="n">
        <f aca="false">IF(F772="Inteira CBP",D772,IF(OR(F772="Aberta",F772="Avulso"),G772,0))</f>
        <v>18</v>
      </c>
      <c r="J772" s="8" t="n">
        <f aca="false">IF(F772="Inteira CBTBE",D772,IF(OR(F772="Aberta",F772="Avulso"),H772,0))</f>
        <v>0</v>
      </c>
      <c r="K772" s="8" t="n">
        <f aca="false">D772-I772-J772</f>
        <v>0</v>
      </c>
    </row>
    <row r="773" customFormat="false" ht="15" hidden="false" customHeight="false" outlineLevel="0" collapsed="false">
      <c r="A773" s="8" t="s">
        <v>687</v>
      </c>
      <c r="B773" s="8" t="s">
        <v>688</v>
      </c>
      <c r="C773" s="8" t="s">
        <v>365</v>
      </c>
      <c r="D773" s="8" t="n">
        <v>24</v>
      </c>
      <c r="E773" s="8" t="n">
        <v>476065</v>
      </c>
      <c r="F773" s="11" t="str">
        <f aca="false">INDEX(Caixas!$C:$C,MATCH(C773,Caixas!$A:$A,0))</f>
        <v>Devolução fechada</v>
      </c>
      <c r="G773" s="9" t="n">
        <v>0</v>
      </c>
      <c r="H773" s="9" t="n">
        <v>0</v>
      </c>
      <c r="I773" s="8" t="n">
        <f aca="false">IF(F773="Inteira CBP",D773,IF(OR(F773="Aberta",F773="Avulso"),G773,0))</f>
        <v>0</v>
      </c>
      <c r="J773" s="8" t="n">
        <f aca="false">IF(F773="Inteira CBTBE",D773,IF(OR(F773="Aberta",F773="Avulso"),H773,0))</f>
        <v>0</v>
      </c>
      <c r="K773" s="8" t="n">
        <f aca="false">D773-I773-J773</f>
        <v>24</v>
      </c>
    </row>
    <row r="774" customFormat="false" ht="15" hidden="false" customHeight="false" outlineLevel="0" collapsed="false">
      <c r="A774" s="8" t="s">
        <v>685</v>
      </c>
      <c r="B774" s="8" t="s">
        <v>686</v>
      </c>
      <c r="C774" s="8" t="s">
        <v>366</v>
      </c>
      <c r="D774" s="8" t="n">
        <v>18</v>
      </c>
      <c r="E774" s="8" t="n">
        <v>476065</v>
      </c>
      <c r="F774" s="11" t="str">
        <f aca="false">INDEX(Caixas!$C:$C,MATCH(C774,Caixas!$A:$A,0))</f>
        <v>Devolução fechada</v>
      </c>
      <c r="G774" s="9" t="n">
        <v>0</v>
      </c>
      <c r="H774" s="9" t="n">
        <v>0</v>
      </c>
      <c r="I774" s="8" t="n">
        <f aca="false">IF(F774="Inteira CBP",D774,IF(OR(F774="Aberta",F774="Avulso"),G774,0))</f>
        <v>0</v>
      </c>
      <c r="J774" s="8" t="n">
        <f aca="false">IF(F774="Inteira CBTBE",D774,IF(OR(F774="Aberta",F774="Avulso"),H774,0))</f>
        <v>0</v>
      </c>
      <c r="K774" s="8" t="n">
        <f aca="false">D774-I774-J774</f>
        <v>18</v>
      </c>
    </row>
    <row r="775" customFormat="false" ht="15" hidden="false" customHeight="false" outlineLevel="0" collapsed="false">
      <c r="A775" s="8" t="s">
        <v>687</v>
      </c>
      <c r="B775" s="8" t="s">
        <v>688</v>
      </c>
      <c r="C775" s="8" t="s">
        <v>367</v>
      </c>
      <c r="D775" s="8" t="n">
        <v>24</v>
      </c>
      <c r="E775" s="8" t="n">
        <v>476065</v>
      </c>
      <c r="F775" s="11" t="str">
        <f aca="false">INDEX(Caixas!$C:$C,MATCH(C775,Caixas!$A:$A,0))</f>
        <v>Devolução fechada</v>
      </c>
      <c r="G775" s="9" t="n">
        <v>0</v>
      </c>
      <c r="H775" s="9" t="n">
        <v>0</v>
      </c>
      <c r="I775" s="8" t="n">
        <f aca="false">IF(F775="Inteira CBP",D775,IF(OR(F775="Aberta",F775="Avulso"),G775,0))</f>
        <v>0</v>
      </c>
      <c r="J775" s="8" t="n">
        <f aca="false">IF(F775="Inteira CBTBE",D775,IF(OR(F775="Aberta",F775="Avulso"),H775,0))</f>
        <v>0</v>
      </c>
      <c r="K775" s="8" t="n">
        <f aca="false">D775-I775-J775</f>
        <v>24</v>
      </c>
    </row>
    <row r="776" customFormat="false" ht="15" hidden="false" customHeight="false" outlineLevel="0" collapsed="false">
      <c r="A776" s="8" t="s">
        <v>685</v>
      </c>
      <c r="B776" s="8" t="s">
        <v>686</v>
      </c>
      <c r="C776" s="8" t="s">
        <v>368</v>
      </c>
      <c r="D776" s="8" t="n">
        <v>18</v>
      </c>
      <c r="E776" s="8" t="n">
        <v>476065</v>
      </c>
      <c r="F776" s="11" t="str">
        <f aca="false">INDEX(Caixas!$C:$C,MATCH(C776,Caixas!$A:$A,0))</f>
        <v>Inteira CBTBE</v>
      </c>
      <c r="G776" s="9" t="n">
        <v>0</v>
      </c>
      <c r="H776" s="9" t="n">
        <v>0</v>
      </c>
      <c r="I776" s="8" t="n">
        <f aca="false">IF(F776="Inteira CBP",D776,IF(OR(F776="Aberta",F776="Avulso"),G776,0))</f>
        <v>0</v>
      </c>
      <c r="J776" s="8" t="n">
        <f aca="false">IF(F776="Inteira CBTBE",D776,IF(OR(F776="Aberta",F776="Avulso"),H776,0))</f>
        <v>18</v>
      </c>
      <c r="K776" s="8" t="n">
        <f aca="false">D776-I776-J776</f>
        <v>0</v>
      </c>
    </row>
    <row r="777" customFormat="false" ht="15" hidden="false" customHeight="false" outlineLevel="0" collapsed="false">
      <c r="A777" s="8" t="s">
        <v>687</v>
      </c>
      <c r="B777" s="8" t="s">
        <v>688</v>
      </c>
      <c r="C777" s="8" t="s">
        <v>369</v>
      </c>
      <c r="D777" s="8" t="n">
        <v>24</v>
      </c>
      <c r="E777" s="8" t="n">
        <v>476065</v>
      </c>
      <c r="F777" s="11" t="str">
        <f aca="false">INDEX(Caixas!$C:$C,MATCH(C777,Caixas!$A:$A,0))</f>
        <v>Inteira CBTBE</v>
      </c>
      <c r="G777" s="9" t="n">
        <v>0</v>
      </c>
      <c r="H777" s="9" t="n">
        <v>0</v>
      </c>
      <c r="I777" s="8" t="n">
        <f aca="false">IF(F777="Inteira CBP",D777,IF(OR(F777="Aberta",F777="Avulso"),G777,0))</f>
        <v>0</v>
      </c>
      <c r="J777" s="8" t="n">
        <f aca="false">IF(F777="Inteira CBTBE",D777,IF(OR(F777="Aberta",F777="Avulso"),H777,0))</f>
        <v>24</v>
      </c>
      <c r="K777" s="8" t="n">
        <f aca="false">D777-I777-J777</f>
        <v>0</v>
      </c>
    </row>
    <row r="778" customFormat="false" ht="15" hidden="false" customHeight="false" outlineLevel="0" collapsed="false">
      <c r="A778" s="8" t="s">
        <v>681</v>
      </c>
      <c r="B778" s="8" t="s">
        <v>682</v>
      </c>
      <c r="C778" s="8" t="s">
        <v>370</v>
      </c>
      <c r="D778" s="8" t="n">
        <v>24</v>
      </c>
      <c r="E778" s="8" t="n">
        <v>476065</v>
      </c>
      <c r="F778" s="11" t="str">
        <f aca="false">INDEX(Caixas!$C:$C,MATCH(C778,Caixas!$A:$A,0))</f>
        <v>Inteira CBTBE</v>
      </c>
      <c r="G778" s="9" t="n">
        <v>0</v>
      </c>
      <c r="H778" s="9" t="n">
        <v>0</v>
      </c>
      <c r="I778" s="8" t="n">
        <f aca="false">IF(F778="Inteira CBP",D778,IF(OR(F778="Aberta",F778="Avulso"),G778,0))</f>
        <v>0</v>
      </c>
      <c r="J778" s="8" t="n">
        <f aca="false">IF(F778="Inteira CBTBE",D778,IF(OR(F778="Aberta",F778="Avulso"),H778,0))</f>
        <v>24</v>
      </c>
      <c r="K778" s="8" t="n">
        <f aca="false">D778-I778-J778</f>
        <v>0</v>
      </c>
    </row>
    <row r="779" customFormat="false" ht="15" hidden="false" customHeight="false" outlineLevel="0" collapsed="false">
      <c r="A779" s="8" t="s">
        <v>681</v>
      </c>
      <c r="B779" s="8" t="s">
        <v>682</v>
      </c>
      <c r="C779" s="8" t="s">
        <v>371</v>
      </c>
      <c r="D779" s="8" t="n">
        <v>24</v>
      </c>
      <c r="E779" s="8" t="n">
        <v>476065</v>
      </c>
      <c r="F779" s="11" t="str">
        <f aca="false">INDEX(Caixas!$C:$C,MATCH(C779,Caixas!$A:$A,0))</f>
        <v>Devolução fechada</v>
      </c>
      <c r="G779" s="9" t="n">
        <v>0</v>
      </c>
      <c r="H779" s="9" t="n">
        <v>0</v>
      </c>
      <c r="I779" s="8" t="n">
        <f aca="false">IF(F779="Inteira CBP",D779,IF(OR(F779="Aberta",F779="Avulso"),G779,0))</f>
        <v>0</v>
      </c>
      <c r="J779" s="8" t="n">
        <f aca="false">IF(F779="Inteira CBTBE",D779,IF(OR(F779="Aberta",F779="Avulso"),H779,0))</f>
        <v>0</v>
      </c>
      <c r="K779" s="8" t="n">
        <f aca="false">D779-I779-J779</f>
        <v>24</v>
      </c>
    </row>
    <row r="780" customFormat="false" ht="15" hidden="false" customHeight="false" outlineLevel="0" collapsed="false">
      <c r="A780" s="8" t="s">
        <v>687</v>
      </c>
      <c r="B780" s="8" t="s">
        <v>688</v>
      </c>
      <c r="C780" s="8" t="s">
        <v>372</v>
      </c>
      <c r="D780" s="8" t="n">
        <v>24</v>
      </c>
      <c r="E780" s="8" t="n">
        <v>476065</v>
      </c>
      <c r="F780" s="11" t="str">
        <f aca="false">INDEX(Caixas!$C:$C,MATCH(C780,Caixas!$A:$A,0))</f>
        <v>Devolução fechada</v>
      </c>
      <c r="G780" s="9" t="n">
        <v>0</v>
      </c>
      <c r="H780" s="9" t="n">
        <v>0</v>
      </c>
      <c r="I780" s="8" t="n">
        <f aca="false">IF(F780="Inteira CBP",D780,IF(OR(F780="Aberta",F780="Avulso"),G780,0))</f>
        <v>0</v>
      </c>
      <c r="J780" s="8" t="n">
        <f aca="false">IF(F780="Inteira CBTBE",D780,IF(OR(F780="Aberta",F780="Avulso"),H780,0))</f>
        <v>0</v>
      </c>
      <c r="K780" s="8" t="n">
        <f aca="false">D780-I780-J780</f>
        <v>24</v>
      </c>
    </row>
    <row r="781" customFormat="false" ht="15" hidden="false" customHeight="false" outlineLevel="0" collapsed="false">
      <c r="A781" s="8" t="s">
        <v>687</v>
      </c>
      <c r="B781" s="8" t="s">
        <v>688</v>
      </c>
      <c r="C781" s="8" t="s">
        <v>373</v>
      </c>
      <c r="D781" s="8" t="n">
        <v>24</v>
      </c>
      <c r="E781" s="8" t="n">
        <v>476065</v>
      </c>
      <c r="F781" s="11" t="str">
        <f aca="false">INDEX(Caixas!$C:$C,MATCH(C781,Caixas!$A:$A,0))</f>
        <v>Inteira CBTBE</v>
      </c>
      <c r="G781" s="9" t="n">
        <v>0</v>
      </c>
      <c r="H781" s="9" t="n">
        <v>0</v>
      </c>
      <c r="I781" s="8" t="n">
        <f aca="false">IF(F781="Inteira CBP",D781,IF(OR(F781="Aberta",F781="Avulso"),G781,0))</f>
        <v>0</v>
      </c>
      <c r="J781" s="8" t="n">
        <f aca="false">IF(F781="Inteira CBTBE",D781,IF(OR(F781="Aberta",F781="Avulso"),H781,0))</f>
        <v>24</v>
      </c>
      <c r="K781" s="8" t="n">
        <f aca="false">D781-I781-J781</f>
        <v>0</v>
      </c>
    </row>
    <row r="782" customFormat="false" ht="15" hidden="false" customHeight="false" outlineLevel="0" collapsed="false">
      <c r="A782" s="8" t="s">
        <v>687</v>
      </c>
      <c r="B782" s="8" t="s">
        <v>688</v>
      </c>
      <c r="C782" s="8" t="s">
        <v>374</v>
      </c>
      <c r="D782" s="8" t="n">
        <v>24</v>
      </c>
      <c r="E782" s="8" t="n">
        <v>476065</v>
      </c>
      <c r="F782" s="11" t="str">
        <f aca="false">INDEX(Caixas!$C:$C,MATCH(C782,Caixas!$A:$A,0))</f>
        <v>Devolução fechada</v>
      </c>
      <c r="G782" s="9" t="n">
        <v>0</v>
      </c>
      <c r="H782" s="9" t="n">
        <v>0</v>
      </c>
      <c r="I782" s="8" t="n">
        <f aca="false">IF(F782="Inteira CBP",D782,IF(OR(F782="Aberta",F782="Avulso"),G782,0))</f>
        <v>0</v>
      </c>
      <c r="J782" s="8" t="n">
        <f aca="false">IF(F782="Inteira CBTBE",D782,IF(OR(F782="Aberta",F782="Avulso"),H782,0))</f>
        <v>0</v>
      </c>
      <c r="K782" s="8" t="n">
        <f aca="false">D782-I782-J782</f>
        <v>24</v>
      </c>
    </row>
    <row r="783" customFormat="false" ht="15" hidden="false" customHeight="false" outlineLevel="0" collapsed="false">
      <c r="A783" s="8" t="s">
        <v>687</v>
      </c>
      <c r="B783" s="8" t="s">
        <v>688</v>
      </c>
      <c r="C783" s="8" t="s">
        <v>375</v>
      </c>
      <c r="D783" s="8" t="n">
        <v>24</v>
      </c>
      <c r="E783" s="8" t="n">
        <v>476065</v>
      </c>
      <c r="F783" s="11" t="str">
        <f aca="false">INDEX(Caixas!$C:$C,MATCH(C783,Caixas!$A:$A,0))</f>
        <v>Devolução fechada</v>
      </c>
      <c r="G783" s="9" t="n">
        <v>0</v>
      </c>
      <c r="H783" s="9" t="n">
        <v>0</v>
      </c>
      <c r="I783" s="8" t="n">
        <f aca="false">IF(F783="Inteira CBP",D783,IF(OR(F783="Aberta",F783="Avulso"),G783,0))</f>
        <v>0</v>
      </c>
      <c r="J783" s="8" t="n">
        <f aca="false">IF(F783="Inteira CBTBE",D783,IF(OR(F783="Aberta",F783="Avulso"),H783,0))</f>
        <v>0</v>
      </c>
      <c r="K783" s="8" t="n">
        <f aca="false">D783-I783-J783</f>
        <v>24</v>
      </c>
    </row>
    <row r="784" customFormat="false" ht="15" hidden="false" customHeight="false" outlineLevel="0" collapsed="false">
      <c r="A784" s="8" t="s">
        <v>687</v>
      </c>
      <c r="B784" s="8" t="s">
        <v>688</v>
      </c>
      <c r="C784" s="8" t="s">
        <v>376</v>
      </c>
      <c r="D784" s="8" t="n">
        <v>24</v>
      </c>
      <c r="E784" s="8" t="n">
        <v>476065</v>
      </c>
      <c r="F784" s="11" t="str">
        <f aca="false">INDEX(Caixas!$C:$C,MATCH(C784,Caixas!$A:$A,0))</f>
        <v>Inteira CBP</v>
      </c>
      <c r="G784" s="9" t="n">
        <v>0</v>
      </c>
      <c r="H784" s="9" t="n">
        <v>0</v>
      </c>
      <c r="I784" s="8" t="n">
        <f aca="false">IF(F784="Inteira CBP",D784,IF(OR(F784="Aberta",F784="Avulso"),G784,0))</f>
        <v>24</v>
      </c>
      <c r="J784" s="8" t="n">
        <f aca="false">IF(F784="Inteira CBTBE",D784,IF(OR(F784="Aberta",F784="Avulso"),H784,0))</f>
        <v>0</v>
      </c>
      <c r="K784" s="8" t="n">
        <f aca="false">D784-I784-J784</f>
        <v>0</v>
      </c>
    </row>
    <row r="785" customFormat="false" ht="15" hidden="false" customHeight="false" outlineLevel="0" collapsed="false">
      <c r="A785" s="8" t="s">
        <v>687</v>
      </c>
      <c r="B785" s="8" t="s">
        <v>688</v>
      </c>
      <c r="C785" s="8" t="s">
        <v>377</v>
      </c>
      <c r="D785" s="8" t="n">
        <v>24</v>
      </c>
      <c r="E785" s="8" t="n">
        <v>476065</v>
      </c>
      <c r="F785" s="11" t="str">
        <f aca="false">INDEX(Caixas!$C:$C,MATCH(C785,Caixas!$A:$A,0))</f>
        <v>Devolução fechada</v>
      </c>
      <c r="G785" s="9" t="n">
        <v>0</v>
      </c>
      <c r="H785" s="9" t="n">
        <v>0</v>
      </c>
      <c r="I785" s="8" t="n">
        <f aca="false">IF(F785="Inteira CBP",D785,IF(OR(F785="Aberta",F785="Avulso"),G785,0))</f>
        <v>0</v>
      </c>
      <c r="J785" s="8" t="n">
        <f aca="false">IF(F785="Inteira CBTBE",D785,IF(OR(F785="Aberta",F785="Avulso"),H785,0))</f>
        <v>0</v>
      </c>
      <c r="K785" s="8" t="n">
        <f aca="false">D785-I785-J785</f>
        <v>24</v>
      </c>
    </row>
    <row r="786" customFormat="false" ht="15" hidden="false" customHeight="false" outlineLevel="0" collapsed="false">
      <c r="A786" s="8" t="s">
        <v>683</v>
      </c>
      <c r="B786" s="8" t="s">
        <v>684</v>
      </c>
      <c r="C786" s="8" t="s">
        <v>378</v>
      </c>
      <c r="D786" s="8" t="n">
        <v>24</v>
      </c>
      <c r="E786" s="8" t="n">
        <v>476065</v>
      </c>
      <c r="F786" s="11" t="str">
        <f aca="false">INDEX(Caixas!$C:$C,MATCH(C786,Caixas!$A:$A,0))</f>
        <v>Devolução fechada</v>
      </c>
      <c r="G786" s="9" t="n">
        <v>0</v>
      </c>
      <c r="H786" s="9" t="n">
        <v>0</v>
      </c>
      <c r="I786" s="8" t="n">
        <f aca="false">IF(F786="Inteira CBP",D786,IF(OR(F786="Aberta",F786="Avulso"),G786,0))</f>
        <v>0</v>
      </c>
      <c r="J786" s="8" t="n">
        <f aca="false">IF(F786="Inteira CBTBE",D786,IF(OR(F786="Aberta",F786="Avulso"),H786,0))</f>
        <v>0</v>
      </c>
      <c r="K786" s="8" t="n">
        <f aca="false">D786-I786-J786</f>
        <v>24</v>
      </c>
    </row>
    <row r="787" customFormat="false" ht="15" hidden="false" customHeight="false" outlineLevel="0" collapsed="false">
      <c r="A787" s="8" t="s">
        <v>683</v>
      </c>
      <c r="B787" s="8" t="s">
        <v>684</v>
      </c>
      <c r="C787" s="8" t="s">
        <v>379</v>
      </c>
      <c r="D787" s="8" t="n">
        <v>24</v>
      </c>
      <c r="E787" s="8" t="n">
        <v>476065</v>
      </c>
      <c r="F787" s="11" t="str">
        <f aca="false">INDEX(Caixas!$C:$C,MATCH(C787,Caixas!$A:$A,0))</f>
        <v>Devolução fechada</v>
      </c>
      <c r="G787" s="9" t="n">
        <v>0</v>
      </c>
      <c r="H787" s="9" t="n">
        <v>0</v>
      </c>
      <c r="I787" s="8" t="n">
        <f aca="false">IF(F787="Inteira CBP",D787,IF(OR(F787="Aberta",F787="Avulso"),G787,0))</f>
        <v>0</v>
      </c>
      <c r="J787" s="8" t="n">
        <f aca="false">IF(F787="Inteira CBTBE",D787,IF(OR(F787="Aberta",F787="Avulso"),H787,0))</f>
        <v>0</v>
      </c>
      <c r="K787" s="8" t="n">
        <f aca="false">D787-I787-J787</f>
        <v>24</v>
      </c>
    </row>
    <row r="788" customFormat="false" ht="15" hidden="false" customHeight="false" outlineLevel="0" collapsed="false">
      <c r="A788" s="8" t="s">
        <v>683</v>
      </c>
      <c r="B788" s="8" t="s">
        <v>684</v>
      </c>
      <c r="C788" s="8" t="s">
        <v>380</v>
      </c>
      <c r="D788" s="8" t="n">
        <v>24</v>
      </c>
      <c r="E788" s="8" t="n">
        <v>476065</v>
      </c>
      <c r="F788" s="11" t="str">
        <f aca="false">INDEX(Caixas!$C:$C,MATCH(C788,Caixas!$A:$A,0))</f>
        <v>Devolução fechada</v>
      </c>
      <c r="G788" s="9" t="n">
        <v>0</v>
      </c>
      <c r="H788" s="9" t="n">
        <v>0</v>
      </c>
      <c r="I788" s="8" t="n">
        <f aca="false">IF(F788="Inteira CBP",D788,IF(OR(F788="Aberta",F788="Avulso"),G788,0))</f>
        <v>0</v>
      </c>
      <c r="J788" s="8" t="n">
        <f aca="false">IF(F788="Inteira CBTBE",D788,IF(OR(F788="Aberta",F788="Avulso"),H788,0))</f>
        <v>0</v>
      </c>
      <c r="K788" s="8" t="n">
        <f aca="false">D788-I788-J788</f>
        <v>24</v>
      </c>
    </row>
    <row r="789" customFormat="false" ht="15" hidden="false" customHeight="false" outlineLevel="0" collapsed="false">
      <c r="A789" s="8" t="s">
        <v>683</v>
      </c>
      <c r="B789" s="8" t="s">
        <v>684</v>
      </c>
      <c r="C789" s="8" t="s">
        <v>381</v>
      </c>
      <c r="D789" s="8" t="n">
        <v>24</v>
      </c>
      <c r="E789" s="8" t="n">
        <v>476065</v>
      </c>
      <c r="F789" s="11" t="str">
        <f aca="false">INDEX(Caixas!$C:$C,MATCH(C789,Caixas!$A:$A,0))</f>
        <v>Inteira CBTBE</v>
      </c>
      <c r="G789" s="9" t="n">
        <v>0</v>
      </c>
      <c r="H789" s="9" t="n">
        <v>0</v>
      </c>
      <c r="I789" s="8" t="n">
        <f aca="false">IF(F789="Inteira CBP",D789,IF(OR(F789="Aberta",F789="Avulso"),G789,0))</f>
        <v>0</v>
      </c>
      <c r="J789" s="8" t="n">
        <f aca="false">IF(F789="Inteira CBTBE",D789,IF(OR(F789="Aberta",F789="Avulso"),H789,0))</f>
        <v>24</v>
      </c>
      <c r="K789" s="8" t="n">
        <f aca="false">D789-I789-J789</f>
        <v>0</v>
      </c>
    </row>
    <row r="790" customFormat="false" ht="15" hidden="false" customHeight="false" outlineLevel="0" collapsed="false">
      <c r="A790" s="8" t="s">
        <v>683</v>
      </c>
      <c r="B790" s="8" t="s">
        <v>684</v>
      </c>
      <c r="C790" s="8" t="s">
        <v>382</v>
      </c>
      <c r="D790" s="8" t="n">
        <v>24</v>
      </c>
      <c r="E790" s="8" t="n">
        <v>476065</v>
      </c>
      <c r="F790" s="11" t="str">
        <f aca="false">INDEX(Caixas!$C:$C,MATCH(C790,Caixas!$A:$A,0))</f>
        <v>Devolução fechada</v>
      </c>
      <c r="G790" s="9" t="n">
        <v>0</v>
      </c>
      <c r="H790" s="9" t="n">
        <v>0</v>
      </c>
      <c r="I790" s="8" t="n">
        <f aca="false">IF(F790="Inteira CBP",D790,IF(OR(F790="Aberta",F790="Avulso"),G790,0))</f>
        <v>0</v>
      </c>
      <c r="J790" s="8" t="n">
        <f aca="false">IF(F790="Inteira CBTBE",D790,IF(OR(F790="Aberta",F790="Avulso"),H790,0))</f>
        <v>0</v>
      </c>
      <c r="K790" s="8" t="n">
        <f aca="false">D790-I790-J790</f>
        <v>24</v>
      </c>
    </row>
    <row r="791" customFormat="false" ht="15" hidden="false" customHeight="false" outlineLevel="0" collapsed="false">
      <c r="A791" s="8" t="s">
        <v>683</v>
      </c>
      <c r="B791" s="8" t="s">
        <v>684</v>
      </c>
      <c r="C791" s="8" t="s">
        <v>383</v>
      </c>
      <c r="D791" s="8" t="n">
        <v>24</v>
      </c>
      <c r="E791" s="8" t="n">
        <v>476065</v>
      </c>
      <c r="F791" s="11" t="str">
        <f aca="false">INDEX(Caixas!$C:$C,MATCH(C791,Caixas!$A:$A,0))</f>
        <v>Inteira CBTBE</v>
      </c>
      <c r="G791" s="9" t="n">
        <v>0</v>
      </c>
      <c r="H791" s="9" t="n">
        <v>0</v>
      </c>
      <c r="I791" s="8" t="n">
        <f aca="false">IF(F791="Inteira CBP",D791,IF(OR(F791="Aberta",F791="Avulso"),G791,0))</f>
        <v>0</v>
      </c>
      <c r="J791" s="8" t="n">
        <f aca="false">IF(F791="Inteira CBTBE",D791,IF(OR(F791="Aberta",F791="Avulso"),H791,0))</f>
        <v>24</v>
      </c>
      <c r="K791" s="8" t="n">
        <f aca="false">D791-I791-J791</f>
        <v>0</v>
      </c>
    </row>
    <row r="792" customFormat="false" ht="15" hidden="false" customHeight="false" outlineLevel="0" collapsed="false">
      <c r="A792" s="8" t="s">
        <v>687</v>
      </c>
      <c r="B792" s="8" t="s">
        <v>688</v>
      </c>
      <c r="C792" s="8" t="s">
        <v>384</v>
      </c>
      <c r="D792" s="8" t="n">
        <v>24</v>
      </c>
      <c r="E792" s="8" t="n">
        <v>476065</v>
      </c>
      <c r="F792" s="11" t="str">
        <f aca="false">INDEX(Caixas!$C:$C,MATCH(C792,Caixas!$A:$A,0))</f>
        <v>Devolução fechada</v>
      </c>
      <c r="G792" s="9" t="n">
        <v>0</v>
      </c>
      <c r="H792" s="9" t="n">
        <v>0</v>
      </c>
      <c r="I792" s="8" t="n">
        <f aca="false">IF(F792="Inteira CBP",D792,IF(OR(F792="Aberta",F792="Avulso"),G792,0))</f>
        <v>0</v>
      </c>
      <c r="J792" s="8" t="n">
        <f aca="false">IF(F792="Inteira CBTBE",D792,IF(OR(F792="Aberta",F792="Avulso"),H792,0))</f>
        <v>0</v>
      </c>
      <c r="K792" s="8" t="n">
        <f aca="false">D792-I792-J792</f>
        <v>24</v>
      </c>
    </row>
    <row r="793" customFormat="false" ht="15" hidden="false" customHeight="false" outlineLevel="0" collapsed="false">
      <c r="A793" s="8" t="s">
        <v>683</v>
      </c>
      <c r="B793" s="8" t="s">
        <v>684</v>
      </c>
      <c r="C793" s="8" t="s">
        <v>385</v>
      </c>
      <c r="D793" s="8" t="n">
        <v>24</v>
      </c>
      <c r="E793" s="8" t="n">
        <v>476065</v>
      </c>
      <c r="F793" s="11" t="str">
        <f aca="false">INDEX(Caixas!$C:$C,MATCH(C793,Caixas!$A:$A,0))</f>
        <v>Inteira CBTBE</v>
      </c>
      <c r="G793" s="9" t="n">
        <v>0</v>
      </c>
      <c r="H793" s="9" t="n">
        <v>0</v>
      </c>
      <c r="I793" s="8" t="n">
        <f aca="false">IF(F793="Inteira CBP",D793,IF(OR(F793="Aberta",F793="Avulso"),G793,0))</f>
        <v>0</v>
      </c>
      <c r="J793" s="8" t="n">
        <f aca="false">IF(F793="Inteira CBTBE",D793,IF(OR(F793="Aberta",F793="Avulso"),H793,0))</f>
        <v>24</v>
      </c>
      <c r="K793" s="8" t="n">
        <f aca="false">D793-I793-J793</f>
        <v>0</v>
      </c>
    </row>
    <row r="794" customFormat="false" ht="15" hidden="false" customHeight="false" outlineLevel="0" collapsed="false">
      <c r="A794" s="8" t="s">
        <v>687</v>
      </c>
      <c r="B794" s="8" t="s">
        <v>688</v>
      </c>
      <c r="C794" s="8" t="s">
        <v>386</v>
      </c>
      <c r="D794" s="8" t="n">
        <v>24</v>
      </c>
      <c r="E794" s="8" t="n">
        <v>476065</v>
      </c>
      <c r="F794" s="11" t="str">
        <f aca="false">INDEX(Caixas!$C:$C,MATCH(C794,Caixas!$A:$A,0))</f>
        <v>Devolução fechada</v>
      </c>
      <c r="G794" s="9" t="n">
        <v>0</v>
      </c>
      <c r="H794" s="9" t="n">
        <v>0</v>
      </c>
      <c r="I794" s="8" t="n">
        <f aca="false">IF(F794="Inteira CBP",D794,IF(OR(F794="Aberta",F794="Avulso"),G794,0))</f>
        <v>0</v>
      </c>
      <c r="J794" s="8" t="n">
        <f aca="false">IF(F794="Inteira CBTBE",D794,IF(OR(F794="Aberta",F794="Avulso"),H794,0))</f>
        <v>0</v>
      </c>
      <c r="K794" s="8" t="n">
        <f aca="false">D794-I794-J794</f>
        <v>24</v>
      </c>
    </row>
    <row r="795" customFormat="false" ht="15" hidden="false" customHeight="false" outlineLevel="0" collapsed="false">
      <c r="A795" s="8" t="s">
        <v>685</v>
      </c>
      <c r="B795" s="8" t="s">
        <v>686</v>
      </c>
      <c r="C795" s="8" t="s">
        <v>387</v>
      </c>
      <c r="D795" s="8" t="n">
        <v>10</v>
      </c>
      <c r="E795" s="8" t="n">
        <v>476065</v>
      </c>
      <c r="F795" s="11" t="str">
        <f aca="false">INDEX(Caixas!$C:$C,MATCH(C795,Caixas!$A:$A,0))</f>
        <v>Devolução fechada</v>
      </c>
      <c r="G795" s="9" t="n">
        <v>0</v>
      </c>
      <c r="H795" s="9" t="n">
        <v>0</v>
      </c>
      <c r="I795" s="8" t="n">
        <f aca="false">IF(F795="Inteira CBP",D795,IF(OR(F795="Aberta",F795="Avulso"),G795,0))</f>
        <v>0</v>
      </c>
      <c r="J795" s="8" t="n">
        <f aca="false">IF(F795="Inteira CBTBE",D795,IF(OR(F795="Aberta",F795="Avulso"),H795,0))</f>
        <v>0</v>
      </c>
      <c r="K795" s="8" t="n">
        <f aca="false">D795-I795-J795</f>
        <v>10</v>
      </c>
    </row>
    <row r="796" customFormat="false" ht="15" hidden="false" customHeight="false" outlineLevel="0" collapsed="false">
      <c r="A796" s="8" t="s">
        <v>681</v>
      </c>
      <c r="B796" s="8" t="s">
        <v>682</v>
      </c>
      <c r="C796" s="8" t="s">
        <v>388</v>
      </c>
      <c r="D796" s="8" t="n">
        <v>15</v>
      </c>
      <c r="E796" s="8" t="n">
        <v>476065</v>
      </c>
      <c r="F796" s="11" t="str">
        <f aca="false">INDEX(Caixas!$C:$C,MATCH(C796,Caixas!$A:$A,0))</f>
        <v>Aberta</v>
      </c>
      <c r="G796" s="9" t="n">
        <v>0</v>
      </c>
      <c r="H796" s="9" t="n">
        <v>6</v>
      </c>
      <c r="I796" s="8" t="n">
        <f aca="false">IF(F796="Inteira CBP",D796,IF(OR(F796="Aberta",F796="Avulso"),G796,0))</f>
        <v>0</v>
      </c>
      <c r="J796" s="8" t="n">
        <f aca="false">IF(F796="Inteira CBTBE",D796,IF(OR(F796="Aberta",F796="Avulso"),H796,0))</f>
        <v>6</v>
      </c>
      <c r="K796" s="8" t="n">
        <f aca="false">D796-I796-J796</f>
        <v>9</v>
      </c>
    </row>
    <row r="797" customFormat="false" ht="15" hidden="false" customHeight="false" outlineLevel="0" collapsed="false">
      <c r="A797" s="8" t="s">
        <v>685</v>
      </c>
      <c r="B797" s="8" t="s">
        <v>686</v>
      </c>
      <c r="C797" s="8" t="s">
        <v>388</v>
      </c>
      <c r="D797" s="8" t="n">
        <v>5</v>
      </c>
      <c r="E797" s="8" t="n">
        <v>476065</v>
      </c>
      <c r="F797" s="11" t="str">
        <f aca="false">INDEX(Caixas!$C:$C,MATCH(C797,Caixas!$A:$A,0))</f>
        <v>Aberta</v>
      </c>
      <c r="G797" s="9" t="n">
        <v>2</v>
      </c>
      <c r="H797" s="9" t="n">
        <v>2</v>
      </c>
      <c r="I797" s="8" t="n">
        <f aca="false">IF(F797="Inteira CBP",D797,IF(OR(F797="Aberta",F797="Avulso"),G797,0))</f>
        <v>2</v>
      </c>
      <c r="J797" s="8" t="n">
        <f aca="false">IF(F797="Inteira CBTBE",D797,IF(OR(F797="Aberta",F797="Avulso"),H797,0))</f>
        <v>2</v>
      </c>
      <c r="K797" s="8" t="n">
        <f aca="false">D797-I797-J797</f>
        <v>1</v>
      </c>
    </row>
    <row r="798" customFormat="false" ht="15" hidden="false" customHeight="false" outlineLevel="0" collapsed="false">
      <c r="A798" s="8" t="s">
        <v>683</v>
      </c>
      <c r="B798" s="8" t="s">
        <v>684</v>
      </c>
      <c r="C798" s="8" t="s">
        <v>389</v>
      </c>
      <c r="D798" s="8" t="n">
        <v>18</v>
      </c>
      <c r="E798" s="8" t="n">
        <v>476065</v>
      </c>
      <c r="F798" s="11" t="str">
        <f aca="false">INDEX(Caixas!$C:$C,MATCH(C798,Caixas!$A:$A,0))</f>
        <v>Aberta</v>
      </c>
      <c r="G798" s="9" t="n">
        <v>8</v>
      </c>
      <c r="H798" s="9" t="n">
        <v>2</v>
      </c>
      <c r="I798" s="8" t="n">
        <f aca="false">IF(F798="Inteira CBP",D798,IF(OR(F798="Aberta",F798="Avulso"),G798,0))</f>
        <v>8</v>
      </c>
      <c r="J798" s="8" t="n">
        <f aca="false">IF(F798="Inteira CBTBE",D798,IF(OR(F798="Aberta",F798="Avulso"),H798,0))</f>
        <v>2</v>
      </c>
      <c r="K798" s="8" t="n">
        <f aca="false">D798-I798-J798</f>
        <v>8</v>
      </c>
    </row>
    <row r="799" customFormat="false" ht="15" hidden="false" customHeight="false" outlineLevel="0" collapsed="false">
      <c r="A799" s="8" t="s">
        <v>681</v>
      </c>
      <c r="B799" s="8" t="s">
        <v>682</v>
      </c>
      <c r="C799" s="8" t="s">
        <v>389</v>
      </c>
      <c r="D799" s="8" t="n">
        <v>1</v>
      </c>
      <c r="E799" s="8" t="n">
        <v>476065</v>
      </c>
      <c r="F799" s="11" t="str">
        <f aca="false">INDEX(Caixas!$C:$C,MATCH(C799,Caixas!$A:$A,0))</f>
        <v>Aberta</v>
      </c>
      <c r="G799" s="9" t="n">
        <v>0</v>
      </c>
      <c r="H799" s="9" t="n">
        <v>0</v>
      </c>
      <c r="I799" s="8" t="n">
        <f aca="false">IF(F799="Inteira CBP",D799,IF(OR(F799="Aberta",F799="Avulso"),G799,0))</f>
        <v>0</v>
      </c>
      <c r="J799" s="8" t="n">
        <f aca="false">IF(F799="Inteira CBTBE",D799,IF(OR(F799="Aberta",F799="Avulso"),H799,0))</f>
        <v>0</v>
      </c>
      <c r="K799" s="8" t="n">
        <f aca="false">D799-I799-J799</f>
        <v>1</v>
      </c>
    </row>
    <row r="800" customFormat="false" ht="15" hidden="false" customHeight="false" outlineLevel="0" collapsed="false">
      <c r="A800" s="8" t="s">
        <v>687</v>
      </c>
      <c r="B800" s="8" t="s">
        <v>688</v>
      </c>
      <c r="C800" s="8" t="s">
        <v>389</v>
      </c>
      <c r="D800" s="8" t="n">
        <v>1</v>
      </c>
      <c r="E800" s="8" t="n">
        <v>476065</v>
      </c>
      <c r="F800" s="11" t="str">
        <f aca="false">INDEX(Caixas!$C:$C,MATCH(C800,Caixas!$A:$A,0))</f>
        <v>Aberta</v>
      </c>
      <c r="G800" s="9" t="n">
        <v>0</v>
      </c>
      <c r="H800" s="9" t="n">
        <v>1</v>
      </c>
      <c r="I800" s="8" t="n">
        <f aca="false">IF(F800="Inteira CBP",D800,IF(OR(F800="Aberta",F800="Avulso"),G800,0))</f>
        <v>0</v>
      </c>
      <c r="J800" s="8" t="n">
        <f aca="false">IF(F800="Inteira CBTBE",D800,IF(OR(F800="Aberta",F800="Avulso"),H800,0))</f>
        <v>1</v>
      </c>
      <c r="K800" s="8" t="n">
        <f aca="false">D800-I800-J800</f>
        <v>0</v>
      </c>
    </row>
    <row r="801" customFormat="false" ht="15" hidden="false" customHeight="false" outlineLevel="0" collapsed="false">
      <c r="A801" s="8" t="s">
        <v>689</v>
      </c>
      <c r="B801" s="8" t="s">
        <v>690</v>
      </c>
      <c r="C801" s="8" t="s">
        <v>390</v>
      </c>
      <c r="D801" s="8" t="n">
        <v>1</v>
      </c>
      <c r="E801" s="8" t="n">
        <v>476065</v>
      </c>
      <c r="F801" s="11" t="str">
        <f aca="false">INDEX(Caixas!$C:$C,MATCH(C801,Caixas!$A:$A,0))</f>
        <v>Aberta</v>
      </c>
      <c r="G801" s="9" t="n">
        <v>0</v>
      </c>
      <c r="H801" s="9" t="n">
        <v>1</v>
      </c>
      <c r="I801" s="8" t="n">
        <f aca="false">IF(F801="Inteira CBP",D801,IF(OR(F801="Aberta",F801="Avulso"),G801,0))</f>
        <v>0</v>
      </c>
      <c r="J801" s="8" t="n">
        <f aca="false">IF(F801="Inteira CBTBE",D801,IF(OR(F801="Aberta",F801="Avulso"),H801,0))</f>
        <v>1</v>
      </c>
      <c r="K801" s="8" t="n">
        <f aca="false">D801-I801-J801</f>
        <v>0</v>
      </c>
    </row>
    <row r="802" customFormat="false" ht="15" hidden="false" customHeight="false" outlineLevel="0" collapsed="false">
      <c r="A802" s="8" t="s">
        <v>691</v>
      </c>
      <c r="B802" s="8" t="s">
        <v>692</v>
      </c>
      <c r="C802" s="8" t="s">
        <v>390</v>
      </c>
      <c r="D802" s="8" t="n">
        <v>10</v>
      </c>
      <c r="E802" s="8" t="n">
        <v>476065</v>
      </c>
      <c r="F802" s="11" t="str">
        <f aca="false">INDEX(Caixas!$C:$C,MATCH(C802,Caixas!$A:$A,0))</f>
        <v>Aberta</v>
      </c>
      <c r="G802" s="9" t="n">
        <v>0</v>
      </c>
      <c r="H802" s="9" t="n">
        <v>10</v>
      </c>
      <c r="I802" s="8" t="n">
        <f aca="false">IF(F802="Inteira CBP",D802,IF(OR(F802="Aberta",F802="Avulso"),G802,0))</f>
        <v>0</v>
      </c>
      <c r="J802" s="8" t="n">
        <f aca="false">IF(F802="Inteira CBTBE",D802,IF(OR(F802="Aberta",F802="Avulso"),H802,0))</f>
        <v>10</v>
      </c>
      <c r="K802" s="8" t="n">
        <f aca="false">D802-I802-J802</f>
        <v>0</v>
      </c>
    </row>
    <row r="803" customFormat="false" ht="15" hidden="false" customHeight="false" outlineLevel="0" collapsed="false">
      <c r="A803" s="8" t="s">
        <v>687</v>
      </c>
      <c r="B803" s="8" t="s">
        <v>688</v>
      </c>
      <c r="C803" s="8" t="s">
        <v>390</v>
      </c>
      <c r="D803" s="8" t="n">
        <v>15</v>
      </c>
      <c r="E803" s="8" t="n">
        <v>476065</v>
      </c>
      <c r="F803" s="11" t="str">
        <f aca="false">INDEX(Caixas!$C:$C,MATCH(C803,Caixas!$A:$A,0))</f>
        <v>Aberta</v>
      </c>
      <c r="G803" s="9" t="n">
        <v>8</v>
      </c>
      <c r="H803" s="9" t="n">
        <v>4</v>
      </c>
      <c r="I803" s="8" t="n">
        <f aca="false">IF(F803="Inteira CBP",D803,IF(OR(F803="Aberta",F803="Avulso"),G803,0))</f>
        <v>8</v>
      </c>
      <c r="J803" s="8" t="n">
        <f aca="false">IF(F803="Inteira CBTBE",D803,IF(OR(F803="Aberta",F803="Avulso"),H803,0))</f>
        <v>4</v>
      </c>
      <c r="K803" s="8" t="n">
        <f aca="false">D803-I803-J803</f>
        <v>3</v>
      </c>
    </row>
    <row r="804" customFormat="false" ht="15" hidden="false" customHeight="false" outlineLevel="0" collapsed="false">
      <c r="A804" s="8" t="s">
        <v>691</v>
      </c>
      <c r="B804" s="8" t="s">
        <v>692</v>
      </c>
      <c r="C804" s="8" t="s">
        <v>391</v>
      </c>
      <c r="D804" s="8" t="n">
        <v>3</v>
      </c>
      <c r="E804" s="8" t="n">
        <v>476065</v>
      </c>
      <c r="F804" s="11" t="str">
        <f aca="false">INDEX(Caixas!$C:$C,MATCH(C804,Caixas!$A:$A,0))</f>
        <v>Devolução fechada</v>
      </c>
      <c r="G804" s="9" t="n">
        <v>0</v>
      </c>
      <c r="H804" s="9" t="n">
        <v>0</v>
      </c>
      <c r="I804" s="8" t="n">
        <f aca="false">IF(F804="Inteira CBP",D804,IF(OR(F804="Aberta",F804="Avulso"),G804,0))</f>
        <v>0</v>
      </c>
      <c r="J804" s="8" t="n">
        <f aca="false">IF(F804="Inteira CBTBE",D804,IF(OR(F804="Aberta",F804="Avulso"),H804,0))</f>
        <v>0</v>
      </c>
      <c r="K804" s="8" t="n">
        <f aca="false">D804-I804-J804</f>
        <v>3</v>
      </c>
    </row>
    <row r="805" customFormat="false" ht="15" hidden="false" customHeight="false" outlineLevel="0" collapsed="false">
      <c r="A805" s="8" t="s">
        <v>693</v>
      </c>
      <c r="B805" s="8" t="s">
        <v>694</v>
      </c>
      <c r="C805" s="8" t="s">
        <v>391</v>
      </c>
      <c r="D805" s="8" t="n">
        <v>15</v>
      </c>
      <c r="E805" s="8" t="n">
        <v>476065</v>
      </c>
      <c r="F805" s="11" t="str">
        <f aca="false">INDEX(Caixas!$C:$C,MATCH(C805,Caixas!$A:$A,0))</f>
        <v>Devolução fechada</v>
      </c>
      <c r="G805" s="9" t="n">
        <v>0</v>
      </c>
      <c r="H805" s="9" t="n">
        <v>0</v>
      </c>
      <c r="I805" s="8" t="n">
        <f aca="false">IF(F805="Inteira CBP",D805,IF(OR(F805="Aberta",F805="Avulso"),G805,0))</f>
        <v>0</v>
      </c>
      <c r="J805" s="8" t="n">
        <f aca="false">IF(F805="Inteira CBTBE",D805,IF(OR(F805="Aberta",F805="Avulso"),H805,0))</f>
        <v>0</v>
      </c>
      <c r="K805" s="8" t="n">
        <f aca="false">D805-I805-J805</f>
        <v>15</v>
      </c>
    </row>
    <row r="806" customFormat="false" ht="15" hidden="false" customHeight="false" outlineLevel="0" collapsed="false">
      <c r="A806" s="8" t="s">
        <v>689</v>
      </c>
      <c r="B806" s="8" t="s">
        <v>690</v>
      </c>
      <c r="C806" s="8" t="s">
        <v>392</v>
      </c>
      <c r="D806" s="8" t="n">
        <v>30</v>
      </c>
      <c r="E806" s="8" t="n">
        <v>476065</v>
      </c>
      <c r="F806" s="11" t="str">
        <f aca="false">INDEX(Caixas!$C:$C,MATCH(C806,Caixas!$A:$A,0))</f>
        <v>Devolução fechada</v>
      </c>
      <c r="G806" s="9" t="n">
        <v>0</v>
      </c>
      <c r="H806" s="9" t="n">
        <v>0</v>
      </c>
      <c r="I806" s="8" t="n">
        <f aca="false">IF(F806="Inteira CBP",D806,IF(OR(F806="Aberta",F806="Avulso"),G806,0))</f>
        <v>0</v>
      </c>
      <c r="J806" s="8" t="n">
        <f aca="false">IF(F806="Inteira CBTBE",D806,IF(OR(F806="Aberta",F806="Avulso"),H806,0))</f>
        <v>0</v>
      </c>
      <c r="K806" s="8" t="n">
        <f aca="false">D806-I806-J806</f>
        <v>30</v>
      </c>
    </row>
    <row r="807" customFormat="false" ht="15" hidden="false" customHeight="false" outlineLevel="0" collapsed="false">
      <c r="A807" s="8" t="s">
        <v>693</v>
      </c>
      <c r="B807" s="8" t="s">
        <v>694</v>
      </c>
      <c r="C807" s="8" t="s">
        <v>393</v>
      </c>
      <c r="D807" s="8" t="n">
        <v>30</v>
      </c>
      <c r="E807" s="8" t="n">
        <v>476065</v>
      </c>
      <c r="F807" s="11" t="str">
        <f aca="false">INDEX(Caixas!$C:$C,MATCH(C807,Caixas!$A:$A,0))</f>
        <v>Aberta</v>
      </c>
      <c r="G807" s="9" t="n">
        <v>0</v>
      </c>
      <c r="H807" s="9" t="n">
        <v>24</v>
      </c>
      <c r="I807" s="8" t="n">
        <f aca="false">IF(F807="Inteira CBP",D807,IF(OR(F807="Aberta",F807="Avulso"),G807,0))</f>
        <v>0</v>
      </c>
      <c r="J807" s="8" t="n">
        <f aca="false">IF(F807="Inteira CBTBE",D807,IF(OR(F807="Aberta",F807="Avulso"),H807,0))</f>
        <v>24</v>
      </c>
      <c r="K807" s="8" t="n">
        <f aca="false">D807-I807-J807</f>
        <v>6</v>
      </c>
    </row>
    <row r="808" customFormat="false" ht="15" hidden="false" customHeight="false" outlineLevel="0" collapsed="false">
      <c r="A808" s="8" t="s">
        <v>689</v>
      </c>
      <c r="B808" s="8" t="s">
        <v>690</v>
      </c>
      <c r="C808" s="8" t="s">
        <v>394</v>
      </c>
      <c r="D808" s="8" t="n">
        <v>30</v>
      </c>
      <c r="E808" s="8" t="n">
        <v>476065</v>
      </c>
      <c r="F808" s="11" t="str">
        <f aca="false">INDEX(Caixas!$C:$C,MATCH(C808,Caixas!$A:$A,0))</f>
        <v>Devolução fechada</v>
      </c>
      <c r="G808" s="9" t="n">
        <v>0</v>
      </c>
      <c r="H808" s="9" t="n">
        <v>0</v>
      </c>
      <c r="I808" s="8" t="n">
        <f aca="false">IF(F808="Inteira CBP",D808,IF(OR(F808="Aberta",F808="Avulso"),G808,0))</f>
        <v>0</v>
      </c>
      <c r="J808" s="8" t="n">
        <f aca="false">IF(F808="Inteira CBTBE",D808,IF(OR(F808="Aberta",F808="Avulso"),H808,0))</f>
        <v>0</v>
      </c>
      <c r="K808" s="8" t="n">
        <f aca="false">D808-I808-J808</f>
        <v>30</v>
      </c>
    </row>
    <row r="809" customFormat="false" ht="15" hidden="false" customHeight="false" outlineLevel="0" collapsed="false">
      <c r="A809" s="8" t="s">
        <v>689</v>
      </c>
      <c r="B809" s="8" t="s">
        <v>690</v>
      </c>
      <c r="C809" s="8" t="s">
        <v>395</v>
      </c>
      <c r="D809" s="8" t="n">
        <v>30</v>
      </c>
      <c r="E809" s="8" t="n">
        <v>476065</v>
      </c>
      <c r="F809" s="11" t="str">
        <f aca="false">INDEX(Caixas!$C:$C,MATCH(C809,Caixas!$A:$A,0))</f>
        <v>Aberta</v>
      </c>
      <c r="G809" s="9" t="n">
        <v>0</v>
      </c>
      <c r="H809" s="9" t="n">
        <v>22</v>
      </c>
      <c r="I809" s="8" t="n">
        <f aca="false">IF(F809="Inteira CBP",D809,IF(OR(F809="Aberta",F809="Avulso"),G809,0))</f>
        <v>0</v>
      </c>
      <c r="J809" s="8" t="n">
        <f aca="false">IF(F809="Inteira CBTBE",D809,IF(OR(F809="Aberta",F809="Avulso"),H809,0))</f>
        <v>22</v>
      </c>
      <c r="K809" s="8" t="n">
        <f aca="false">D809-I809-J809</f>
        <v>8</v>
      </c>
    </row>
    <row r="810" customFormat="false" ht="15" hidden="false" customHeight="false" outlineLevel="0" collapsed="false">
      <c r="A810" s="8" t="s">
        <v>693</v>
      </c>
      <c r="B810" s="8" t="s">
        <v>694</v>
      </c>
      <c r="C810" s="8" t="s">
        <v>396</v>
      </c>
      <c r="D810" s="8" t="n">
        <v>30</v>
      </c>
      <c r="E810" s="8" t="n">
        <v>476065</v>
      </c>
      <c r="F810" s="11" t="str">
        <f aca="false">INDEX(Caixas!$C:$C,MATCH(C810,Caixas!$A:$A,0))</f>
        <v>Devolução fechada</v>
      </c>
      <c r="G810" s="9" t="n">
        <v>0</v>
      </c>
      <c r="H810" s="9" t="n">
        <v>0</v>
      </c>
      <c r="I810" s="8" t="n">
        <f aca="false">IF(F810="Inteira CBP",D810,IF(OR(F810="Aberta",F810="Avulso"),G810,0))</f>
        <v>0</v>
      </c>
      <c r="J810" s="8" t="n">
        <f aca="false">IF(F810="Inteira CBTBE",D810,IF(OR(F810="Aberta",F810="Avulso"),H810,0))</f>
        <v>0</v>
      </c>
      <c r="K810" s="8" t="n">
        <f aca="false">D810-I810-J810</f>
        <v>30</v>
      </c>
    </row>
    <row r="811" customFormat="false" ht="15" hidden="false" customHeight="false" outlineLevel="0" collapsed="false">
      <c r="A811" s="8" t="s">
        <v>693</v>
      </c>
      <c r="B811" s="8" t="s">
        <v>694</v>
      </c>
      <c r="C811" s="8" t="s">
        <v>397</v>
      </c>
      <c r="D811" s="8" t="n">
        <v>30</v>
      </c>
      <c r="E811" s="8" t="n">
        <v>476065</v>
      </c>
      <c r="F811" s="11" t="str">
        <f aca="false">INDEX(Caixas!$C:$C,MATCH(C811,Caixas!$A:$A,0))</f>
        <v>Devolução fechada</v>
      </c>
      <c r="G811" s="9" t="n">
        <v>0</v>
      </c>
      <c r="H811" s="9" t="n">
        <v>0</v>
      </c>
      <c r="I811" s="8" t="n">
        <f aca="false">IF(F811="Inteira CBP",D811,IF(OR(F811="Aberta",F811="Avulso"),G811,0))</f>
        <v>0</v>
      </c>
      <c r="J811" s="8" t="n">
        <f aca="false">IF(F811="Inteira CBTBE",D811,IF(OR(F811="Aberta",F811="Avulso"),H811,0))</f>
        <v>0</v>
      </c>
      <c r="K811" s="8" t="n">
        <f aca="false">D811-I811-J811</f>
        <v>30</v>
      </c>
    </row>
    <row r="812" customFormat="false" ht="15" hidden="false" customHeight="false" outlineLevel="0" collapsed="false">
      <c r="A812" s="8" t="s">
        <v>691</v>
      </c>
      <c r="B812" s="8" t="s">
        <v>692</v>
      </c>
      <c r="C812" s="8" t="s">
        <v>398</v>
      </c>
      <c r="D812" s="8" t="n">
        <v>40</v>
      </c>
      <c r="E812" s="8" t="n">
        <v>476065</v>
      </c>
      <c r="F812" s="11" t="str">
        <f aca="false">INDEX(Caixas!$C:$C,MATCH(C812,Caixas!$A:$A,0))</f>
        <v>Aberta</v>
      </c>
      <c r="G812" s="9" t="n">
        <v>3</v>
      </c>
      <c r="H812" s="9" t="n">
        <v>22</v>
      </c>
      <c r="I812" s="8" t="n">
        <f aca="false">IF(F812="Inteira CBP",D812,IF(OR(F812="Aberta",F812="Avulso"),G812,0))</f>
        <v>3</v>
      </c>
      <c r="J812" s="8" t="n">
        <f aca="false">IF(F812="Inteira CBTBE",D812,IF(OR(F812="Aberta",F812="Avulso"),H812,0))</f>
        <v>22</v>
      </c>
      <c r="K812" s="8" t="n">
        <f aca="false">D812-I812-J812</f>
        <v>15</v>
      </c>
    </row>
    <row r="813" customFormat="false" ht="15" hidden="false" customHeight="false" outlineLevel="0" collapsed="false">
      <c r="A813" s="8" t="s">
        <v>691</v>
      </c>
      <c r="B813" s="8" t="s">
        <v>692</v>
      </c>
      <c r="C813" s="8" t="s">
        <v>399</v>
      </c>
      <c r="D813" s="8" t="n">
        <v>40</v>
      </c>
      <c r="E813" s="8" t="n">
        <v>476065</v>
      </c>
      <c r="F813" s="11" t="str">
        <f aca="false">INDEX(Caixas!$C:$C,MATCH(C813,Caixas!$A:$A,0))</f>
        <v>Inteira CBTBE</v>
      </c>
      <c r="G813" s="9" t="n">
        <v>0</v>
      </c>
      <c r="H813" s="9" t="n">
        <v>0</v>
      </c>
      <c r="I813" s="8" t="n">
        <f aca="false">IF(F813="Inteira CBP",D813,IF(OR(F813="Aberta",F813="Avulso"),G813,0))</f>
        <v>0</v>
      </c>
      <c r="J813" s="8" t="n">
        <f aca="false">IF(F813="Inteira CBTBE",D813,IF(OR(F813="Aberta",F813="Avulso"),H813,0))</f>
        <v>40</v>
      </c>
      <c r="K813" s="8" t="n">
        <f aca="false">D813-I813-J813</f>
        <v>0</v>
      </c>
    </row>
    <row r="814" customFormat="false" ht="15" hidden="false" customHeight="false" outlineLevel="0" collapsed="false">
      <c r="A814" s="8" t="s">
        <v>691</v>
      </c>
      <c r="B814" s="8" t="s">
        <v>692</v>
      </c>
      <c r="C814" s="8" t="s">
        <v>400</v>
      </c>
      <c r="D814" s="8" t="n">
        <v>40</v>
      </c>
      <c r="E814" s="8" t="n">
        <v>476065</v>
      </c>
      <c r="F814" s="11" t="str">
        <f aca="false">INDEX(Caixas!$C:$C,MATCH(C814,Caixas!$A:$A,0))</f>
        <v>Devolução fechada</v>
      </c>
      <c r="G814" s="9" t="n">
        <v>0</v>
      </c>
      <c r="H814" s="9" t="n">
        <v>0</v>
      </c>
      <c r="I814" s="8" t="n">
        <f aca="false">IF(F814="Inteira CBP",D814,IF(OR(F814="Aberta",F814="Avulso"),G814,0))</f>
        <v>0</v>
      </c>
      <c r="J814" s="8" t="n">
        <f aca="false">IF(F814="Inteira CBTBE",D814,IF(OR(F814="Aberta",F814="Avulso"),H814,0))</f>
        <v>0</v>
      </c>
      <c r="K814" s="8" t="n">
        <f aca="false">D814-I814-J814</f>
        <v>40</v>
      </c>
    </row>
    <row r="815" customFormat="false" ht="15" hidden="false" customHeight="false" outlineLevel="0" collapsed="false">
      <c r="A815" s="8" t="s">
        <v>691</v>
      </c>
      <c r="B815" s="8" t="s">
        <v>692</v>
      </c>
      <c r="C815" s="8" t="s">
        <v>401</v>
      </c>
      <c r="D815" s="8" t="n">
        <v>37</v>
      </c>
      <c r="E815" s="8" t="n">
        <v>476065</v>
      </c>
      <c r="F815" s="11" t="str">
        <f aca="false">INDEX(Caixas!$C:$C,MATCH(C815,Caixas!$A:$A,0))</f>
        <v>Inteira CBP</v>
      </c>
      <c r="G815" s="9" t="n">
        <v>0</v>
      </c>
      <c r="H815" s="9" t="n">
        <v>0</v>
      </c>
      <c r="I815" s="8" t="n">
        <f aca="false">IF(F815="Inteira CBP",D815,IF(OR(F815="Aberta",F815="Avulso"),G815,0))</f>
        <v>37</v>
      </c>
      <c r="J815" s="8" t="n">
        <f aca="false">IF(F815="Inteira CBTBE",D815,IF(OR(F815="Aberta",F815="Avulso"),H815,0))</f>
        <v>0</v>
      </c>
      <c r="K815" s="8" t="n">
        <f aca="false">D815-I815-J815</f>
        <v>0</v>
      </c>
    </row>
    <row r="816" customFormat="false" ht="15" hidden="false" customHeight="false" outlineLevel="0" collapsed="false">
      <c r="A816" s="8" t="s">
        <v>695</v>
      </c>
      <c r="B816" s="8" t="s">
        <v>696</v>
      </c>
      <c r="C816" s="8" t="s">
        <v>402</v>
      </c>
      <c r="D816" s="8" t="n">
        <v>37</v>
      </c>
      <c r="E816" s="8" t="n">
        <v>476065</v>
      </c>
      <c r="F816" s="11" t="str">
        <f aca="false">INDEX(Caixas!$C:$C,MATCH(C816,Caixas!$A:$A,0))</f>
        <v>Inteira CBP</v>
      </c>
      <c r="G816" s="9" t="n">
        <v>0</v>
      </c>
      <c r="H816" s="9" t="n">
        <v>0</v>
      </c>
      <c r="I816" s="8" t="n">
        <f aca="false">IF(F816="Inteira CBP",D816,IF(OR(F816="Aberta",F816="Avulso"),G816,0))</f>
        <v>37</v>
      </c>
      <c r="J816" s="8" t="n">
        <f aca="false">IF(F816="Inteira CBTBE",D816,IF(OR(F816="Aberta",F816="Avulso"),H816,0))</f>
        <v>0</v>
      </c>
      <c r="K816" s="8" t="n">
        <f aca="false">D816-I816-J816</f>
        <v>0</v>
      </c>
    </row>
    <row r="817" customFormat="false" ht="15" hidden="false" customHeight="false" outlineLevel="0" collapsed="false">
      <c r="A817" s="8" t="s">
        <v>695</v>
      </c>
      <c r="B817" s="8" t="s">
        <v>696</v>
      </c>
      <c r="C817" s="8" t="s">
        <v>403</v>
      </c>
      <c r="D817" s="8" t="n">
        <v>80</v>
      </c>
      <c r="E817" s="8" t="n">
        <v>475799</v>
      </c>
      <c r="F817" s="11" t="str">
        <f aca="false">INDEX(Caixas!$C:$C,MATCH(C817,Caixas!$A:$A,0))</f>
        <v>Avulso</v>
      </c>
      <c r="G817" s="9" t="n">
        <v>33</v>
      </c>
      <c r="H817" s="9" t="n">
        <v>20</v>
      </c>
      <c r="I817" s="8" t="n">
        <f aca="false">IF(F817="Inteira CBP",D817,IF(OR(F817="Aberta",F817="Avulso"),G817,0))</f>
        <v>33</v>
      </c>
      <c r="J817" s="8" t="n">
        <f aca="false">IF(F817="Inteira CBTBE",D817,IF(OR(F817="Aberta",F817="Avulso"),H817,0))</f>
        <v>20</v>
      </c>
      <c r="K817" s="8" t="n">
        <f aca="false">D817-I817-J817</f>
        <v>27</v>
      </c>
    </row>
    <row r="818" customFormat="false" ht="15" hidden="false" customHeight="false" outlineLevel="0" collapsed="false">
      <c r="A818" s="8" t="s">
        <v>537</v>
      </c>
      <c r="B818" s="8" t="s">
        <v>538</v>
      </c>
      <c r="C818" s="8" t="s">
        <v>403</v>
      </c>
      <c r="D818" s="8" t="n">
        <v>160</v>
      </c>
      <c r="E818" s="8" t="n">
        <v>475799</v>
      </c>
      <c r="F818" s="11" t="str">
        <f aca="false">INDEX(Caixas!$C:$C,MATCH(C818,Caixas!$A:$A,0))</f>
        <v>Avulso</v>
      </c>
      <c r="G818" s="9" t="n">
        <v>64</v>
      </c>
      <c r="H818" s="9" t="n">
        <v>30</v>
      </c>
      <c r="I818" s="8" t="n">
        <f aca="false">IF(F818="Inteira CBP",D818,IF(OR(F818="Aberta",F818="Avulso"),G818,0))</f>
        <v>64</v>
      </c>
      <c r="J818" s="8" t="n">
        <f aca="false">IF(F818="Inteira CBTBE",D818,IF(OR(F818="Aberta",F818="Avulso"),H818,0))</f>
        <v>30</v>
      </c>
      <c r="K818" s="8" t="n">
        <f aca="false">D818-I818-J818</f>
        <v>66</v>
      </c>
    </row>
    <row r="819" customFormat="false" ht="15" hidden="false" customHeight="false" outlineLevel="0" collapsed="false">
      <c r="A819" s="8" t="s">
        <v>497</v>
      </c>
      <c r="B819" s="8" t="s">
        <v>498</v>
      </c>
      <c r="C819" s="8" t="s">
        <v>403</v>
      </c>
      <c r="D819" s="8" t="n">
        <v>60</v>
      </c>
      <c r="E819" s="8" t="n">
        <v>475799</v>
      </c>
      <c r="F819" s="11" t="str">
        <f aca="false">INDEX(Caixas!$C:$C,MATCH(C819,Caixas!$A:$A,0))</f>
        <v>Avulso</v>
      </c>
      <c r="G819" s="9" t="n">
        <v>0</v>
      </c>
      <c r="H819" s="9" t="n">
        <v>15</v>
      </c>
      <c r="I819" s="8" t="n">
        <f aca="false">IF(F819="Inteira CBP",D819,IF(OR(F819="Aberta",F819="Avulso"),G819,0))</f>
        <v>0</v>
      </c>
      <c r="J819" s="8" t="n">
        <f aca="false">IF(F819="Inteira CBTBE",D819,IF(OR(F819="Aberta",F819="Avulso"),H819,0))</f>
        <v>15</v>
      </c>
      <c r="K819" s="8" t="n">
        <f aca="false">D819-I819-J819</f>
        <v>45</v>
      </c>
    </row>
    <row r="820" customFormat="false" ht="15" hidden="false" customHeight="false" outlineLevel="0" collapsed="false">
      <c r="A820" s="8" t="s">
        <v>697</v>
      </c>
      <c r="B820" s="8" t="s">
        <v>698</v>
      </c>
      <c r="C820" s="8" t="s">
        <v>403</v>
      </c>
      <c r="D820" s="8" t="n">
        <v>160</v>
      </c>
      <c r="E820" s="8" t="n">
        <v>475799</v>
      </c>
      <c r="F820" s="11" t="str">
        <f aca="false">INDEX(Caixas!$C:$C,MATCH(C820,Caixas!$A:$A,0))</f>
        <v>Avulso</v>
      </c>
      <c r="G820" s="9" t="n">
        <v>27</v>
      </c>
      <c r="H820" s="9" t="n">
        <v>20</v>
      </c>
      <c r="I820" s="8" t="n">
        <f aca="false">IF(F820="Inteira CBP",D820,IF(OR(F820="Aberta",F820="Avulso"),G820,0))</f>
        <v>27</v>
      </c>
      <c r="J820" s="8" t="n">
        <f aca="false">IF(F820="Inteira CBTBE",D820,IF(OR(F820="Aberta",F820="Avulso"),H820,0))</f>
        <v>20</v>
      </c>
      <c r="K820" s="8" t="n">
        <f aca="false">D820-I820-J820</f>
        <v>113</v>
      </c>
    </row>
    <row r="821" customFormat="false" ht="15" hidden="false" customHeight="false" outlineLevel="0" collapsed="false">
      <c r="A821" s="8" t="s">
        <v>583</v>
      </c>
      <c r="B821" s="8" t="s">
        <v>584</v>
      </c>
      <c r="C821" s="8" t="s">
        <v>403</v>
      </c>
      <c r="D821" s="8" t="n">
        <v>80</v>
      </c>
      <c r="E821" s="8" t="n">
        <v>475799</v>
      </c>
      <c r="F821" s="11" t="str">
        <f aca="false">INDEX(Caixas!$C:$C,MATCH(C821,Caixas!$A:$A,0))</f>
        <v>Avulso</v>
      </c>
      <c r="G821" s="9" t="n">
        <v>70</v>
      </c>
      <c r="H821" s="9" t="n">
        <v>0</v>
      </c>
      <c r="I821" s="8" t="n">
        <f aca="false">IF(F821="Inteira CBP",D821,IF(OR(F821="Aberta",F821="Avulso"),G821,0))</f>
        <v>70</v>
      </c>
      <c r="J821" s="8" t="n">
        <f aca="false">IF(F821="Inteira CBTBE",D821,IF(OR(F821="Aberta",F821="Avulso"),H821,0))</f>
        <v>0</v>
      </c>
      <c r="K821" s="8" t="n">
        <f aca="false">D821-I821-J821</f>
        <v>10</v>
      </c>
    </row>
    <row r="822" customFormat="false" ht="15" hidden="false" customHeight="false" outlineLevel="0" collapsed="false">
      <c r="A822" s="8" t="s">
        <v>699</v>
      </c>
      <c r="B822" s="8" t="s">
        <v>700</v>
      </c>
      <c r="C822" s="8" t="s">
        <v>403</v>
      </c>
      <c r="D822" s="8" t="n">
        <v>160</v>
      </c>
      <c r="E822" s="8" t="n">
        <v>475799</v>
      </c>
      <c r="F822" s="11" t="str">
        <f aca="false">INDEX(Caixas!$C:$C,MATCH(C822,Caixas!$A:$A,0))</f>
        <v>Avulso</v>
      </c>
      <c r="G822" s="9" t="n">
        <v>70</v>
      </c>
      <c r="H822" s="9" t="n">
        <v>43</v>
      </c>
      <c r="I822" s="8" t="n">
        <f aca="false">IF(F822="Inteira CBP",D822,IF(OR(F822="Aberta",F822="Avulso"),G822,0))</f>
        <v>70</v>
      </c>
      <c r="J822" s="8" t="n">
        <f aca="false">IF(F822="Inteira CBTBE",D822,IF(OR(F822="Aberta",F822="Avulso"),H822,0))</f>
        <v>43</v>
      </c>
      <c r="K822" s="8" t="n">
        <f aca="false">D822-I822-J822</f>
        <v>47</v>
      </c>
    </row>
    <row r="823" customFormat="false" ht="15" hidden="false" customHeight="false" outlineLevel="0" collapsed="false">
      <c r="A823" s="8" t="s">
        <v>701</v>
      </c>
      <c r="B823" s="8" t="s">
        <v>702</v>
      </c>
      <c r="C823" s="8" t="s">
        <v>403</v>
      </c>
      <c r="D823" s="8" t="n">
        <v>120</v>
      </c>
      <c r="E823" s="8" t="n">
        <v>475799</v>
      </c>
      <c r="F823" s="11" t="str">
        <f aca="false">INDEX(Caixas!$C:$C,MATCH(C823,Caixas!$A:$A,0))</f>
        <v>Avulso</v>
      </c>
      <c r="G823" s="9" t="n">
        <v>70</v>
      </c>
      <c r="H823" s="9" t="n">
        <v>24</v>
      </c>
      <c r="I823" s="8" t="n">
        <f aca="false">IF(F823="Inteira CBP",D823,IF(OR(F823="Aberta",F823="Avulso"),G823,0))</f>
        <v>70</v>
      </c>
      <c r="J823" s="8" t="n">
        <f aca="false">IF(F823="Inteira CBTBE",D823,IF(OR(F823="Aberta",F823="Avulso"),H823,0))</f>
        <v>24</v>
      </c>
      <c r="K823" s="8" t="n">
        <f aca="false">D823-I823-J823</f>
        <v>26</v>
      </c>
    </row>
    <row r="824" customFormat="false" ht="15" hidden="false" customHeight="false" outlineLevel="0" collapsed="false">
      <c r="A824" s="8" t="s">
        <v>441</v>
      </c>
      <c r="B824" s="8" t="s">
        <v>442</v>
      </c>
      <c r="C824" s="8" t="s">
        <v>403</v>
      </c>
      <c r="D824" s="8" t="n">
        <v>60</v>
      </c>
      <c r="E824" s="8" t="n">
        <v>475799</v>
      </c>
      <c r="F824" s="11" t="str">
        <f aca="false">INDEX(Caixas!$C:$C,MATCH(C824,Caixas!$A:$A,0))</f>
        <v>Avulso</v>
      </c>
      <c r="G824" s="9" t="n">
        <v>0</v>
      </c>
      <c r="H824" s="9" t="n">
        <v>30</v>
      </c>
      <c r="I824" s="8" t="n">
        <f aca="false">IF(F824="Inteira CBP",D824,IF(OR(F824="Aberta",F824="Avulso"),G824,0))</f>
        <v>0</v>
      </c>
      <c r="J824" s="8" t="n">
        <f aca="false">IF(F824="Inteira CBTBE",D824,IF(OR(F824="Aberta",F824="Avulso"),H824,0))</f>
        <v>30</v>
      </c>
      <c r="K824" s="8" t="n">
        <f aca="false">D824-I824-J824</f>
        <v>30</v>
      </c>
    </row>
    <row r="825" customFormat="false" ht="15" hidden="false" customHeight="false" outlineLevel="0" collapsed="false">
      <c r="A825" s="8" t="s">
        <v>703</v>
      </c>
      <c r="B825" s="8" t="s">
        <v>704</v>
      </c>
      <c r="C825" s="8" t="s">
        <v>403</v>
      </c>
      <c r="D825" s="8" t="n">
        <v>160</v>
      </c>
      <c r="E825" s="8" t="n">
        <v>475799</v>
      </c>
      <c r="F825" s="11" t="str">
        <f aca="false">INDEX(Caixas!$C:$C,MATCH(C825,Caixas!$A:$A,0))</f>
        <v>Avulso</v>
      </c>
      <c r="G825" s="9" t="n">
        <v>70</v>
      </c>
      <c r="H825" s="9" t="n">
        <v>90</v>
      </c>
      <c r="I825" s="8" t="n">
        <f aca="false">IF(F825="Inteira CBP",D825,IF(OR(F825="Aberta",F825="Avulso"),G825,0))</f>
        <v>70</v>
      </c>
      <c r="J825" s="8" t="n">
        <f aca="false">IF(F825="Inteira CBTBE",D825,IF(OR(F825="Aberta",F825="Avulso"),H825,0))</f>
        <v>90</v>
      </c>
      <c r="K825" s="8" t="n">
        <f aca="false">D825-I825-J825</f>
        <v>0</v>
      </c>
    </row>
    <row r="826" customFormat="false" ht="15" hidden="false" customHeight="false" outlineLevel="0" collapsed="false">
      <c r="A826" s="8" t="s">
        <v>507</v>
      </c>
      <c r="B826" s="8" t="s">
        <v>508</v>
      </c>
      <c r="C826" s="8" t="s">
        <v>403</v>
      </c>
      <c r="D826" s="8" t="n">
        <v>80</v>
      </c>
      <c r="E826" s="8" t="n">
        <v>475799</v>
      </c>
      <c r="F826" s="11" t="str">
        <f aca="false">INDEX(Caixas!$C:$C,MATCH(C826,Caixas!$A:$A,0))</f>
        <v>Avulso</v>
      </c>
      <c r="G826" s="9" t="n">
        <v>0</v>
      </c>
      <c r="H826" s="9" t="n">
        <v>0</v>
      </c>
      <c r="I826" s="8" t="n">
        <f aca="false">IF(F826="Inteira CBP",D826,IF(OR(F826="Aberta",F826="Avulso"),G826,0))</f>
        <v>0</v>
      </c>
      <c r="J826" s="8" t="n">
        <f aca="false">IF(F826="Inteira CBTBE",D826,IF(OR(F826="Aberta",F826="Avulso"),H826,0))</f>
        <v>0</v>
      </c>
      <c r="K826" s="8" t="n">
        <f aca="false">D826-I826-J826</f>
        <v>80</v>
      </c>
    </row>
    <row r="827" customFormat="false" ht="15" hidden="false" customHeight="false" outlineLevel="0" collapsed="false">
      <c r="A827" s="8" t="s">
        <v>705</v>
      </c>
      <c r="B827" s="8" t="s">
        <v>706</v>
      </c>
      <c r="C827" s="8" t="s">
        <v>403</v>
      </c>
      <c r="D827" s="8" t="n">
        <v>160</v>
      </c>
      <c r="E827" s="8" t="n">
        <v>475799</v>
      </c>
      <c r="F827" s="11" t="str">
        <f aca="false">INDEX(Caixas!$C:$C,MATCH(C827,Caixas!$A:$A,0))</f>
        <v>Avulso</v>
      </c>
      <c r="G827" s="9" t="n">
        <v>20</v>
      </c>
      <c r="H827" s="9" t="n">
        <v>20</v>
      </c>
      <c r="I827" s="8" t="n">
        <f aca="false">IF(F827="Inteira CBP",D827,IF(OR(F827="Aberta",F827="Avulso"),G827,0))</f>
        <v>20</v>
      </c>
      <c r="J827" s="8" t="n">
        <f aca="false">IF(F827="Inteira CBTBE",D827,IF(OR(F827="Aberta",F827="Avulso"),H827,0))</f>
        <v>20</v>
      </c>
      <c r="K827" s="8" t="n">
        <f aca="false">D827-I827-J827</f>
        <v>120</v>
      </c>
    </row>
    <row r="828" customFormat="false" ht="15" hidden="false" customHeight="false" outlineLevel="0" collapsed="false">
      <c r="A828" s="8" t="s">
        <v>707</v>
      </c>
      <c r="B828" s="8" t="s">
        <v>708</v>
      </c>
      <c r="C828" s="8" t="s">
        <v>403</v>
      </c>
      <c r="D828" s="8" t="n">
        <v>60</v>
      </c>
      <c r="E828" s="8" t="n">
        <v>475799</v>
      </c>
      <c r="F828" s="11" t="str">
        <f aca="false">INDEX(Caixas!$C:$C,MATCH(C828,Caixas!$A:$A,0))</f>
        <v>Avulso</v>
      </c>
      <c r="G828" s="9" t="n">
        <v>20</v>
      </c>
      <c r="H828" s="9" t="n">
        <v>20</v>
      </c>
      <c r="I828" s="8" t="n">
        <f aca="false">IF(F828="Inteira CBP",D828,IF(OR(F828="Aberta",F828="Avulso"),G828,0))</f>
        <v>20</v>
      </c>
      <c r="J828" s="8" t="n">
        <f aca="false">IF(F828="Inteira CBTBE",D828,IF(OR(F828="Aberta",F828="Avulso"),H828,0))</f>
        <v>20</v>
      </c>
      <c r="K828" s="8" t="n">
        <f aca="false">D828-I828-J828</f>
        <v>20</v>
      </c>
    </row>
    <row r="829" customFormat="false" ht="15" hidden="false" customHeight="false" outlineLevel="0" collapsed="false">
      <c r="A829" s="8" t="s">
        <v>709</v>
      </c>
      <c r="B829" s="8" t="s">
        <v>710</v>
      </c>
      <c r="C829" s="8" t="s">
        <v>403</v>
      </c>
      <c r="D829" s="8" t="n">
        <v>150</v>
      </c>
      <c r="E829" s="8" t="n">
        <v>475799</v>
      </c>
      <c r="F829" s="11" t="str">
        <f aca="false">INDEX(Caixas!$C:$C,MATCH(C829,Caixas!$A:$A,0))</f>
        <v>Avulso</v>
      </c>
      <c r="G829" s="9" t="n">
        <v>70</v>
      </c>
      <c r="H829" s="9" t="n">
        <v>80</v>
      </c>
      <c r="I829" s="8" t="n">
        <f aca="false">IF(F829="Inteira CBP",D829,IF(OR(F829="Aberta",F829="Avulso"),G829,0))</f>
        <v>70</v>
      </c>
      <c r="J829" s="8" t="n">
        <f aca="false">IF(F829="Inteira CBTBE",D829,IF(OR(F829="Aberta",F829="Avulso"),H829,0))</f>
        <v>80</v>
      </c>
      <c r="K829" s="8" t="n">
        <f aca="false">D829-I829-J829</f>
        <v>0</v>
      </c>
    </row>
    <row r="830" customFormat="false" ht="15" hidden="false" customHeight="false" outlineLevel="0" collapsed="false">
      <c r="A830" s="8" t="s">
        <v>711</v>
      </c>
      <c r="B830" s="8" t="s">
        <v>712</v>
      </c>
      <c r="C830" s="8" t="s">
        <v>403</v>
      </c>
      <c r="D830" s="8" t="n">
        <v>120</v>
      </c>
      <c r="E830" s="8" t="n">
        <v>475799</v>
      </c>
      <c r="F830" s="11" t="str">
        <f aca="false">INDEX(Caixas!$C:$C,MATCH(C830,Caixas!$A:$A,0))</f>
        <v>Avulso</v>
      </c>
      <c r="G830" s="9" t="n">
        <v>70</v>
      </c>
      <c r="H830" s="9" t="n">
        <v>50</v>
      </c>
      <c r="I830" s="8" t="n">
        <f aca="false">IF(F830="Inteira CBP",D830,IF(OR(F830="Aberta",F830="Avulso"),G830,0))</f>
        <v>70</v>
      </c>
      <c r="J830" s="8" t="n">
        <f aca="false">IF(F830="Inteira CBTBE",D830,IF(OR(F830="Aberta",F830="Avulso"),H830,0))</f>
        <v>50</v>
      </c>
      <c r="K830" s="8" t="n">
        <f aca="false">D830-I830-J830</f>
        <v>0</v>
      </c>
    </row>
    <row r="831" customFormat="false" ht="15" hidden="false" customHeight="false" outlineLevel="0" collapsed="false">
      <c r="A831" s="8" t="s">
        <v>557</v>
      </c>
      <c r="B831" s="8" t="s">
        <v>558</v>
      </c>
      <c r="C831" s="8" t="s">
        <v>403</v>
      </c>
      <c r="D831" s="8" t="n">
        <v>120</v>
      </c>
      <c r="E831" s="8" t="n">
        <v>475799</v>
      </c>
      <c r="F831" s="11" t="str">
        <f aca="false">INDEX(Caixas!$C:$C,MATCH(C831,Caixas!$A:$A,0))</f>
        <v>Avulso</v>
      </c>
      <c r="G831" s="9" t="n">
        <v>0</v>
      </c>
      <c r="H831" s="9" t="n">
        <v>20</v>
      </c>
      <c r="I831" s="8" t="n">
        <f aca="false">IF(F831="Inteira CBP",D831,IF(OR(F831="Aberta",F831="Avulso"),G831,0))</f>
        <v>0</v>
      </c>
      <c r="J831" s="8" t="n">
        <f aca="false">IF(F831="Inteira CBTBE",D831,IF(OR(F831="Aberta",F831="Avulso"),H831,0))</f>
        <v>20</v>
      </c>
      <c r="K831" s="8" t="n">
        <f aca="false">D831-I831-J831</f>
        <v>100</v>
      </c>
    </row>
    <row r="832" customFormat="false" ht="15" hidden="false" customHeight="false" outlineLevel="0" collapsed="false">
      <c r="A832" s="8" t="s">
        <v>447</v>
      </c>
      <c r="B832" s="8" t="s">
        <v>448</v>
      </c>
      <c r="C832" s="8" t="s">
        <v>403</v>
      </c>
      <c r="D832" s="8" t="n">
        <v>160</v>
      </c>
      <c r="E832" s="8" t="n">
        <v>475799</v>
      </c>
      <c r="F832" s="11" t="str">
        <f aca="false">INDEX(Caixas!$C:$C,MATCH(C832,Caixas!$A:$A,0))</f>
        <v>Avulso</v>
      </c>
      <c r="G832" s="9" t="n">
        <v>70</v>
      </c>
      <c r="H832" s="9" t="n">
        <v>20</v>
      </c>
      <c r="I832" s="8" t="n">
        <f aca="false">IF(F832="Inteira CBP",D832,IF(OR(F832="Aberta",F832="Avulso"),G832,0))</f>
        <v>70</v>
      </c>
      <c r="J832" s="8" t="n">
        <f aca="false">IF(F832="Inteira CBTBE",D832,IF(OR(F832="Aberta",F832="Avulso"),H832,0))</f>
        <v>20</v>
      </c>
      <c r="K832" s="8" t="n">
        <f aca="false">D832-I832-J832</f>
        <v>70</v>
      </c>
    </row>
    <row r="833" customFormat="false" ht="15" hidden="false" customHeight="false" outlineLevel="0" collapsed="false">
      <c r="A833" s="8" t="s">
        <v>463</v>
      </c>
      <c r="B833" s="8" t="s">
        <v>464</v>
      </c>
      <c r="C833" s="8" t="s">
        <v>403</v>
      </c>
      <c r="D833" s="8" t="n">
        <v>160</v>
      </c>
      <c r="E833" s="8" t="n">
        <v>475799</v>
      </c>
      <c r="F833" s="11" t="str">
        <f aca="false">INDEX(Caixas!$C:$C,MATCH(C833,Caixas!$A:$A,0))</f>
        <v>Avulso</v>
      </c>
      <c r="G833" s="9" t="n">
        <v>0</v>
      </c>
      <c r="H833" s="9" t="n">
        <v>20</v>
      </c>
      <c r="I833" s="8" t="n">
        <f aca="false">IF(F833="Inteira CBP",D833,IF(OR(F833="Aberta",F833="Avulso"),G833,0))</f>
        <v>0</v>
      </c>
      <c r="J833" s="8" t="n">
        <f aca="false">IF(F833="Inteira CBTBE",D833,IF(OR(F833="Aberta",F833="Avulso"),H833,0))</f>
        <v>20</v>
      </c>
      <c r="K833" s="8" t="n">
        <f aca="false">D833-I833-J833</f>
        <v>140</v>
      </c>
    </row>
    <row r="834" customFormat="false" ht="15" hidden="false" customHeight="false" outlineLevel="0" collapsed="false">
      <c r="A834" s="8" t="s">
        <v>713</v>
      </c>
      <c r="B834" s="8" t="s">
        <v>714</v>
      </c>
      <c r="C834" s="8" t="s">
        <v>403</v>
      </c>
      <c r="D834" s="8" t="n">
        <v>180</v>
      </c>
      <c r="E834" s="8" t="n">
        <v>475799</v>
      </c>
      <c r="F834" s="11" t="str">
        <f aca="false">INDEX(Caixas!$C:$C,MATCH(C834,Caixas!$A:$A,0))</f>
        <v>Avulso</v>
      </c>
      <c r="G834" s="9" t="n">
        <v>20</v>
      </c>
      <c r="H834" s="9" t="n">
        <v>160</v>
      </c>
      <c r="I834" s="8" t="n">
        <f aca="false">IF(F834="Inteira CBP",D834,IF(OR(F834="Aberta",F834="Avulso"),G834,0))</f>
        <v>20</v>
      </c>
      <c r="J834" s="8" t="n">
        <f aca="false">IF(F834="Inteira CBTBE",D834,IF(OR(F834="Aberta",F834="Avulso"),H834,0))</f>
        <v>160</v>
      </c>
      <c r="K834" s="8" t="n">
        <f aca="false">D834-I834-J834</f>
        <v>0</v>
      </c>
    </row>
    <row r="835" customFormat="false" ht="15" hidden="false" customHeight="false" outlineLevel="0" collapsed="false">
      <c r="A835" s="8" t="s">
        <v>591</v>
      </c>
      <c r="B835" s="8" t="s">
        <v>592</v>
      </c>
      <c r="C835" s="8" t="s">
        <v>403</v>
      </c>
      <c r="D835" s="8" t="n">
        <v>80</v>
      </c>
      <c r="E835" s="8" t="n">
        <v>475799</v>
      </c>
      <c r="F835" s="11" t="str">
        <f aca="false">INDEX(Caixas!$C:$C,MATCH(C835,Caixas!$A:$A,0))</f>
        <v>Avulso</v>
      </c>
      <c r="G835" s="9" t="n">
        <v>0</v>
      </c>
      <c r="H835" s="9" t="n">
        <v>80</v>
      </c>
      <c r="I835" s="8" t="n">
        <f aca="false">IF(F835="Inteira CBP",D835,IF(OR(F835="Aberta",F835="Avulso"),G835,0))</f>
        <v>0</v>
      </c>
      <c r="J835" s="8" t="n">
        <f aca="false">IF(F835="Inteira CBTBE",D835,IF(OR(F835="Aberta",F835="Avulso"),H835,0))</f>
        <v>80</v>
      </c>
      <c r="K835" s="8" t="n">
        <f aca="false">D835-I835-J835</f>
        <v>0</v>
      </c>
    </row>
    <row r="836" customFormat="false" ht="15" hidden="false" customHeight="false" outlineLevel="0" collapsed="false">
      <c r="A836" s="8" t="s">
        <v>437</v>
      </c>
      <c r="B836" s="8" t="s">
        <v>438</v>
      </c>
      <c r="C836" s="8" t="s">
        <v>403</v>
      </c>
      <c r="D836" s="8" t="n">
        <v>280</v>
      </c>
      <c r="E836" s="8" t="n">
        <v>475799</v>
      </c>
      <c r="F836" s="11" t="str">
        <f aca="false">INDEX(Caixas!$C:$C,MATCH(C836,Caixas!$A:$A,0))</f>
        <v>Avulso</v>
      </c>
      <c r="G836" s="9" t="n">
        <v>0</v>
      </c>
      <c r="H836" s="9" t="n">
        <v>14</v>
      </c>
      <c r="I836" s="8" t="n">
        <f aca="false">IF(F836="Inteira CBP",D836,IF(OR(F836="Aberta",F836="Avulso"),G836,0))</f>
        <v>0</v>
      </c>
      <c r="J836" s="8" t="n">
        <f aca="false">IF(F836="Inteira CBTBE",D836,IF(OR(F836="Aberta",F836="Avulso"),H836,0))</f>
        <v>14</v>
      </c>
      <c r="K836" s="8" t="n">
        <f aca="false">D836-I836-J836</f>
        <v>266</v>
      </c>
    </row>
    <row r="837" customFormat="false" ht="15" hidden="false" customHeight="false" outlineLevel="0" collapsed="false">
      <c r="A837" s="8" t="s">
        <v>605</v>
      </c>
      <c r="B837" s="8" t="s">
        <v>606</v>
      </c>
      <c r="C837" s="8" t="s">
        <v>403</v>
      </c>
      <c r="D837" s="8" t="n">
        <v>100</v>
      </c>
      <c r="E837" s="8" t="n">
        <v>475799</v>
      </c>
      <c r="F837" s="11" t="str">
        <f aca="false">INDEX(Caixas!$C:$C,MATCH(C837,Caixas!$A:$A,0))</f>
        <v>Avulso</v>
      </c>
      <c r="G837" s="9" t="n">
        <v>49</v>
      </c>
      <c r="H837" s="9" t="n">
        <v>51</v>
      </c>
      <c r="I837" s="8" t="n">
        <f aca="false">IF(F837="Inteira CBP",D837,IF(OR(F837="Aberta",F837="Avulso"),G837,0))</f>
        <v>49</v>
      </c>
      <c r="J837" s="8" t="n">
        <f aca="false">IF(F837="Inteira CBTBE",D837,IF(OR(F837="Aberta",F837="Avulso"),H837,0))</f>
        <v>51</v>
      </c>
      <c r="K837" s="8" t="n">
        <f aca="false">D837-I837-J837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6" min="5" style="0" width="10"/>
    <col collapsed="false" customWidth="true" hidden="false" outlineLevel="0" max="8" min="7" style="0" width="11"/>
  </cols>
  <sheetData>
    <row r="1" customFormat="false" ht="31.5" hidden="false" customHeight="true" outlineLevel="0" collapsed="false">
      <c r="A1" s="7" t="s">
        <v>36</v>
      </c>
      <c r="B1" s="7" t="s">
        <v>422</v>
      </c>
      <c r="C1" s="7" t="s">
        <v>419</v>
      </c>
      <c r="D1" s="7" t="s">
        <v>420</v>
      </c>
      <c r="E1" s="7" t="s">
        <v>715</v>
      </c>
      <c r="F1" s="7" t="s">
        <v>716</v>
      </c>
      <c r="G1" s="7" t="s">
        <v>717</v>
      </c>
      <c r="H1" s="7" t="s">
        <v>718</v>
      </c>
    </row>
    <row r="2" customFormat="false" ht="15" hidden="false" customHeight="false" outlineLevel="0" collapsed="false">
      <c r="A2" s="8" t="s">
        <v>42</v>
      </c>
      <c r="B2" s="8" t="n">
        <v>476065</v>
      </c>
      <c r="C2" s="8" t="s">
        <v>429</v>
      </c>
      <c r="D2" s="8" t="s">
        <v>430</v>
      </c>
      <c r="E2" s="8" t="n">
        <v>30</v>
      </c>
      <c r="F2" s="11" t="n">
        <f aca="false">SUMIFS(Itens!$I:$I,Itens!$C:$C,A2,Itens!$A:$A,C2)</f>
        <v>0</v>
      </c>
      <c r="G2" s="11" t="n">
        <f aca="false">SUMIFS(Itens!$J:$J,Itens!$C:$C,A2,Itens!$A:$A,C2)</f>
        <v>29</v>
      </c>
      <c r="H2" s="11" t="n">
        <f aca="false">SUMIFS(Itens!$K:$K,Itens!$C:$C,A2,Itens!$A:$A,C2)</f>
        <v>1</v>
      </c>
    </row>
    <row r="3" customFormat="false" ht="15" hidden="false" customHeight="false" outlineLevel="0" collapsed="false">
      <c r="A3" s="8" t="s">
        <v>42</v>
      </c>
      <c r="B3" s="8" t="n">
        <v>476061</v>
      </c>
      <c r="C3" s="8" t="s">
        <v>431</v>
      </c>
      <c r="D3" s="8" t="s">
        <v>432</v>
      </c>
      <c r="E3" s="8" t="n">
        <v>30</v>
      </c>
      <c r="F3" s="11" t="n">
        <f aca="false">SUMIFS(Itens!$I:$I,Itens!$C:$C,A3,Itens!$A:$A,C3)</f>
        <v>20</v>
      </c>
      <c r="G3" s="11" t="n">
        <f aca="false">SUMIFS(Itens!$J:$J,Itens!$C:$C,A3,Itens!$A:$A,C3)</f>
        <v>0</v>
      </c>
      <c r="H3" s="11" t="n">
        <f aca="false">SUMIFS(Itens!$K:$K,Itens!$C:$C,A3,Itens!$A:$A,C3)</f>
        <v>10</v>
      </c>
    </row>
    <row r="4" customFormat="false" ht="15" hidden="false" customHeight="false" outlineLevel="0" collapsed="false">
      <c r="A4" s="8" t="s">
        <v>42</v>
      </c>
      <c r="B4" s="8" t="n">
        <v>476043</v>
      </c>
      <c r="C4" s="8" t="s">
        <v>433</v>
      </c>
      <c r="D4" s="8" t="s">
        <v>434</v>
      </c>
      <c r="E4" s="8" t="n">
        <v>24</v>
      </c>
      <c r="F4" s="11" t="n">
        <f aca="false">SUMIFS(Itens!$I:$I,Itens!$C:$C,A4,Itens!$A:$A,C4)</f>
        <v>0</v>
      </c>
      <c r="G4" s="11" t="n">
        <f aca="false">SUMIFS(Itens!$J:$J,Itens!$C:$C,A4,Itens!$A:$A,C4)</f>
        <v>0</v>
      </c>
      <c r="H4" s="11" t="n">
        <f aca="false">SUMIFS(Itens!$K:$K,Itens!$C:$C,A4,Itens!$A:$A,C4)</f>
        <v>24</v>
      </c>
    </row>
    <row r="5" customFormat="false" ht="15" hidden="false" customHeight="false" outlineLevel="0" collapsed="false">
      <c r="A5" s="8" t="s">
        <v>69</v>
      </c>
      <c r="B5" s="8" t="n">
        <v>476065</v>
      </c>
      <c r="C5" s="8" t="s">
        <v>429</v>
      </c>
      <c r="D5" s="8" t="s">
        <v>430</v>
      </c>
      <c r="E5" s="8" t="n">
        <v>30</v>
      </c>
      <c r="F5" s="11" t="n">
        <f aca="false">SUMIFS(Itens!$I:$I,Itens!$C:$C,A5,Itens!$A:$A,C5)</f>
        <v>10</v>
      </c>
      <c r="G5" s="11" t="n">
        <f aca="false">SUMIFS(Itens!$J:$J,Itens!$C:$C,A5,Itens!$A:$A,C5)</f>
        <v>0</v>
      </c>
      <c r="H5" s="11" t="n">
        <f aca="false">SUMIFS(Itens!$K:$K,Itens!$C:$C,A5,Itens!$A:$A,C5)</f>
        <v>20</v>
      </c>
    </row>
    <row r="6" customFormat="false" ht="15" hidden="false" customHeight="false" outlineLevel="0" collapsed="false">
      <c r="A6" s="8" t="s">
        <v>69</v>
      </c>
      <c r="B6" s="8" t="n">
        <v>476043</v>
      </c>
      <c r="C6" s="8" t="s">
        <v>451</v>
      </c>
      <c r="D6" s="8" t="s">
        <v>452</v>
      </c>
      <c r="E6" s="8" t="n">
        <v>24</v>
      </c>
      <c r="F6" s="11" t="n">
        <f aca="false">SUMIFS(Itens!$I:$I,Itens!$C:$C,A6,Itens!$A:$A,C6)</f>
        <v>0</v>
      </c>
      <c r="G6" s="11" t="n">
        <f aca="false">SUMIFS(Itens!$J:$J,Itens!$C:$C,A6,Itens!$A:$A,C6)</f>
        <v>24</v>
      </c>
      <c r="H6" s="11" t="n">
        <f aca="false">SUMIFS(Itens!$K:$K,Itens!$C:$C,A6,Itens!$A:$A,C6)</f>
        <v>0</v>
      </c>
    </row>
    <row r="7" customFormat="false" ht="15" hidden="false" customHeight="false" outlineLevel="0" collapsed="false">
      <c r="A7" s="8" t="s">
        <v>69</v>
      </c>
      <c r="B7" s="8" t="n">
        <v>476061</v>
      </c>
      <c r="C7" s="8" t="s">
        <v>455</v>
      </c>
      <c r="D7" s="8" t="s">
        <v>456</v>
      </c>
      <c r="E7" s="8" t="n">
        <v>30</v>
      </c>
      <c r="F7" s="11" t="n">
        <f aca="false">SUMIFS(Itens!$I:$I,Itens!$C:$C,A7,Itens!$A:$A,C7)</f>
        <v>30</v>
      </c>
      <c r="G7" s="11" t="n">
        <f aca="false">SUMIFS(Itens!$J:$J,Itens!$C:$C,A7,Itens!$A:$A,C7)</f>
        <v>0</v>
      </c>
      <c r="H7" s="11" t="n">
        <f aca="false">SUMIFS(Itens!$K:$K,Itens!$C:$C,A7,Itens!$A:$A,C7)</f>
        <v>0</v>
      </c>
    </row>
    <row r="8" customFormat="false" ht="15" hidden="false" customHeight="false" outlineLevel="0" collapsed="false">
      <c r="A8" s="8" t="s">
        <v>72</v>
      </c>
      <c r="B8" s="8" t="n">
        <v>476065</v>
      </c>
      <c r="C8" s="8" t="s">
        <v>453</v>
      </c>
      <c r="D8" s="8" t="s">
        <v>454</v>
      </c>
      <c r="E8" s="8" t="n">
        <v>28</v>
      </c>
      <c r="F8" s="11" t="n">
        <f aca="false">SUMIFS(Itens!$I:$I,Itens!$C:$C,A8,Itens!$A:$A,C8)</f>
        <v>8</v>
      </c>
      <c r="G8" s="11" t="n">
        <f aca="false">SUMIFS(Itens!$J:$J,Itens!$C:$C,A8,Itens!$A:$A,C8)</f>
        <v>11</v>
      </c>
      <c r="H8" s="11" t="n">
        <f aca="false">SUMIFS(Itens!$K:$K,Itens!$C:$C,A8,Itens!$A:$A,C8)</f>
        <v>9</v>
      </c>
    </row>
    <row r="9" customFormat="false" ht="15" hidden="false" customHeight="false" outlineLevel="0" collapsed="false">
      <c r="A9" s="8" t="s">
        <v>72</v>
      </c>
      <c r="B9" s="8" t="n">
        <v>476061</v>
      </c>
      <c r="C9" s="8" t="s">
        <v>455</v>
      </c>
      <c r="D9" s="8" t="s">
        <v>456</v>
      </c>
      <c r="E9" s="8" t="n">
        <v>30</v>
      </c>
      <c r="F9" s="11" t="n">
        <f aca="false">SUMIFS(Itens!$I:$I,Itens!$C:$C,A9,Itens!$A:$A,C9)</f>
        <v>0</v>
      </c>
      <c r="G9" s="11" t="n">
        <f aca="false">SUMIFS(Itens!$J:$J,Itens!$C:$C,A9,Itens!$A:$A,C9)</f>
        <v>30</v>
      </c>
      <c r="H9" s="11" t="n">
        <f aca="false">SUMIFS(Itens!$K:$K,Itens!$C:$C,A9,Itens!$A:$A,C9)</f>
        <v>0</v>
      </c>
    </row>
    <row r="10" customFormat="false" ht="15" hidden="false" customHeight="false" outlineLevel="0" collapsed="false">
      <c r="A10" s="8" t="s">
        <v>72</v>
      </c>
      <c r="B10" s="8" t="n">
        <v>476043</v>
      </c>
      <c r="C10" s="8" t="s">
        <v>459</v>
      </c>
      <c r="D10" s="8" t="s">
        <v>460</v>
      </c>
      <c r="E10" s="8" t="n">
        <v>38</v>
      </c>
      <c r="F10" s="11" t="n">
        <f aca="false">SUMIFS(Itens!$I:$I,Itens!$C:$C,A10,Itens!$A:$A,C10)</f>
        <v>4</v>
      </c>
      <c r="G10" s="11" t="n">
        <f aca="false">SUMIFS(Itens!$J:$J,Itens!$C:$C,A10,Itens!$A:$A,C10)</f>
        <v>8</v>
      </c>
      <c r="H10" s="11" t="n">
        <f aca="false">SUMIFS(Itens!$K:$K,Itens!$C:$C,A10,Itens!$A:$A,C10)</f>
        <v>26</v>
      </c>
    </row>
    <row r="11" customFormat="false" ht="15" hidden="false" customHeight="false" outlineLevel="0" collapsed="false">
      <c r="A11" s="8" t="s">
        <v>78</v>
      </c>
      <c r="B11" s="8" t="n">
        <v>476043</v>
      </c>
      <c r="C11" s="8" t="s">
        <v>465</v>
      </c>
      <c r="D11" s="8" t="s">
        <v>466</v>
      </c>
      <c r="E11" s="8" t="n">
        <v>30</v>
      </c>
      <c r="F11" s="11" t="n">
        <f aca="false">SUMIFS(Itens!$I:$I,Itens!$C:$C,A11,Itens!$A:$A,C11)</f>
        <v>0</v>
      </c>
      <c r="G11" s="11" t="n">
        <f aca="false">SUMIFS(Itens!$J:$J,Itens!$C:$C,A11,Itens!$A:$A,C11)</f>
        <v>27</v>
      </c>
      <c r="H11" s="11" t="n">
        <f aca="false">SUMIFS(Itens!$K:$K,Itens!$C:$C,A11,Itens!$A:$A,C11)</f>
        <v>3</v>
      </c>
    </row>
    <row r="12" customFormat="false" ht="15" hidden="false" customHeight="false" outlineLevel="0" collapsed="false">
      <c r="A12" s="8" t="s">
        <v>78</v>
      </c>
      <c r="B12" s="8" t="n">
        <v>476065</v>
      </c>
      <c r="C12" s="8" t="s">
        <v>449</v>
      </c>
      <c r="D12" s="8" t="s">
        <v>450</v>
      </c>
      <c r="E12" s="8" t="n">
        <v>34</v>
      </c>
      <c r="F12" s="11" t="n">
        <f aca="false">SUMIFS(Itens!$I:$I,Itens!$C:$C,A12,Itens!$A:$A,C12)</f>
        <v>0</v>
      </c>
      <c r="G12" s="11" t="n">
        <f aca="false">SUMIFS(Itens!$J:$J,Itens!$C:$C,A12,Itens!$A:$A,C12)</f>
        <v>20</v>
      </c>
      <c r="H12" s="11" t="n">
        <f aca="false">SUMIFS(Itens!$K:$K,Itens!$C:$C,A12,Itens!$A:$A,C12)</f>
        <v>14</v>
      </c>
    </row>
    <row r="13" customFormat="false" ht="15" hidden="false" customHeight="false" outlineLevel="0" collapsed="false">
      <c r="A13" s="8" t="s">
        <v>78</v>
      </c>
      <c r="B13" s="8" t="n">
        <v>476061</v>
      </c>
      <c r="C13" s="8" t="s">
        <v>467</v>
      </c>
      <c r="D13" s="8" t="s">
        <v>468</v>
      </c>
      <c r="E13" s="8" t="n">
        <v>82</v>
      </c>
      <c r="F13" s="11" t="n">
        <f aca="false">SUMIFS(Itens!$I:$I,Itens!$C:$C,A13,Itens!$A:$A,C13)</f>
        <v>25</v>
      </c>
      <c r="G13" s="11" t="n">
        <f aca="false">SUMIFS(Itens!$J:$J,Itens!$C:$C,A13,Itens!$A:$A,C13)</f>
        <v>0</v>
      </c>
      <c r="H13" s="11" t="n">
        <f aca="false">SUMIFS(Itens!$K:$K,Itens!$C:$C,A13,Itens!$A:$A,C13)</f>
        <v>57</v>
      </c>
    </row>
    <row r="14" customFormat="false" ht="15" hidden="false" customHeight="false" outlineLevel="0" collapsed="false">
      <c r="A14" s="8" t="s">
        <v>80</v>
      </c>
      <c r="B14" s="8" t="n">
        <v>476065</v>
      </c>
      <c r="C14" s="8" t="s">
        <v>439</v>
      </c>
      <c r="D14" s="8" t="s">
        <v>440</v>
      </c>
      <c r="E14" s="8" t="n">
        <v>42</v>
      </c>
      <c r="F14" s="11" t="n">
        <f aca="false">SUMIFS(Itens!$I:$I,Itens!$C:$C,A14,Itens!$A:$A,C14)</f>
        <v>0</v>
      </c>
      <c r="G14" s="11" t="n">
        <f aca="false">SUMIFS(Itens!$J:$J,Itens!$C:$C,A14,Itens!$A:$A,C14)</f>
        <v>30</v>
      </c>
      <c r="H14" s="11" t="n">
        <f aca="false">SUMIFS(Itens!$K:$K,Itens!$C:$C,A14,Itens!$A:$A,C14)</f>
        <v>12</v>
      </c>
    </row>
    <row r="15" customFormat="false" ht="15" hidden="false" customHeight="false" outlineLevel="0" collapsed="false">
      <c r="A15" s="8" t="s">
        <v>80</v>
      </c>
      <c r="B15" s="8" t="n">
        <v>476043</v>
      </c>
      <c r="C15" s="8" t="s">
        <v>469</v>
      </c>
      <c r="D15" s="8" t="s">
        <v>470</v>
      </c>
      <c r="E15" s="8" t="n">
        <v>36</v>
      </c>
      <c r="F15" s="11" t="n">
        <f aca="false">SUMIFS(Itens!$I:$I,Itens!$C:$C,A15,Itens!$A:$A,C15)</f>
        <v>0</v>
      </c>
      <c r="G15" s="11" t="n">
        <f aca="false">SUMIFS(Itens!$J:$J,Itens!$C:$C,A15,Itens!$A:$A,C15)</f>
        <v>14</v>
      </c>
      <c r="H15" s="11" t="n">
        <f aca="false">SUMIFS(Itens!$K:$K,Itens!$C:$C,A15,Itens!$A:$A,C15)</f>
        <v>22</v>
      </c>
    </row>
    <row r="16" customFormat="false" ht="15" hidden="false" customHeight="false" outlineLevel="0" collapsed="false">
      <c r="A16" s="8" t="s">
        <v>82</v>
      </c>
      <c r="B16" s="8" t="n">
        <v>476061</v>
      </c>
      <c r="C16" s="8" t="s">
        <v>471</v>
      </c>
      <c r="D16" s="8" t="s">
        <v>472</v>
      </c>
      <c r="E16" s="8" t="n">
        <v>22</v>
      </c>
      <c r="F16" s="11" t="n">
        <f aca="false">SUMIFS(Itens!$I:$I,Itens!$C:$C,A16,Itens!$A:$A,C16)</f>
        <v>10</v>
      </c>
      <c r="G16" s="11" t="n">
        <f aca="false">SUMIFS(Itens!$J:$J,Itens!$C:$C,A16,Itens!$A:$A,C16)</f>
        <v>0</v>
      </c>
      <c r="H16" s="11" t="n">
        <f aca="false">SUMIFS(Itens!$K:$K,Itens!$C:$C,A16,Itens!$A:$A,C16)</f>
        <v>12</v>
      </c>
    </row>
    <row r="17" customFormat="false" ht="15" hidden="false" customHeight="false" outlineLevel="0" collapsed="false">
      <c r="A17" s="8" t="s">
        <v>82</v>
      </c>
      <c r="B17" s="8" t="n">
        <v>476065</v>
      </c>
      <c r="C17" s="8" t="s">
        <v>435</v>
      </c>
      <c r="D17" s="8" t="s">
        <v>436</v>
      </c>
      <c r="E17" s="8" t="n">
        <v>20</v>
      </c>
      <c r="F17" s="11" t="n">
        <f aca="false">SUMIFS(Itens!$I:$I,Itens!$C:$C,A17,Itens!$A:$A,C17)</f>
        <v>0</v>
      </c>
      <c r="G17" s="11" t="n">
        <f aca="false">SUMIFS(Itens!$J:$J,Itens!$C:$C,A17,Itens!$A:$A,C17)</f>
        <v>0</v>
      </c>
      <c r="H17" s="11" t="n">
        <f aca="false">SUMIFS(Itens!$K:$K,Itens!$C:$C,A17,Itens!$A:$A,C17)</f>
        <v>20</v>
      </c>
    </row>
    <row r="18" customFormat="false" ht="15" hidden="false" customHeight="false" outlineLevel="0" collapsed="false">
      <c r="A18" s="8" t="s">
        <v>82</v>
      </c>
      <c r="B18" s="8" t="n">
        <v>476043</v>
      </c>
      <c r="C18" s="8" t="s">
        <v>469</v>
      </c>
      <c r="D18" s="8" t="s">
        <v>470</v>
      </c>
      <c r="E18" s="8" t="n">
        <v>36</v>
      </c>
      <c r="F18" s="11" t="n">
        <f aca="false">SUMIFS(Itens!$I:$I,Itens!$C:$C,A18,Itens!$A:$A,C18)</f>
        <v>0</v>
      </c>
      <c r="G18" s="11" t="n">
        <f aca="false">SUMIFS(Itens!$J:$J,Itens!$C:$C,A18,Itens!$A:$A,C18)</f>
        <v>36</v>
      </c>
      <c r="H18" s="11" t="n">
        <f aca="false">SUMIFS(Itens!$K:$K,Itens!$C:$C,A18,Itens!$A:$A,C18)</f>
        <v>0</v>
      </c>
    </row>
    <row r="19" customFormat="false" ht="15" hidden="false" customHeight="false" outlineLevel="0" collapsed="false">
      <c r="A19" s="8" t="s">
        <v>83</v>
      </c>
      <c r="B19" s="8" t="n">
        <v>476061</v>
      </c>
      <c r="C19" s="8" t="s">
        <v>471</v>
      </c>
      <c r="D19" s="8" t="s">
        <v>472</v>
      </c>
      <c r="E19" s="8" t="n">
        <v>22</v>
      </c>
      <c r="F19" s="11" t="n">
        <f aca="false">SUMIFS(Itens!$I:$I,Itens!$C:$C,A19,Itens!$A:$A,C19)</f>
        <v>22</v>
      </c>
      <c r="G19" s="11" t="n">
        <f aca="false">SUMIFS(Itens!$J:$J,Itens!$C:$C,A19,Itens!$A:$A,C19)</f>
        <v>0</v>
      </c>
      <c r="H19" s="11" t="n">
        <f aca="false">SUMIFS(Itens!$K:$K,Itens!$C:$C,A19,Itens!$A:$A,C19)</f>
        <v>0</v>
      </c>
    </row>
    <row r="20" customFormat="false" ht="15" hidden="false" customHeight="false" outlineLevel="0" collapsed="false">
      <c r="A20" s="8" t="s">
        <v>83</v>
      </c>
      <c r="B20" s="8" t="n">
        <v>476065</v>
      </c>
      <c r="C20" s="8" t="s">
        <v>435</v>
      </c>
      <c r="D20" s="8" t="s">
        <v>436</v>
      </c>
      <c r="E20" s="8" t="n">
        <v>20</v>
      </c>
      <c r="F20" s="11" t="n">
        <f aca="false">SUMIFS(Itens!$I:$I,Itens!$C:$C,A20,Itens!$A:$A,C20)</f>
        <v>0</v>
      </c>
      <c r="G20" s="11" t="n">
        <f aca="false">SUMIFS(Itens!$J:$J,Itens!$C:$C,A20,Itens!$A:$A,C20)</f>
        <v>0</v>
      </c>
      <c r="H20" s="11" t="n">
        <f aca="false">SUMIFS(Itens!$K:$K,Itens!$C:$C,A20,Itens!$A:$A,C20)</f>
        <v>20</v>
      </c>
    </row>
    <row r="21" customFormat="false" ht="15" hidden="false" customHeight="false" outlineLevel="0" collapsed="false">
      <c r="A21" s="8" t="s">
        <v>83</v>
      </c>
      <c r="B21" s="8" t="n">
        <v>476043</v>
      </c>
      <c r="C21" s="8" t="s">
        <v>433</v>
      </c>
      <c r="D21" s="8" t="s">
        <v>434</v>
      </c>
      <c r="E21" s="8" t="n">
        <v>24</v>
      </c>
      <c r="F21" s="11" t="n">
        <f aca="false">SUMIFS(Itens!$I:$I,Itens!$C:$C,A21,Itens!$A:$A,C21)</f>
        <v>0</v>
      </c>
      <c r="G21" s="11" t="n">
        <f aca="false">SUMIFS(Itens!$J:$J,Itens!$C:$C,A21,Itens!$A:$A,C21)</f>
        <v>0</v>
      </c>
      <c r="H21" s="11" t="n">
        <f aca="false">SUMIFS(Itens!$K:$K,Itens!$C:$C,A21,Itens!$A:$A,C21)</f>
        <v>24</v>
      </c>
    </row>
    <row r="22" customFormat="false" ht="15" hidden="false" customHeight="false" outlineLevel="0" collapsed="false">
      <c r="A22" s="8" t="s">
        <v>84</v>
      </c>
      <c r="B22" s="8" t="n">
        <v>476061</v>
      </c>
      <c r="C22" s="8" t="s">
        <v>471</v>
      </c>
      <c r="D22" s="8" t="s">
        <v>472</v>
      </c>
      <c r="E22" s="8" t="n">
        <v>22</v>
      </c>
      <c r="F22" s="11" t="n">
        <f aca="false">SUMIFS(Itens!$I:$I,Itens!$C:$C,A22,Itens!$A:$A,C22)</f>
        <v>22</v>
      </c>
      <c r="G22" s="11" t="n">
        <f aca="false">SUMIFS(Itens!$J:$J,Itens!$C:$C,A22,Itens!$A:$A,C22)</f>
        <v>0</v>
      </c>
      <c r="H22" s="11" t="n">
        <f aca="false">SUMIFS(Itens!$K:$K,Itens!$C:$C,A22,Itens!$A:$A,C22)</f>
        <v>0</v>
      </c>
    </row>
    <row r="23" customFormat="false" ht="15" hidden="false" customHeight="false" outlineLevel="0" collapsed="false">
      <c r="A23" s="8" t="s">
        <v>84</v>
      </c>
      <c r="B23" s="8" t="n">
        <v>476065</v>
      </c>
      <c r="C23" s="8" t="s">
        <v>435</v>
      </c>
      <c r="D23" s="8" t="s">
        <v>436</v>
      </c>
      <c r="E23" s="8" t="n">
        <v>20</v>
      </c>
      <c r="F23" s="11" t="n">
        <f aca="false">SUMIFS(Itens!$I:$I,Itens!$C:$C,A23,Itens!$A:$A,C23)</f>
        <v>0</v>
      </c>
      <c r="G23" s="11" t="n">
        <f aca="false">SUMIFS(Itens!$J:$J,Itens!$C:$C,A23,Itens!$A:$A,C23)</f>
        <v>0</v>
      </c>
      <c r="H23" s="11" t="n">
        <f aca="false">SUMIFS(Itens!$K:$K,Itens!$C:$C,A23,Itens!$A:$A,C23)</f>
        <v>20</v>
      </c>
    </row>
    <row r="24" customFormat="false" ht="15" hidden="false" customHeight="false" outlineLevel="0" collapsed="false">
      <c r="A24" s="8" t="s">
        <v>84</v>
      </c>
      <c r="B24" s="8" t="n">
        <v>476043</v>
      </c>
      <c r="C24" s="8" t="s">
        <v>433</v>
      </c>
      <c r="D24" s="8" t="s">
        <v>434</v>
      </c>
      <c r="E24" s="8" t="n">
        <v>24</v>
      </c>
      <c r="F24" s="11" t="n">
        <f aca="false">SUMIFS(Itens!$I:$I,Itens!$C:$C,A24,Itens!$A:$A,C24)</f>
        <v>0</v>
      </c>
      <c r="G24" s="11" t="n">
        <f aca="false">SUMIFS(Itens!$J:$J,Itens!$C:$C,A24,Itens!$A:$A,C24)</f>
        <v>23</v>
      </c>
      <c r="H24" s="11" t="n">
        <f aca="false">SUMIFS(Itens!$K:$K,Itens!$C:$C,A24,Itens!$A:$A,C24)</f>
        <v>1</v>
      </c>
    </row>
    <row r="25" customFormat="false" ht="15" hidden="false" customHeight="false" outlineLevel="0" collapsed="false">
      <c r="A25" s="8" t="s">
        <v>85</v>
      </c>
      <c r="B25" s="8" t="n">
        <v>476061</v>
      </c>
      <c r="C25" s="8" t="s">
        <v>471</v>
      </c>
      <c r="D25" s="8" t="s">
        <v>472</v>
      </c>
      <c r="E25" s="8" t="n">
        <v>39</v>
      </c>
      <c r="F25" s="11" t="n">
        <f aca="false">SUMIFS(Itens!$I:$I,Itens!$C:$C,A25,Itens!$A:$A,C25)</f>
        <v>39</v>
      </c>
      <c r="G25" s="11" t="n">
        <f aca="false">SUMIFS(Itens!$J:$J,Itens!$C:$C,A25,Itens!$A:$A,C25)</f>
        <v>0</v>
      </c>
      <c r="H25" s="11" t="n">
        <f aca="false">SUMIFS(Itens!$K:$K,Itens!$C:$C,A25,Itens!$A:$A,C25)</f>
        <v>0</v>
      </c>
    </row>
    <row r="26" customFormat="false" ht="15" hidden="false" customHeight="false" outlineLevel="0" collapsed="false">
      <c r="A26" s="8" t="s">
        <v>85</v>
      </c>
      <c r="B26" s="8" t="n">
        <v>476065</v>
      </c>
      <c r="C26" s="8" t="s">
        <v>435</v>
      </c>
      <c r="D26" s="8" t="s">
        <v>436</v>
      </c>
      <c r="E26" s="8" t="n">
        <v>20</v>
      </c>
      <c r="F26" s="11" t="n">
        <f aca="false">SUMIFS(Itens!$I:$I,Itens!$C:$C,A26,Itens!$A:$A,C26)</f>
        <v>0</v>
      </c>
      <c r="G26" s="11" t="n">
        <f aca="false">SUMIFS(Itens!$J:$J,Itens!$C:$C,A26,Itens!$A:$A,C26)</f>
        <v>0</v>
      </c>
      <c r="H26" s="11" t="n">
        <f aca="false">SUMIFS(Itens!$K:$K,Itens!$C:$C,A26,Itens!$A:$A,C26)</f>
        <v>20</v>
      </c>
    </row>
    <row r="27" customFormat="false" ht="15" hidden="false" customHeight="false" outlineLevel="0" collapsed="false">
      <c r="A27" s="8" t="s">
        <v>85</v>
      </c>
      <c r="B27" s="8" t="n">
        <v>476043</v>
      </c>
      <c r="C27" s="8" t="s">
        <v>433</v>
      </c>
      <c r="D27" s="8" t="s">
        <v>434</v>
      </c>
      <c r="E27" s="8" t="n">
        <v>24</v>
      </c>
      <c r="F27" s="11" t="n">
        <f aca="false">SUMIFS(Itens!$I:$I,Itens!$C:$C,A27,Itens!$A:$A,C27)</f>
        <v>0</v>
      </c>
      <c r="G27" s="11" t="n">
        <f aca="false">SUMIFS(Itens!$J:$J,Itens!$C:$C,A27,Itens!$A:$A,C27)</f>
        <v>24</v>
      </c>
      <c r="H27" s="11" t="n">
        <f aca="false">SUMIFS(Itens!$K:$K,Itens!$C:$C,A27,Itens!$A:$A,C27)</f>
        <v>0</v>
      </c>
    </row>
    <row r="28" customFormat="false" ht="15" hidden="false" customHeight="false" outlineLevel="0" collapsed="false">
      <c r="A28" s="8" t="s">
        <v>86</v>
      </c>
      <c r="B28" s="8" t="n">
        <v>476043</v>
      </c>
      <c r="C28" s="8" t="s">
        <v>465</v>
      </c>
      <c r="D28" s="8" t="s">
        <v>466</v>
      </c>
      <c r="E28" s="8" t="n">
        <v>6</v>
      </c>
      <c r="F28" s="11" t="n">
        <f aca="false">SUMIFS(Itens!$I:$I,Itens!$C:$C,A28,Itens!$A:$A,C28)</f>
        <v>0</v>
      </c>
      <c r="G28" s="11" t="n">
        <f aca="false">SUMIFS(Itens!$J:$J,Itens!$C:$C,A28,Itens!$A:$A,C28)</f>
        <v>0</v>
      </c>
      <c r="H28" s="11" t="n">
        <f aca="false">SUMIFS(Itens!$K:$K,Itens!$C:$C,A28,Itens!$A:$A,C28)</f>
        <v>6</v>
      </c>
    </row>
    <row r="29" customFormat="false" ht="15" hidden="false" customHeight="false" outlineLevel="0" collapsed="false">
      <c r="A29" s="8" t="s">
        <v>86</v>
      </c>
      <c r="B29" s="8" t="n">
        <v>476061</v>
      </c>
      <c r="C29" s="8" t="s">
        <v>461</v>
      </c>
      <c r="D29" s="8" t="s">
        <v>462</v>
      </c>
      <c r="E29" s="8" t="n">
        <v>4</v>
      </c>
      <c r="F29" s="11" t="n">
        <f aca="false">SUMIFS(Itens!$I:$I,Itens!$C:$C,A29,Itens!$A:$A,C29)</f>
        <v>4</v>
      </c>
      <c r="G29" s="11" t="n">
        <f aca="false">SUMIFS(Itens!$J:$J,Itens!$C:$C,A29,Itens!$A:$A,C29)</f>
        <v>0</v>
      </c>
      <c r="H29" s="11" t="n">
        <f aca="false">SUMIFS(Itens!$K:$K,Itens!$C:$C,A29,Itens!$A:$A,C29)</f>
        <v>0</v>
      </c>
    </row>
    <row r="30" customFormat="false" ht="15" hidden="false" customHeight="false" outlineLevel="0" collapsed="false">
      <c r="A30" s="8" t="s">
        <v>86</v>
      </c>
      <c r="B30" s="8" t="n">
        <v>476061</v>
      </c>
      <c r="C30" s="8" t="s">
        <v>467</v>
      </c>
      <c r="D30" s="8" t="s">
        <v>468</v>
      </c>
      <c r="E30" s="8" t="n">
        <v>36</v>
      </c>
      <c r="F30" s="11" t="n">
        <f aca="false">SUMIFS(Itens!$I:$I,Itens!$C:$C,A30,Itens!$A:$A,C30)</f>
        <v>0</v>
      </c>
      <c r="G30" s="11" t="n">
        <f aca="false">SUMIFS(Itens!$J:$J,Itens!$C:$C,A30,Itens!$A:$A,C30)</f>
        <v>22</v>
      </c>
      <c r="H30" s="11" t="n">
        <f aca="false">SUMIFS(Itens!$K:$K,Itens!$C:$C,A30,Itens!$A:$A,C30)</f>
        <v>14</v>
      </c>
    </row>
    <row r="31" customFormat="false" ht="15" hidden="false" customHeight="false" outlineLevel="0" collapsed="false">
      <c r="A31" s="8" t="s">
        <v>86</v>
      </c>
      <c r="B31" s="8" t="n">
        <v>476061</v>
      </c>
      <c r="C31" s="8" t="s">
        <v>431</v>
      </c>
      <c r="D31" s="8" t="s">
        <v>432</v>
      </c>
      <c r="E31" s="8" t="n">
        <v>10</v>
      </c>
      <c r="F31" s="11" t="n">
        <f aca="false">SUMIFS(Itens!$I:$I,Itens!$C:$C,A31,Itens!$A:$A,C31)</f>
        <v>0</v>
      </c>
      <c r="G31" s="11" t="n">
        <f aca="false">SUMIFS(Itens!$J:$J,Itens!$C:$C,A31,Itens!$A:$A,C31)</f>
        <v>0</v>
      </c>
      <c r="H31" s="11" t="n">
        <f aca="false">SUMIFS(Itens!$K:$K,Itens!$C:$C,A31,Itens!$A:$A,C31)</f>
        <v>10</v>
      </c>
    </row>
    <row r="32" customFormat="false" ht="15" hidden="false" customHeight="false" outlineLevel="0" collapsed="false">
      <c r="A32" s="8" t="s">
        <v>86</v>
      </c>
      <c r="B32" s="8" t="n">
        <v>476065</v>
      </c>
      <c r="C32" s="8" t="s">
        <v>435</v>
      </c>
      <c r="D32" s="8" t="s">
        <v>436</v>
      </c>
      <c r="E32" s="8" t="n">
        <v>20</v>
      </c>
      <c r="F32" s="11" t="n">
        <f aca="false">SUMIFS(Itens!$I:$I,Itens!$C:$C,A32,Itens!$A:$A,C32)</f>
        <v>0</v>
      </c>
      <c r="G32" s="11" t="n">
        <f aca="false">SUMIFS(Itens!$J:$J,Itens!$C:$C,A32,Itens!$A:$A,C32)</f>
        <v>0</v>
      </c>
      <c r="H32" s="11" t="n">
        <f aca="false">SUMIFS(Itens!$K:$K,Itens!$C:$C,A32,Itens!$A:$A,C32)</f>
        <v>20</v>
      </c>
    </row>
    <row r="33" customFormat="false" ht="15" hidden="false" customHeight="false" outlineLevel="0" collapsed="false">
      <c r="A33" s="8" t="s">
        <v>86</v>
      </c>
      <c r="B33" s="8" t="n">
        <v>476061</v>
      </c>
      <c r="C33" s="8" t="s">
        <v>441</v>
      </c>
      <c r="D33" s="8" t="s">
        <v>442</v>
      </c>
      <c r="E33" s="8" t="n">
        <v>63</v>
      </c>
      <c r="F33" s="11" t="n">
        <f aca="false">SUMIFS(Itens!$I:$I,Itens!$C:$C,A33,Itens!$A:$A,C33)</f>
        <v>42</v>
      </c>
      <c r="G33" s="11" t="n">
        <f aca="false">SUMIFS(Itens!$J:$J,Itens!$C:$C,A33,Itens!$A:$A,C33)</f>
        <v>0</v>
      </c>
      <c r="H33" s="11" t="n">
        <f aca="false">SUMIFS(Itens!$K:$K,Itens!$C:$C,A33,Itens!$A:$A,C33)</f>
        <v>21</v>
      </c>
    </row>
    <row r="34" customFormat="false" ht="15" hidden="false" customHeight="false" outlineLevel="0" collapsed="false">
      <c r="A34" s="8" t="s">
        <v>86</v>
      </c>
      <c r="B34" s="8" t="n">
        <v>476043</v>
      </c>
      <c r="C34" s="8" t="s">
        <v>469</v>
      </c>
      <c r="D34" s="8" t="s">
        <v>470</v>
      </c>
      <c r="E34" s="8" t="n">
        <v>32</v>
      </c>
      <c r="F34" s="11" t="n">
        <f aca="false">SUMIFS(Itens!$I:$I,Itens!$C:$C,A34,Itens!$A:$A,C34)</f>
        <v>0</v>
      </c>
      <c r="G34" s="11" t="n">
        <f aca="false">SUMIFS(Itens!$J:$J,Itens!$C:$C,A34,Itens!$A:$A,C34)</f>
        <v>0</v>
      </c>
      <c r="H34" s="11" t="n">
        <f aca="false">SUMIFS(Itens!$K:$K,Itens!$C:$C,A34,Itens!$A:$A,C34)</f>
        <v>32</v>
      </c>
    </row>
    <row r="35" customFormat="false" ht="15" hidden="false" customHeight="false" outlineLevel="0" collapsed="false">
      <c r="A35" s="8" t="s">
        <v>86</v>
      </c>
      <c r="B35" s="8" t="n">
        <v>476043</v>
      </c>
      <c r="C35" s="8" t="s">
        <v>457</v>
      </c>
      <c r="D35" s="8" t="s">
        <v>458</v>
      </c>
      <c r="E35" s="8" t="n">
        <v>2</v>
      </c>
      <c r="F35" s="11" t="n">
        <f aca="false">SUMIFS(Itens!$I:$I,Itens!$C:$C,A35,Itens!$A:$A,C35)</f>
        <v>0</v>
      </c>
      <c r="G35" s="11" t="n">
        <f aca="false">SUMIFS(Itens!$J:$J,Itens!$C:$C,A35,Itens!$A:$A,C35)</f>
        <v>0</v>
      </c>
      <c r="H35" s="11" t="n">
        <f aca="false">SUMIFS(Itens!$K:$K,Itens!$C:$C,A35,Itens!$A:$A,C35)</f>
        <v>2</v>
      </c>
    </row>
    <row r="36" customFormat="false" ht="15" hidden="false" customHeight="false" outlineLevel="0" collapsed="false">
      <c r="A36" s="8" t="s">
        <v>87</v>
      </c>
      <c r="B36" s="8" t="n">
        <v>476043</v>
      </c>
      <c r="C36" s="8" t="s">
        <v>465</v>
      </c>
      <c r="D36" s="8" t="s">
        <v>466</v>
      </c>
      <c r="E36" s="8" t="n">
        <v>4</v>
      </c>
      <c r="F36" s="11" t="n">
        <f aca="false">SUMIFS(Itens!$I:$I,Itens!$C:$C,A36,Itens!$A:$A,C36)</f>
        <v>0</v>
      </c>
      <c r="G36" s="11" t="n">
        <f aca="false">SUMIFS(Itens!$J:$J,Itens!$C:$C,A36,Itens!$A:$A,C36)</f>
        <v>0</v>
      </c>
      <c r="H36" s="11" t="n">
        <f aca="false">SUMIFS(Itens!$K:$K,Itens!$C:$C,A36,Itens!$A:$A,C36)</f>
        <v>4</v>
      </c>
    </row>
    <row r="37" customFormat="false" ht="15" hidden="false" customHeight="false" outlineLevel="0" collapsed="false">
      <c r="A37" s="8" t="s">
        <v>87</v>
      </c>
      <c r="B37" s="8" t="n">
        <v>476061</v>
      </c>
      <c r="C37" s="8" t="s">
        <v>473</v>
      </c>
      <c r="D37" s="8" t="s">
        <v>474</v>
      </c>
      <c r="E37" s="8" t="n">
        <v>29</v>
      </c>
      <c r="F37" s="11" t="n">
        <f aca="false">SUMIFS(Itens!$I:$I,Itens!$C:$C,A37,Itens!$A:$A,C37)</f>
        <v>25</v>
      </c>
      <c r="G37" s="11" t="n">
        <f aca="false">SUMIFS(Itens!$J:$J,Itens!$C:$C,A37,Itens!$A:$A,C37)</f>
        <v>4</v>
      </c>
      <c r="H37" s="11" t="n">
        <f aca="false">SUMIFS(Itens!$K:$K,Itens!$C:$C,A37,Itens!$A:$A,C37)</f>
        <v>0</v>
      </c>
    </row>
    <row r="38" customFormat="false" ht="15" hidden="false" customHeight="false" outlineLevel="0" collapsed="false">
      <c r="A38" s="8" t="s">
        <v>87</v>
      </c>
      <c r="B38" s="8" t="n">
        <v>476043</v>
      </c>
      <c r="C38" s="8" t="s">
        <v>451</v>
      </c>
      <c r="D38" s="8" t="s">
        <v>452</v>
      </c>
      <c r="E38" s="8" t="n">
        <v>14</v>
      </c>
      <c r="F38" s="11" t="n">
        <f aca="false">SUMIFS(Itens!$I:$I,Itens!$C:$C,A38,Itens!$A:$A,C38)</f>
        <v>0</v>
      </c>
      <c r="G38" s="11" t="n">
        <f aca="false">SUMIFS(Itens!$J:$J,Itens!$C:$C,A38,Itens!$A:$A,C38)</f>
        <v>14</v>
      </c>
      <c r="H38" s="11" t="n">
        <f aca="false">SUMIFS(Itens!$K:$K,Itens!$C:$C,A38,Itens!$A:$A,C38)</f>
        <v>0</v>
      </c>
    </row>
    <row r="39" customFormat="false" ht="15" hidden="false" customHeight="false" outlineLevel="0" collapsed="false">
      <c r="A39" s="8" t="s">
        <v>87</v>
      </c>
      <c r="B39" s="8" t="n">
        <v>476061</v>
      </c>
      <c r="C39" s="8" t="s">
        <v>467</v>
      </c>
      <c r="D39" s="8" t="s">
        <v>468</v>
      </c>
      <c r="E39" s="8" t="n">
        <v>10</v>
      </c>
      <c r="F39" s="11" t="n">
        <f aca="false">SUMIFS(Itens!$I:$I,Itens!$C:$C,A39,Itens!$A:$A,C39)</f>
        <v>0</v>
      </c>
      <c r="G39" s="11" t="n">
        <f aca="false">SUMIFS(Itens!$J:$J,Itens!$C:$C,A39,Itens!$A:$A,C39)</f>
        <v>0</v>
      </c>
      <c r="H39" s="11" t="n">
        <f aca="false">SUMIFS(Itens!$K:$K,Itens!$C:$C,A39,Itens!$A:$A,C39)</f>
        <v>10</v>
      </c>
    </row>
    <row r="40" customFormat="false" ht="15" hidden="false" customHeight="false" outlineLevel="0" collapsed="false">
      <c r="A40" s="8" t="s">
        <v>87</v>
      </c>
      <c r="B40" s="8" t="n">
        <v>476065</v>
      </c>
      <c r="C40" s="8" t="s">
        <v>435</v>
      </c>
      <c r="D40" s="8" t="s">
        <v>436</v>
      </c>
      <c r="E40" s="8" t="n">
        <v>20</v>
      </c>
      <c r="F40" s="11" t="n">
        <f aca="false">SUMIFS(Itens!$I:$I,Itens!$C:$C,A40,Itens!$A:$A,C40)</f>
        <v>0</v>
      </c>
      <c r="G40" s="11" t="n">
        <f aca="false">SUMIFS(Itens!$J:$J,Itens!$C:$C,A40,Itens!$A:$A,C40)</f>
        <v>10</v>
      </c>
      <c r="H40" s="11" t="n">
        <f aca="false">SUMIFS(Itens!$K:$K,Itens!$C:$C,A40,Itens!$A:$A,C40)</f>
        <v>10</v>
      </c>
    </row>
    <row r="41" customFormat="false" ht="15" hidden="false" customHeight="false" outlineLevel="0" collapsed="false">
      <c r="A41" s="8" t="s">
        <v>87</v>
      </c>
      <c r="B41" s="8" t="n">
        <v>476061</v>
      </c>
      <c r="C41" s="8" t="s">
        <v>455</v>
      </c>
      <c r="D41" s="8" t="s">
        <v>456</v>
      </c>
      <c r="E41" s="8" t="n">
        <v>10</v>
      </c>
      <c r="F41" s="11" t="n">
        <f aca="false">SUMIFS(Itens!$I:$I,Itens!$C:$C,A41,Itens!$A:$A,C41)</f>
        <v>10</v>
      </c>
      <c r="G41" s="11" t="n">
        <f aca="false">SUMIFS(Itens!$J:$J,Itens!$C:$C,A41,Itens!$A:$A,C41)</f>
        <v>0</v>
      </c>
      <c r="H41" s="11" t="n">
        <f aca="false">SUMIFS(Itens!$K:$K,Itens!$C:$C,A41,Itens!$A:$A,C41)</f>
        <v>0</v>
      </c>
    </row>
    <row r="42" customFormat="false" ht="15" hidden="false" customHeight="false" outlineLevel="0" collapsed="false">
      <c r="A42" s="8" t="s">
        <v>87</v>
      </c>
      <c r="B42" s="8" t="n">
        <v>476043</v>
      </c>
      <c r="C42" s="8" t="s">
        <v>463</v>
      </c>
      <c r="D42" s="8" t="s">
        <v>464</v>
      </c>
      <c r="E42" s="8" t="n">
        <v>22</v>
      </c>
      <c r="F42" s="11" t="n">
        <f aca="false">SUMIFS(Itens!$I:$I,Itens!$C:$C,A42,Itens!$A:$A,C42)</f>
        <v>22</v>
      </c>
      <c r="G42" s="11" t="n">
        <f aca="false">SUMIFS(Itens!$J:$J,Itens!$C:$C,A42,Itens!$A:$A,C42)</f>
        <v>0</v>
      </c>
      <c r="H42" s="11" t="n">
        <f aca="false">SUMIFS(Itens!$K:$K,Itens!$C:$C,A42,Itens!$A:$A,C42)</f>
        <v>0</v>
      </c>
    </row>
    <row r="43" customFormat="false" ht="15" hidden="false" customHeight="false" outlineLevel="0" collapsed="false">
      <c r="A43" s="8" t="s">
        <v>88</v>
      </c>
      <c r="B43" s="8" t="n">
        <v>476061</v>
      </c>
      <c r="C43" s="8" t="s">
        <v>475</v>
      </c>
      <c r="D43" s="8" t="s">
        <v>476</v>
      </c>
      <c r="E43" s="8" t="n">
        <v>31</v>
      </c>
      <c r="F43" s="11" t="n">
        <f aca="false">SUMIFS(Itens!$I:$I,Itens!$C:$C,A43,Itens!$A:$A,C43)</f>
        <v>4</v>
      </c>
      <c r="G43" s="11" t="n">
        <f aca="false">SUMIFS(Itens!$J:$J,Itens!$C:$C,A43,Itens!$A:$A,C43)</f>
        <v>27</v>
      </c>
      <c r="H43" s="11" t="n">
        <f aca="false">SUMIFS(Itens!$K:$K,Itens!$C:$C,A43,Itens!$A:$A,C43)</f>
        <v>0</v>
      </c>
    </row>
    <row r="44" customFormat="false" ht="15" hidden="false" customHeight="false" outlineLevel="0" collapsed="false">
      <c r="A44" s="8" t="s">
        <v>88</v>
      </c>
      <c r="B44" s="8" t="n">
        <v>476065</v>
      </c>
      <c r="C44" s="8" t="s">
        <v>449</v>
      </c>
      <c r="D44" s="8" t="s">
        <v>450</v>
      </c>
      <c r="E44" s="8" t="n">
        <v>3</v>
      </c>
      <c r="F44" s="11" t="n">
        <f aca="false">SUMIFS(Itens!$I:$I,Itens!$C:$C,A44,Itens!$A:$A,C44)</f>
        <v>0</v>
      </c>
      <c r="G44" s="11" t="n">
        <f aca="false">SUMIFS(Itens!$J:$J,Itens!$C:$C,A44,Itens!$A:$A,C44)</f>
        <v>0</v>
      </c>
      <c r="H44" s="11" t="n">
        <f aca="false">SUMIFS(Itens!$K:$K,Itens!$C:$C,A44,Itens!$A:$A,C44)</f>
        <v>3</v>
      </c>
    </row>
    <row r="45" customFormat="false" ht="15" hidden="false" customHeight="false" outlineLevel="0" collapsed="false">
      <c r="A45" s="8" t="s">
        <v>88</v>
      </c>
      <c r="B45" s="8" t="n">
        <v>476061</v>
      </c>
      <c r="C45" s="8" t="s">
        <v>455</v>
      </c>
      <c r="D45" s="8" t="s">
        <v>456</v>
      </c>
      <c r="E45" s="8" t="n">
        <v>10</v>
      </c>
      <c r="F45" s="11" t="n">
        <f aca="false">SUMIFS(Itens!$I:$I,Itens!$C:$C,A45,Itens!$A:$A,C45)</f>
        <v>10</v>
      </c>
      <c r="G45" s="11" t="n">
        <f aca="false">SUMIFS(Itens!$J:$J,Itens!$C:$C,A45,Itens!$A:$A,C45)</f>
        <v>0</v>
      </c>
      <c r="H45" s="11" t="n">
        <f aca="false">SUMIFS(Itens!$K:$K,Itens!$C:$C,A45,Itens!$A:$A,C45)</f>
        <v>0</v>
      </c>
    </row>
    <row r="46" customFormat="false" ht="15" hidden="false" customHeight="false" outlineLevel="0" collapsed="false">
      <c r="A46" s="8" t="s">
        <v>88</v>
      </c>
      <c r="B46" s="8" t="n">
        <v>476065</v>
      </c>
      <c r="C46" s="8" t="s">
        <v>439</v>
      </c>
      <c r="D46" s="8" t="s">
        <v>440</v>
      </c>
      <c r="E46" s="8" t="n">
        <v>14</v>
      </c>
      <c r="F46" s="11" t="n">
        <f aca="false">SUMIFS(Itens!$I:$I,Itens!$C:$C,A46,Itens!$A:$A,C46)</f>
        <v>0</v>
      </c>
      <c r="G46" s="11" t="n">
        <f aca="false">SUMIFS(Itens!$J:$J,Itens!$C:$C,A46,Itens!$A:$A,C46)</f>
        <v>0</v>
      </c>
      <c r="H46" s="11" t="n">
        <f aca="false">SUMIFS(Itens!$K:$K,Itens!$C:$C,A46,Itens!$A:$A,C46)</f>
        <v>14</v>
      </c>
    </row>
    <row r="47" customFormat="false" ht="15" hidden="false" customHeight="false" outlineLevel="0" collapsed="false">
      <c r="A47" s="8" t="s">
        <v>88</v>
      </c>
      <c r="B47" s="8" t="n">
        <v>476043</v>
      </c>
      <c r="C47" s="8" t="s">
        <v>459</v>
      </c>
      <c r="D47" s="8" t="s">
        <v>460</v>
      </c>
      <c r="E47" s="8" t="n">
        <v>23</v>
      </c>
      <c r="F47" s="11" t="n">
        <f aca="false">SUMIFS(Itens!$I:$I,Itens!$C:$C,A47,Itens!$A:$A,C47)</f>
        <v>0</v>
      </c>
      <c r="G47" s="11" t="n">
        <f aca="false">SUMIFS(Itens!$J:$J,Itens!$C:$C,A47,Itens!$A:$A,C47)</f>
        <v>23</v>
      </c>
      <c r="H47" s="11" t="n">
        <f aca="false">SUMIFS(Itens!$K:$K,Itens!$C:$C,A47,Itens!$A:$A,C47)</f>
        <v>0</v>
      </c>
    </row>
    <row r="48" customFormat="false" ht="15" hidden="false" customHeight="false" outlineLevel="0" collapsed="false">
      <c r="A48" s="8" t="s">
        <v>88</v>
      </c>
      <c r="B48" s="8" t="n">
        <v>476065</v>
      </c>
      <c r="C48" s="8" t="s">
        <v>437</v>
      </c>
      <c r="D48" s="8" t="s">
        <v>438</v>
      </c>
      <c r="E48" s="8" t="n">
        <v>30</v>
      </c>
      <c r="F48" s="11" t="n">
        <f aca="false">SUMIFS(Itens!$I:$I,Itens!$C:$C,A48,Itens!$A:$A,C48)</f>
        <v>0</v>
      </c>
      <c r="G48" s="11" t="n">
        <f aca="false">SUMIFS(Itens!$J:$J,Itens!$C:$C,A48,Itens!$A:$A,C48)</f>
        <v>30</v>
      </c>
      <c r="H48" s="11" t="n">
        <f aca="false">SUMIFS(Itens!$K:$K,Itens!$C:$C,A48,Itens!$A:$A,C48)</f>
        <v>0</v>
      </c>
    </row>
    <row r="49" customFormat="false" ht="15" hidden="false" customHeight="false" outlineLevel="0" collapsed="false">
      <c r="A49" s="8" t="s">
        <v>88</v>
      </c>
      <c r="B49" s="8" t="n">
        <v>476043</v>
      </c>
      <c r="C49" s="8" t="s">
        <v>433</v>
      </c>
      <c r="D49" s="8" t="s">
        <v>434</v>
      </c>
      <c r="E49" s="8" t="n">
        <v>18</v>
      </c>
      <c r="F49" s="11" t="n">
        <f aca="false">SUMIFS(Itens!$I:$I,Itens!$C:$C,A49,Itens!$A:$A,C49)</f>
        <v>0</v>
      </c>
      <c r="G49" s="11" t="n">
        <f aca="false">SUMIFS(Itens!$J:$J,Itens!$C:$C,A49,Itens!$A:$A,C49)</f>
        <v>18</v>
      </c>
      <c r="H49" s="11" t="n">
        <f aca="false">SUMIFS(Itens!$K:$K,Itens!$C:$C,A49,Itens!$A:$A,C49)</f>
        <v>0</v>
      </c>
    </row>
    <row r="50" customFormat="false" ht="15" hidden="false" customHeight="false" outlineLevel="0" collapsed="false">
      <c r="A50" s="8" t="s">
        <v>90</v>
      </c>
      <c r="B50" s="8" t="n">
        <v>476065</v>
      </c>
      <c r="C50" s="8" t="s">
        <v>429</v>
      </c>
      <c r="D50" s="8" t="s">
        <v>430</v>
      </c>
      <c r="E50" s="8" t="n">
        <v>8</v>
      </c>
      <c r="F50" s="11" t="n">
        <f aca="false">SUMIFS(Itens!$I:$I,Itens!$C:$C,A50,Itens!$A:$A,C50)</f>
        <v>0</v>
      </c>
      <c r="G50" s="11" t="n">
        <f aca="false">SUMIFS(Itens!$J:$J,Itens!$C:$C,A50,Itens!$A:$A,C50)</f>
        <v>0</v>
      </c>
      <c r="H50" s="11" t="n">
        <f aca="false">SUMIFS(Itens!$K:$K,Itens!$C:$C,A50,Itens!$A:$A,C50)</f>
        <v>8</v>
      </c>
    </row>
    <row r="51" customFormat="false" ht="15" hidden="false" customHeight="false" outlineLevel="0" collapsed="false">
      <c r="A51" s="8" t="s">
        <v>90</v>
      </c>
      <c r="B51" s="8" t="n">
        <v>476061</v>
      </c>
      <c r="C51" s="8" t="s">
        <v>477</v>
      </c>
      <c r="D51" s="8" t="s">
        <v>478</v>
      </c>
      <c r="E51" s="8" t="n">
        <v>44</v>
      </c>
      <c r="F51" s="11" t="n">
        <f aca="false">SUMIFS(Itens!$I:$I,Itens!$C:$C,A51,Itens!$A:$A,C51)</f>
        <v>0</v>
      </c>
      <c r="G51" s="11" t="n">
        <f aca="false">SUMIFS(Itens!$J:$J,Itens!$C:$C,A51,Itens!$A:$A,C51)</f>
        <v>10</v>
      </c>
      <c r="H51" s="11" t="n">
        <f aca="false">SUMIFS(Itens!$K:$K,Itens!$C:$C,A51,Itens!$A:$A,C51)</f>
        <v>34</v>
      </c>
    </row>
    <row r="52" customFormat="false" ht="15" hidden="false" customHeight="false" outlineLevel="0" collapsed="false">
      <c r="A52" s="8" t="s">
        <v>90</v>
      </c>
      <c r="B52" s="8" t="n">
        <v>476065</v>
      </c>
      <c r="C52" s="8" t="s">
        <v>453</v>
      </c>
      <c r="D52" s="8" t="s">
        <v>454</v>
      </c>
      <c r="E52" s="8" t="n">
        <v>21</v>
      </c>
      <c r="F52" s="11" t="n">
        <f aca="false">SUMIFS(Itens!$I:$I,Itens!$C:$C,A52,Itens!$A:$A,C52)</f>
        <v>0</v>
      </c>
      <c r="G52" s="11" t="n">
        <f aca="false">SUMIFS(Itens!$J:$J,Itens!$C:$C,A52,Itens!$A:$A,C52)</f>
        <v>0</v>
      </c>
      <c r="H52" s="11" t="n">
        <f aca="false">SUMIFS(Itens!$K:$K,Itens!$C:$C,A52,Itens!$A:$A,C52)</f>
        <v>21</v>
      </c>
    </row>
    <row r="53" customFormat="false" ht="15" hidden="false" customHeight="false" outlineLevel="0" collapsed="false">
      <c r="A53" s="8" t="s">
        <v>90</v>
      </c>
      <c r="B53" s="8" t="n">
        <v>476043</v>
      </c>
      <c r="C53" s="8" t="s">
        <v>479</v>
      </c>
      <c r="D53" s="8" t="s">
        <v>480</v>
      </c>
      <c r="E53" s="8" t="n">
        <v>36</v>
      </c>
      <c r="F53" s="11" t="n">
        <f aca="false">SUMIFS(Itens!$I:$I,Itens!$C:$C,A53,Itens!$A:$A,C53)</f>
        <v>0</v>
      </c>
      <c r="G53" s="11" t="n">
        <f aca="false">SUMIFS(Itens!$J:$J,Itens!$C:$C,A53,Itens!$A:$A,C53)</f>
        <v>20</v>
      </c>
      <c r="H53" s="11" t="n">
        <f aca="false">SUMIFS(Itens!$K:$K,Itens!$C:$C,A53,Itens!$A:$A,C53)</f>
        <v>16</v>
      </c>
    </row>
    <row r="54" customFormat="false" ht="15" hidden="false" customHeight="false" outlineLevel="0" collapsed="false">
      <c r="A54" s="8" t="s">
        <v>90</v>
      </c>
      <c r="B54" s="8" t="n">
        <v>476065</v>
      </c>
      <c r="C54" s="8" t="s">
        <v>445</v>
      </c>
      <c r="D54" s="8" t="s">
        <v>446</v>
      </c>
      <c r="E54" s="8" t="n">
        <v>10</v>
      </c>
      <c r="F54" s="11" t="n">
        <f aca="false">SUMIFS(Itens!$I:$I,Itens!$C:$C,A54,Itens!$A:$A,C54)</f>
        <v>10</v>
      </c>
      <c r="G54" s="11" t="n">
        <f aca="false">SUMIFS(Itens!$J:$J,Itens!$C:$C,A54,Itens!$A:$A,C54)</f>
        <v>0</v>
      </c>
      <c r="H54" s="11" t="n">
        <f aca="false">SUMIFS(Itens!$K:$K,Itens!$C:$C,A54,Itens!$A:$A,C54)</f>
        <v>0</v>
      </c>
    </row>
    <row r="55" customFormat="false" ht="15" hidden="false" customHeight="false" outlineLevel="0" collapsed="false">
      <c r="A55" s="8" t="s">
        <v>104</v>
      </c>
      <c r="B55" s="8" t="n">
        <v>476065</v>
      </c>
      <c r="C55" s="8" t="s">
        <v>481</v>
      </c>
      <c r="D55" s="8" t="s">
        <v>482</v>
      </c>
      <c r="E55" s="8" t="n">
        <v>7</v>
      </c>
      <c r="F55" s="11" t="n">
        <f aca="false">SUMIFS(Itens!$I:$I,Itens!$C:$C,A55,Itens!$A:$A,C55)</f>
        <v>0</v>
      </c>
      <c r="G55" s="11" t="n">
        <f aca="false">SUMIFS(Itens!$J:$J,Itens!$C:$C,A55,Itens!$A:$A,C55)</f>
        <v>0</v>
      </c>
      <c r="H55" s="11" t="n">
        <f aca="false">SUMIFS(Itens!$K:$K,Itens!$C:$C,A55,Itens!$A:$A,C55)</f>
        <v>7</v>
      </c>
    </row>
    <row r="56" customFormat="false" ht="15" hidden="false" customHeight="false" outlineLevel="0" collapsed="false">
      <c r="A56" s="8" t="s">
        <v>104</v>
      </c>
      <c r="B56" s="8" t="n">
        <v>476043</v>
      </c>
      <c r="C56" s="8" t="s">
        <v>485</v>
      </c>
      <c r="D56" s="8" t="s">
        <v>486</v>
      </c>
      <c r="E56" s="8" t="n">
        <v>20</v>
      </c>
      <c r="F56" s="11" t="n">
        <f aca="false">SUMIFS(Itens!$I:$I,Itens!$C:$C,A56,Itens!$A:$A,C56)</f>
        <v>0</v>
      </c>
      <c r="G56" s="11" t="n">
        <f aca="false">SUMIFS(Itens!$J:$J,Itens!$C:$C,A56,Itens!$A:$A,C56)</f>
        <v>12</v>
      </c>
      <c r="H56" s="11" t="n">
        <f aca="false">SUMIFS(Itens!$K:$K,Itens!$C:$C,A56,Itens!$A:$A,C56)</f>
        <v>8</v>
      </c>
    </row>
    <row r="57" customFormat="false" ht="15" hidden="false" customHeight="false" outlineLevel="0" collapsed="false">
      <c r="A57" s="8" t="s">
        <v>104</v>
      </c>
      <c r="B57" s="8" t="n">
        <v>476061</v>
      </c>
      <c r="C57" s="8" t="s">
        <v>491</v>
      </c>
      <c r="D57" s="8" t="s">
        <v>492</v>
      </c>
      <c r="E57" s="8" t="n">
        <v>40</v>
      </c>
      <c r="F57" s="11" t="n">
        <f aca="false">SUMIFS(Itens!$I:$I,Itens!$C:$C,A57,Itens!$A:$A,C57)</f>
        <v>0</v>
      </c>
      <c r="G57" s="11" t="n">
        <f aca="false">SUMIFS(Itens!$J:$J,Itens!$C:$C,A57,Itens!$A:$A,C57)</f>
        <v>40</v>
      </c>
      <c r="H57" s="11" t="n">
        <f aca="false">SUMIFS(Itens!$K:$K,Itens!$C:$C,A57,Itens!$A:$A,C57)</f>
        <v>0</v>
      </c>
    </row>
    <row r="58" customFormat="false" ht="15" hidden="false" customHeight="false" outlineLevel="0" collapsed="false">
      <c r="A58" s="8" t="s">
        <v>107</v>
      </c>
      <c r="B58" s="8" t="n">
        <v>476065</v>
      </c>
      <c r="C58" s="8" t="s">
        <v>481</v>
      </c>
      <c r="D58" s="8" t="s">
        <v>482</v>
      </c>
      <c r="E58" s="8" t="n">
        <v>7</v>
      </c>
      <c r="F58" s="11" t="n">
        <f aca="false">SUMIFS(Itens!$I:$I,Itens!$C:$C,A58,Itens!$A:$A,C58)</f>
        <v>0</v>
      </c>
      <c r="G58" s="11" t="n">
        <f aca="false">SUMIFS(Itens!$J:$J,Itens!$C:$C,A58,Itens!$A:$A,C58)</f>
        <v>0</v>
      </c>
      <c r="H58" s="11" t="n">
        <f aca="false">SUMIFS(Itens!$K:$K,Itens!$C:$C,A58,Itens!$A:$A,C58)</f>
        <v>7</v>
      </c>
    </row>
    <row r="59" customFormat="false" ht="15" hidden="false" customHeight="false" outlineLevel="0" collapsed="false">
      <c r="A59" s="8" t="s">
        <v>107</v>
      </c>
      <c r="B59" s="8" t="n">
        <v>476043</v>
      </c>
      <c r="C59" s="8" t="s">
        <v>485</v>
      </c>
      <c r="D59" s="8" t="s">
        <v>486</v>
      </c>
      <c r="E59" s="8" t="n">
        <v>20</v>
      </c>
      <c r="F59" s="11" t="n">
        <f aca="false">SUMIFS(Itens!$I:$I,Itens!$C:$C,A59,Itens!$A:$A,C59)</f>
        <v>0</v>
      </c>
      <c r="G59" s="11" t="n">
        <f aca="false">SUMIFS(Itens!$J:$J,Itens!$C:$C,A59,Itens!$A:$A,C59)</f>
        <v>0</v>
      </c>
      <c r="H59" s="11" t="n">
        <f aca="false">SUMIFS(Itens!$K:$K,Itens!$C:$C,A59,Itens!$A:$A,C59)</f>
        <v>20</v>
      </c>
    </row>
    <row r="60" customFormat="false" ht="15" hidden="false" customHeight="false" outlineLevel="0" collapsed="false">
      <c r="A60" s="8" t="s">
        <v>107</v>
      </c>
      <c r="B60" s="8" t="n">
        <v>476061</v>
      </c>
      <c r="C60" s="8" t="s">
        <v>491</v>
      </c>
      <c r="D60" s="8" t="s">
        <v>492</v>
      </c>
      <c r="E60" s="8" t="n">
        <v>40</v>
      </c>
      <c r="F60" s="11" t="n">
        <f aca="false">SUMIFS(Itens!$I:$I,Itens!$C:$C,A60,Itens!$A:$A,C60)</f>
        <v>0</v>
      </c>
      <c r="G60" s="11" t="n">
        <f aca="false">SUMIFS(Itens!$J:$J,Itens!$C:$C,A60,Itens!$A:$A,C60)</f>
        <v>40</v>
      </c>
      <c r="H60" s="11" t="n">
        <f aca="false">SUMIFS(Itens!$K:$K,Itens!$C:$C,A60,Itens!$A:$A,C60)</f>
        <v>0</v>
      </c>
    </row>
    <row r="61" customFormat="false" ht="15" hidden="false" customHeight="false" outlineLevel="0" collapsed="false">
      <c r="A61" s="8" t="s">
        <v>108</v>
      </c>
      <c r="B61" s="8" t="n">
        <v>476065</v>
      </c>
      <c r="C61" s="8" t="s">
        <v>481</v>
      </c>
      <c r="D61" s="8" t="s">
        <v>482</v>
      </c>
      <c r="E61" s="8" t="n">
        <v>7</v>
      </c>
      <c r="F61" s="11" t="n">
        <f aca="false">SUMIFS(Itens!$I:$I,Itens!$C:$C,A61,Itens!$A:$A,C61)</f>
        <v>0</v>
      </c>
      <c r="G61" s="11" t="n">
        <f aca="false">SUMIFS(Itens!$J:$J,Itens!$C:$C,A61,Itens!$A:$A,C61)</f>
        <v>7</v>
      </c>
      <c r="H61" s="11" t="n">
        <f aca="false">SUMIFS(Itens!$K:$K,Itens!$C:$C,A61,Itens!$A:$A,C61)</f>
        <v>0</v>
      </c>
    </row>
    <row r="62" customFormat="false" ht="15" hidden="false" customHeight="false" outlineLevel="0" collapsed="false">
      <c r="A62" s="8" t="s">
        <v>108</v>
      </c>
      <c r="B62" s="8" t="n">
        <v>476061</v>
      </c>
      <c r="C62" s="8" t="s">
        <v>491</v>
      </c>
      <c r="D62" s="8" t="s">
        <v>492</v>
      </c>
      <c r="E62" s="8" t="n">
        <v>40</v>
      </c>
      <c r="F62" s="11" t="n">
        <f aca="false">SUMIFS(Itens!$I:$I,Itens!$C:$C,A62,Itens!$A:$A,C62)</f>
        <v>13</v>
      </c>
      <c r="G62" s="11" t="n">
        <f aca="false">SUMIFS(Itens!$J:$J,Itens!$C:$C,A62,Itens!$A:$A,C62)</f>
        <v>10</v>
      </c>
      <c r="H62" s="11" t="n">
        <f aca="false">SUMIFS(Itens!$K:$K,Itens!$C:$C,A62,Itens!$A:$A,C62)</f>
        <v>17</v>
      </c>
    </row>
    <row r="63" customFormat="false" ht="15" hidden="false" customHeight="false" outlineLevel="0" collapsed="false">
      <c r="A63" s="8" t="s">
        <v>108</v>
      </c>
      <c r="B63" s="8" t="n">
        <v>476043</v>
      </c>
      <c r="C63" s="8" t="s">
        <v>493</v>
      </c>
      <c r="D63" s="8" t="s">
        <v>494</v>
      </c>
      <c r="E63" s="8" t="n">
        <v>32</v>
      </c>
      <c r="F63" s="11" t="n">
        <f aca="false">SUMIFS(Itens!$I:$I,Itens!$C:$C,A63,Itens!$A:$A,C63)</f>
        <v>0</v>
      </c>
      <c r="G63" s="11" t="n">
        <f aca="false">SUMIFS(Itens!$J:$J,Itens!$C:$C,A63,Itens!$A:$A,C63)</f>
        <v>30</v>
      </c>
      <c r="H63" s="11" t="n">
        <f aca="false">SUMIFS(Itens!$K:$K,Itens!$C:$C,A63,Itens!$A:$A,C63)</f>
        <v>2</v>
      </c>
    </row>
    <row r="64" customFormat="false" ht="15" hidden="false" customHeight="false" outlineLevel="0" collapsed="false">
      <c r="A64" s="8" t="s">
        <v>111</v>
      </c>
      <c r="B64" s="8" t="n">
        <v>476065</v>
      </c>
      <c r="C64" s="8" t="s">
        <v>481</v>
      </c>
      <c r="D64" s="8" t="s">
        <v>482</v>
      </c>
      <c r="E64" s="8" t="n">
        <v>7</v>
      </c>
      <c r="F64" s="11" t="n">
        <f aca="false">SUMIFS(Itens!$I:$I,Itens!$C:$C,A64,Itens!$A:$A,C64)</f>
        <v>0</v>
      </c>
      <c r="G64" s="11" t="n">
        <f aca="false">SUMIFS(Itens!$J:$J,Itens!$C:$C,A64,Itens!$A:$A,C64)</f>
        <v>0</v>
      </c>
      <c r="H64" s="11" t="n">
        <f aca="false">SUMIFS(Itens!$K:$K,Itens!$C:$C,A64,Itens!$A:$A,C64)</f>
        <v>7</v>
      </c>
    </row>
    <row r="65" customFormat="false" ht="15" hidden="false" customHeight="false" outlineLevel="0" collapsed="false">
      <c r="A65" s="8" t="s">
        <v>111</v>
      </c>
      <c r="B65" s="8" t="n">
        <v>476043</v>
      </c>
      <c r="C65" s="8" t="s">
        <v>483</v>
      </c>
      <c r="D65" s="8" t="s">
        <v>484</v>
      </c>
      <c r="E65" s="8" t="n">
        <v>30</v>
      </c>
      <c r="F65" s="11" t="n">
        <f aca="false">SUMIFS(Itens!$I:$I,Itens!$C:$C,A65,Itens!$A:$A,C65)</f>
        <v>10</v>
      </c>
      <c r="G65" s="11" t="n">
        <f aca="false">SUMIFS(Itens!$J:$J,Itens!$C:$C,A65,Itens!$A:$A,C65)</f>
        <v>11</v>
      </c>
      <c r="H65" s="11" t="n">
        <f aca="false">SUMIFS(Itens!$K:$K,Itens!$C:$C,A65,Itens!$A:$A,C65)</f>
        <v>9</v>
      </c>
    </row>
    <row r="66" customFormat="false" ht="15" hidden="false" customHeight="false" outlineLevel="0" collapsed="false">
      <c r="A66" s="8" t="s">
        <v>111</v>
      </c>
      <c r="B66" s="8" t="n">
        <v>476061</v>
      </c>
      <c r="C66" s="8" t="s">
        <v>495</v>
      </c>
      <c r="D66" s="8" t="s">
        <v>496</v>
      </c>
      <c r="E66" s="8" t="n">
        <v>22</v>
      </c>
      <c r="F66" s="11" t="n">
        <f aca="false">SUMIFS(Itens!$I:$I,Itens!$C:$C,A66,Itens!$A:$A,C66)</f>
        <v>0</v>
      </c>
      <c r="G66" s="11" t="n">
        <f aca="false">SUMIFS(Itens!$J:$J,Itens!$C:$C,A66,Itens!$A:$A,C66)</f>
        <v>8</v>
      </c>
      <c r="H66" s="11" t="n">
        <f aca="false">SUMIFS(Itens!$K:$K,Itens!$C:$C,A66,Itens!$A:$A,C66)</f>
        <v>14</v>
      </c>
    </row>
    <row r="67" customFormat="false" ht="15" hidden="false" customHeight="false" outlineLevel="0" collapsed="false">
      <c r="A67" s="8" t="s">
        <v>148</v>
      </c>
      <c r="B67" s="8" t="n">
        <v>476061</v>
      </c>
      <c r="C67" s="8" t="s">
        <v>503</v>
      </c>
      <c r="D67" s="8" t="s">
        <v>504</v>
      </c>
      <c r="E67" s="8" t="n">
        <v>8</v>
      </c>
      <c r="F67" s="11" t="n">
        <f aca="false">SUMIFS(Itens!$I:$I,Itens!$C:$C,A67,Itens!$A:$A,C67)</f>
        <v>3</v>
      </c>
      <c r="G67" s="11" t="n">
        <f aca="false">SUMIFS(Itens!$J:$J,Itens!$C:$C,A67,Itens!$A:$A,C67)</f>
        <v>0</v>
      </c>
      <c r="H67" s="11" t="n">
        <f aca="false">SUMIFS(Itens!$K:$K,Itens!$C:$C,A67,Itens!$A:$A,C67)</f>
        <v>5</v>
      </c>
    </row>
    <row r="68" customFormat="false" ht="15" hidden="false" customHeight="false" outlineLevel="0" collapsed="false">
      <c r="A68" s="8" t="s">
        <v>148</v>
      </c>
      <c r="B68" s="8" t="n">
        <v>476043</v>
      </c>
      <c r="C68" s="8" t="s">
        <v>499</v>
      </c>
      <c r="D68" s="8" t="s">
        <v>500</v>
      </c>
      <c r="E68" s="8" t="n">
        <v>5</v>
      </c>
      <c r="F68" s="11" t="n">
        <f aca="false">SUMIFS(Itens!$I:$I,Itens!$C:$C,A68,Itens!$A:$A,C68)</f>
        <v>0</v>
      </c>
      <c r="G68" s="11" t="n">
        <f aca="false">SUMIFS(Itens!$J:$J,Itens!$C:$C,A68,Itens!$A:$A,C68)</f>
        <v>3</v>
      </c>
      <c r="H68" s="11" t="n">
        <f aca="false">SUMIFS(Itens!$K:$K,Itens!$C:$C,A68,Itens!$A:$A,C68)</f>
        <v>2</v>
      </c>
    </row>
    <row r="69" customFormat="false" ht="15" hidden="false" customHeight="false" outlineLevel="0" collapsed="false">
      <c r="A69" s="8" t="s">
        <v>148</v>
      </c>
      <c r="B69" s="8" t="n">
        <v>476065</v>
      </c>
      <c r="C69" s="8" t="s">
        <v>505</v>
      </c>
      <c r="D69" s="8" t="s">
        <v>506</v>
      </c>
      <c r="E69" s="8" t="n">
        <v>24</v>
      </c>
      <c r="F69" s="11" t="n">
        <f aca="false">SUMIFS(Itens!$I:$I,Itens!$C:$C,A69,Itens!$A:$A,C69)</f>
        <v>8</v>
      </c>
      <c r="G69" s="11" t="n">
        <f aca="false">SUMIFS(Itens!$J:$J,Itens!$C:$C,A69,Itens!$A:$A,C69)</f>
        <v>13</v>
      </c>
      <c r="H69" s="11" t="n">
        <f aca="false">SUMIFS(Itens!$K:$K,Itens!$C:$C,A69,Itens!$A:$A,C69)</f>
        <v>3</v>
      </c>
    </row>
    <row r="70" customFormat="false" ht="15" hidden="false" customHeight="false" outlineLevel="0" collapsed="false">
      <c r="A70" s="8" t="s">
        <v>156</v>
      </c>
      <c r="B70" s="8" t="n">
        <v>476061</v>
      </c>
      <c r="C70" s="8" t="s">
        <v>509</v>
      </c>
      <c r="D70" s="8" t="s">
        <v>510</v>
      </c>
      <c r="E70" s="8" t="n">
        <v>38</v>
      </c>
      <c r="F70" s="11" t="n">
        <f aca="false">SUMIFS(Itens!$I:$I,Itens!$C:$C,A70,Itens!$A:$A,C70)</f>
        <v>0</v>
      </c>
      <c r="G70" s="11" t="n">
        <f aca="false">SUMIFS(Itens!$J:$J,Itens!$C:$C,A70,Itens!$A:$A,C70)</f>
        <v>17</v>
      </c>
      <c r="H70" s="11" t="n">
        <f aca="false">SUMIFS(Itens!$K:$K,Itens!$C:$C,A70,Itens!$A:$A,C70)</f>
        <v>21</v>
      </c>
    </row>
    <row r="71" customFormat="false" ht="15" hidden="false" customHeight="false" outlineLevel="0" collapsed="false">
      <c r="A71" s="8" t="s">
        <v>156</v>
      </c>
      <c r="B71" s="8" t="n">
        <v>476043</v>
      </c>
      <c r="C71" s="8" t="s">
        <v>499</v>
      </c>
      <c r="D71" s="8" t="s">
        <v>500</v>
      </c>
      <c r="E71" s="8" t="n">
        <v>5</v>
      </c>
      <c r="F71" s="11" t="n">
        <f aca="false">SUMIFS(Itens!$I:$I,Itens!$C:$C,A71,Itens!$A:$A,C71)</f>
        <v>0</v>
      </c>
      <c r="G71" s="11" t="n">
        <f aca="false">SUMIFS(Itens!$J:$J,Itens!$C:$C,A71,Itens!$A:$A,C71)</f>
        <v>5</v>
      </c>
      <c r="H71" s="11" t="n">
        <f aca="false">SUMIFS(Itens!$K:$K,Itens!$C:$C,A71,Itens!$A:$A,C71)</f>
        <v>0</v>
      </c>
    </row>
    <row r="72" customFormat="false" ht="15" hidden="false" customHeight="false" outlineLevel="0" collapsed="false">
      <c r="A72" s="8" t="s">
        <v>156</v>
      </c>
      <c r="B72" s="8" t="n">
        <v>476065</v>
      </c>
      <c r="C72" s="8" t="s">
        <v>507</v>
      </c>
      <c r="D72" s="8" t="s">
        <v>508</v>
      </c>
      <c r="E72" s="8" t="n">
        <v>20</v>
      </c>
      <c r="F72" s="11" t="n">
        <f aca="false">SUMIFS(Itens!$I:$I,Itens!$C:$C,A72,Itens!$A:$A,C72)</f>
        <v>10</v>
      </c>
      <c r="G72" s="11" t="n">
        <f aca="false">SUMIFS(Itens!$J:$J,Itens!$C:$C,A72,Itens!$A:$A,C72)</f>
        <v>0</v>
      </c>
      <c r="H72" s="11" t="n">
        <f aca="false">SUMIFS(Itens!$K:$K,Itens!$C:$C,A72,Itens!$A:$A,C72)</f>
        <v>10</v>
      </c>
    </row>
    <row r="73" customFormat="false" ht="15" hidden="false" customHeight="false" outlineLevel="0" collapsed="false">
      <c r="A73" s="8" t="s">
        <v>159</v>
      </c>
      <c r="B73" s="8" t="n">
        <v>476061</v>
      </c>
      <c r="C73" s="8" t="s">
        <v>511</v>
      </c>
      <c r="D73" s="8" t="s">
        <v>512</v>
      </c>
      <c r="E73" s="8" t="n">
        <v>48</v>
      </c>
      <c r="F73" s="11" t="n">
        <f aca="false">SUMIFS(Itens!$I:$I,Itens!$C:$C,A73,Itens!$A:$A,C73)</f>
        <v>48</v>
      </c>
      <c r="G73" s="11" t="n">
        <f aca="false">SUMIFS(Itens!$J:$J,Itens!$C:$C,A73,Itens!$A:$A,C73)</f>
        <v>0</v>
      </c>
      <c r="H73" s="11" t="n">
        <f aca="false">SUMIFS(Itens!$K:$K,Itens!$C:$C,A73,Itens!$A:$A,C73)</f>
        <v>0</v>
      </c>
    </row>
    <row r="74" customFormat="false" ht="15" hidden="false" customHeight="false" outlineLevel="0" collapsed="false">
      <c r="A74" s="8" t="s">
        <v>159</v>
      </c>
      <c r="B74" s="8" t="n">
        <v>476043</v>
      </c>
      <c r="C74" s="8" t="s">
        <v>499</v>
      </c>
      <c r="D74" s="8" t="s">
        <v>500</v>
      </c>
      <c r="E74" s="8" t="n">
        <v>5</v>
      </c>
      <c r="F74" s="11" t="n">
        <f aca="false">SUMIFS(Itens!$I:$I,Itens!$C:$C,A74,Itens!$A:$A,C74)</f>
        <v>0</v>
      </c>
      <c r="G74" s="11" t="n">
        <f aca="false">SUMIFS(Itens!$J:$J,Itens!$C:$C,A74,Itens!$A:$A,C74)</f>
        <v>5</v>
      </c>
      <c r="H74" s="11" t="n">
        <f aca="false">SUMIFS(Itens!$K:$K,Itens!$C:$C,A74,Itens!$A:$A,C74)</f>
        <v>0</v>
      </c>
    </row>
    <row r="75" customFormat="false" ht="15" hidden="false" customHeight="false" outlineLevel="0" collapsed="false">
      <c r="A75" s="8" t="s">
        <v>159</v>
      </c>
      <c r="B75" s="8" t="n">
        <v>476065</v>
      </c>
      <c r="C75" s="8" t="s">
        <v>505</v>
      </c>
      <c r="D75" s="8" t="s">
        <v>506</v>
      </c>
      <c r="E75" s="8" t="n">
        <v>24</v>
      </c>
      <c r="F75" s="11" t="n">
        <f aca="false">SUMIFS(Itens!$I:$I,Itens!$C:$C,A75,Itens!$A:$A,C75)</f>
        <v>0</v>
      </c>
      <c r="G75" s="11" t="n">
        <f aca="false">SUMIFS(Itens!$J:$J,Itens!$C:$C,A75,Itens!$A:$A,C75)</f>
        <v>0</v>
      </c>
      <c r="H75" s="11" t="n">
        <f aca="false">SUMIFS(Itens!$K:$K,Itens!$C:$C,A75,Itens!$A:$A,C75)</f>
        <v>24</v>
      </c>
    </row>
    <row r="76" customFormat="false" ht="15" hidden="false" customHeight="false" outlineLevel="0" collapsed="false">
      <c r="A76" s="8" t="s">
        <v>163</v>
      </c>
      <c r="B76" s="8" t="n">
        <v>476061</v>
      </c>
      <c r="C76" s="8" t="s">
        <v>517</v>
      </c>
      <c r="D76" s="8" t="s">
        <v>518</v>
      </c>
      <c r="E76" s="8" t="n">
        <v>26</v>
      </c>
      <c r="F76" s="11" t="n">
        <f aca="false">SUMIFS(Itens!$I:$I,Itens!$C:$C,A76,Itens!$A:$A,C76)</f>
        <v>26</v>
      </c>
      <c r="G76" s="11" t="n">
        <f aca="false">SUMIFS(Itens!$J:$J,Itens!$C:$C,A76,Itens!$A:$A,C76)</f>
        <v>0</v>
      </c>
      <c r="H76" s="11" t="n">
        <f aca="false">SUMIFS(Itens!$K:$K,Itens!$C:$C,A76,Itens!$A:$A,C76)</f>
        <v>0</v>
      </c>
    </row>
    <row r="77" customFormat="false" ht="15" hidden="false" customHeight="false" outlineLevel="0" collapsed="false">
      <c r="A77" s="8" t="s">
        <v>163</v>
      </c>
      <c r="B77" s="8" t="n">
        <v>476043</v>
      </c>
      <c r="C77" s="8" t="s">
        <v>515</v>
      </c>
      <c r="D77" s="8" t="s">
        <v>516</v>
      </c>
      <c r="E77" s="8" t="n">
        <v>36</v>
      </c>
      <c r="F77" s="11" t="n">
        <f aca="false">SUMIFS(Itens!$I:$I,Itens!$C:$C,A77,Itens!$A:$A,C77)</f>
        <v>0</v>
      </c>
      <c r="G77" s="11" t="n">
        <f aca="false">SUMIFS(Itens!$J:$J,Itens!$C:$C,A77,Itens!$A:$A,C77)</f>
        <v>36</v>
      </c>
      <c r="H77" s="11" t="n">
        <f aca="false">SUMIFS(Itens!$K:$K,Itens!$C:$C,A77,Itens!$A:$A,C77)</f>
        <v>0</v>
      </c>
    </row>
    <row r="78" customFormat="false" ht="15" hidden="false" customHeight="false" outlineLevel="0" collapsed="false">
      <c r="A78" s="8" t="s">
        <v>163</v>
      </c>
      <c r="B78" s="8" t="n">
        <v>476065</v>
      </c>
      <c r="C78" s="8" t="s">
        <v>445</v>
      </c>
      <c r="D78" s="8" t="s">
        <v>446</v>
      </c>
      <c r="E78" s="8" t="n">
        <v>38</v>
      </c>
      <c r="F78" s="11" t="n">
        <f aca="false">SUMIFS(Itens!$I:$I,Itens!$C:$C,A78,Itens!$A:$A,C78)</f>
        <v>38</v>
      </c>
      <c r="G78" s="11" t="n">
        <f aca="false">SUMIFS(Itens!$J:$J,Itens!$C:$C,A78,Itens!$A:$A,C78)</f>
        <v>0</v>
      </c>
      <c r="H78" s="11" t="n">
        <f aca="false">SUMIFS(Itens!$K:$K,Itens!$C:$C,A78,Itens!$A:$A,C78)</f>
        <v>0</v>
      </c>
    </row>
    <row r="79" customFormat="false" ht="15" hidden="false" customHeight="false" outlineLevel="0" collapsed="false">
      <c r="A79" s="8" t="s">
        <v>164</v>
      </c>
      <c r="B79" s="8" t="n">
        <v>476061</v>
      </c>
      <c r="C79" s="8" t="s">
        <v>517</v>
      </c>
      <c r="D79" s="8" t="s">
        <v>518</v>
      </c>
      <c r="E79" s="8" t="n">
        <v>26</v>
      </c>
      <c r="F79" s="11" t="n">
        <f aca="false">SUMIFS(Itens!$I:$I,Itens!$C:$C,A79,Itens!$A:$A,C79)</f>
        <v>10</v>
      </c>
      <c r="G79" s="11" t="n">
        <f aca="false">SUMIFS(Itens!$J:$J,Itens!$C:$C,A79,Itens!$A:$A,C79)</f>
        <v>0</v>
      </c>
      <c r="H79" s="11" t="n">
        <f aca="false">SUMIFS(Itens!$K:$K,Itens!$C:$C,A79,Itens!$A:$A,C79)</f>
        <v>16</v>
      </c>
    </row>
    <row r="80" customFormat="false" ht="15" hidden="false" customHeight="false" outlineLevel="0" collapsed="false">
      <c r="A80" s="8" t="s">
        <v>164</v>
      </c>
      <c r="B80" s="8" t="n">
        <v>476043</v>
      </c>
      <c r="C80" s="8" t="s">
        <v>515</v>
      </c>
      <c r="D80" s="8" t="s">
        <v>516</v>
      </c>
      <c r="E80" s="8" t="n">
        <v>36</v>
      </c>
      <c r="F80" s="11" t="n">
        <f aca="false">SUMIFS(Itens!$I:$I,Itens!$C:$C,A80,Itens!$A:$A,C80)</f>
        <v>0</v>
      </c>
      <c r="G80" s="11" t="n">
        <f aca="false">SUMIFS(Itens!$J:$J,Itens!$C:$C,A80,Itens!$A:$A,C80)</f>
        <v>1</v>
      </c>
      <c r="H80" s="11" t="n">
        <f aca="false">SUMIFS(Itens!$K:$K,Itens!$C:$C,A80,Itens!$A:$A,C80)</f>
        <v>35</v>
      </c>
    </row>
    <row r="81" customFormat="false" ht="15" hidden="false" customHeight="false" outlineLevel="0" collapsed="false">
      <c r="A81" s="8" t="s">
        <v>171</v>
      </c>
      <c r="B81" s="8" t="n">
        <v>476061</v>
      </c>
      <c r="C81" s="8" t="s">
        <v>519</v>
      </c>
      <c r="D81" s="8" t="s">
        <v>520</v>
      </c>
      <c r="E81" s="8" t="n">
        <v>5</v>
      </c>
      <c r="F81" s="11" t="n">
        <f aca="false">SUMIFS(Itens!$I:$I,Itens!$C:$C,A81,Itens!$A:$A,C81)</f>
        <v>0</v>
      </c>
      <c r="G81" s="11" t="n">
        <f aca="false">SUMIFS(Itens!$J:$J,Itens!$C:$C,A81,Itens!$A:$A,C81)</f>
        <v>0</v>
      </c>
      <c r="H81" s="11" t="n">
        <f aca="false">SUMIFS(Itens!$K:$K,Itens!$C:$C,A81,Itens!$A:$A,C81)</f>
        <v>5</v>
      </c>
    </row>
    <row r="82" customFormat="false" ht="15" hidden="false" customHeight="false" outlineLevel="0" collapsed="false">
      <c r="A82" s="8" t="s">
        <v>171</v>
      </c>
      <c r="B82" s="8" t="n">
        <v>476065</v>
      </c>
      <c r="C82" s="8" t="s">
        <v>521</v>
      </c>
      <c r="D82" s="8" t="s">
        <v>522</v>
      </c>
      <c r="E82" s="8" t="n">
        <v>40</v>
      </c>
      <c r="F82" s="11" t="n">
        <f aca="false">SUMIFS(Itens!$I:$I,Itens!$C:$C,A82,Itens!$A:$A,C82)</f>
        <v>0</v>
      </c>
      <c r="G82" s="11" t="n">
        <f aca="false">SUMIFS(Itens!$J:$J,Itens!$C:$C,A82,Itens!$A:$A,C82)</f>
        <v>6</v>
      </c>
      <c r="H82" s="11" t="n">
        <f aca="false">SUMIFS(Itens!$K:$K,Itens!$C:$C,A82,Itens!$A:$A,C82)</f>
        <v>34</v>
      </c>
    </row>
    <row r="83" customFormat="false" ht="15" hidden="false" customHeight="false" outlineLevel="0" collapsed="false">
      <c r="A83" s="8" t="s">
        <v>171</v>
      </c>
      <c r="B83" s="8" t="n">
        <v>476043</v>
      </c>
      <c r="C83" s="8" t="s">
        <v>525</v>
      </c>
      <c r="D83" s="8" t="s">
        <v>526</v>
      </c>
      <c r="E83" s="8" t="n">
        <v>22</v>
      </c>
      <c r="F83" s="11" t="n">
        <f aca="false">SUMIFS(Itens!$I:$I,Itens!$C:$C,A83,Itens!$A:$A,C83)</f>
        <v>0</v>
      </c>
      <c r="G83" s="11" t="n">
        <f aca="false">SUMIFS(Itens!$J:$J,Itens!$C:$C,A83,Itens!$A:$A,C83)</f>
        <v>22</v>
      </c>
      <c r="H83" s="11" t="n">
        <f aca="false">SUMIFS(Itens!$K:$K,Itens!$C:$C,A83,Itens!$A:$A,C83)</f>
        <v>0</v>
      </c>
    </row>
    <row r="84" customFormat="false" ht="15" hidden="false" customHeight="false" outlineLevel="0" collapsed="false">
      <c r="A84" s="8" t="s">
        <v>173</v>
      </c>
      <c r="B84" s="8" t="n">
        <v>476061</v>
      </c>
      <c r="C84" s="8" t="s">
        <v>519</v>
      </c>
      <c r="D84" s="8" t="s">
        <v>520</v>
      </c>
      <c r="E84" s="8" t="n">
        <v>5</v>
      </c>
      <c r="F84" s="11" t="n">
        <f aca="false">SUMIFS(Itens!$I:$I,Itens!$C:$C,A84,Itens!$A:$A,C84)</f>
        <v>5</v>
      </c>
      <c r="G84" s="11" t="n">
        <f aca="false">SUMIFS(Itens!$J:$J,Itens!$C:$C,A84,Itens!$A:$A,C84)</f>
        <v>0</v>
      </c>
      <c r="H84" s="11" t="n">
        <f aca="false">SUMIFS(Itens!$K:$K,Itens!$C:$C,A84,Itens!$A:$A,C84)</f>
        <v>0</v>
      </c>
    </row>
    <row r="85" customFormat="false" ht="15" hidden="false" customHeight="false" outlineLevel="0" collapsed="false">
      <c r="A85" s="8" t="s">
        <v>173</v>
      </c>
      <c r="B85" s="8" t="n">
        <v>476065</v>
      </c>
      <c r="C85" s="8" t="s">
        <v>521</v>
      </c>
      <c r="D85" s="8" t="s">
        <v>522</v>
      </c>
      <c r="E85" s="8" t="n">
        <v>40</v>
      </c>
      <c r="F85" s="11" t="n">
        <f aca="false">SUMIFS(Itens!$I:$I,Itens!$C:$C,A85,Itens!$A:$A,C85)</f>
        <v>0</v>
      </c>
      <c r="G85" s="11" t="n">
        <f aca="false">SUMIFS(Itens!$J:$J,Itens!$C:$C,A85,Itens!$A:$A,C85)</f>
        <v>40</v>
      </c>
      <c r="H85" s="11" t="n">
        <f aca="false">SUMIFS(Itens!$K:$K,Itens!$C:$C,A85,Itens!$A:$A,C85)</f>
        <v>0</v>
      </c>
    </row>
    <row r="86" customFormat="false" ht="15" hidden="false" customHeight="false" outlineLevel="0" collapsed="false">
      <c r="A86" s="8" t="s">
        <v>173</v>
      </c>
      <c r="B86" s="8" t="n">
        <v>476043</v>
      </c>
      <c r="C86" s="8" t="s">
        <v>525</v>
      </c>
      <c r="D86" s="8" t="s">
        <v>526</v>
      </c>
      <c r="E86" s="8" t="n">
        <v>22</v>
      </c>
      <c r="F86" s="11" t="n">
        <f aca="false">SUMIFS(Itens!$I:$I,Itens!$C:$C,A86,Itens!$A:$A,C86)</f>
        <v>1</v>
      </c>
      <c r="G86" s="11" t="n">
        <f aca="false">SUMIFS(Itens!$J:$J,Itens!$C:$C,A86,Itens!$A:$A,C86)</f>
        <v>0</v>
      </c>
      <c r="H86" s="11" t="n">
        <f aca="false">SUMIFS(Itens!$K:$K,Itens!$C:$C,A86,Itens!$A:$A,C86)</f>
        <v>21</v>
      </c>
    </row>
    <row r="87" customFormat="false" ht="15" hidden="false" customHeight="false" outlineLevel="0" collapsed="false">
      <c r="A87" s="8" t="s">
        <v>174</v>
      </c>
      <c r="B87" s="8" t="n">
        <v>476061</v>
      </c>
      <c r="C87" s="8" t="s">
        <v>519</v>
      </c>
      <c r="D87" s="8" t="s">
        <v>520</v>
      </c>
      <c r="E87" s="8" t="n">
        <v>5</v>
      </c>
      <c r="F87" s="11" t="n">
        <f aca="false">SUMIFS(Itens!$I:$I,Itens!$C:$C,A87,Itens!$A:$A,C87)</f>
        <v>0</v>
      </c>
      <c r="G87" s="11" t="n">
        <f aca="false">SUMIFS(Itens!$J:$J,Itens!$C:$C,A87,Itens!$A:$A,C87)</f>
        <v>0</v>
      </c>
      <c r="H87" s="11" t="n">
        <f aca="false">SUMIFS(Itens!$K:$K,Itens!$C:$C,A87,Itens!$A:$A,C87)</f>
        <v>5</v>
      </c>
    </row>
    <row r="88" customFormat="false" ht="15" hidden="false" customHeight="false" outlineLevel="0" collapsed="false">
      <c r="A88" s="8" t="s">
        <v>174</v>
      </c>
      <c r="B88" s="8" t="n">
        <v>476065</v>
      </c>
      <c r="C88" s="8" t="s">
        <v>521</v>
      </c>
      <c r="D88" s="8" t="s">
        <v>522</v>
      </c>
      <c r="E88" s="8" t="n">
        <v>40</v>
      </c>
      <c r="F88" s="11" t="n">
        <f aca="false">SUMIFS(Itens!$I:$I,Itens!$C:$C,A88,Itens!$A:$A,C88)</f>
        <v>0</v>
      </c>
      <c r="G88" s="11" t="n">
        <f aca="false">SUMIFS(Itens!$J:$J,Itens!$C:$C,A88,Itens!$A:$A,C88)</f>
        <v>40</v>
      </c>
      <c r="H88" s="11" t="n">
        <f aca="false">SUMIFS(Itens!$K:$K,Itens!$C:$C,A88,Itens!$A:$A,C88)</f>
        <v>0</v>
      </c>
    </row>
    <row r="89" customFormat="false" ht="15" hidden="false" customHeight="false" outlineLevel="0" collapsed="false">
      <c r="A89" s="8" t="s">
        <v>174</v>
      </c>
      <c r="B89" s="8" t="n">
        <v>476043</v>
      </c>
      <c r="C89" s="8" t="s">
        <v>523</v>
      </c>
      <c r="D89" s="8" t="s">
        <v>524</v>
      </c>
      <c r="E89" s="8" t="n">
        <v>22</v>
      </c>
      <c r="F89" s="11" t="n">
        <f aca="false">SUMIFS(Itens!$I:$I,Itens!$C:$C,A89,Itens!$A:$A,C89)</f>
        <v>0</v>
      </c>
      <c r="G89" s="11" t="n">
        <f aca="false">SUMIFS(Itens!$J:$J,Itens!$C:$C,A89,Itens!$A:$A,C89)</f>
        <v>18</v>
      </c>
      <c r="H89" s="11" t="n">
        <f aca="false">SUMIFS(Itens!$K:$K,Itens!$C:$C,A89,Itens!$A:$A,C89)</f>
        <v>4</v>
      </c>
    </row>
    <row r="90" customFormat="false" ht="15" hidden="false" customHeight="false" outlineLevel="0" collapsed="false">
      <c r="A90" s="8" t="s">
        <v>179</v>
      </c>
      <c r="B90" s="8" t="n">
        <v>476061</v>
      </c>
      <c r="C90" s="8" t="s">
        <v>519</v>
      </c>
      <c r="D90" s="8" t="s">
        <v>520</v>
      </c>
      <c r="E90" s="8" t="n">
        <v>5</v>
      </c>
      <c r="F90" s="11" t="n">
        <f aca="false">SUMIFS(Itens!$I:$I,Itens!$C:$C,A90,Itens!$A:$A,C90)</f>
        <v>0</v>
      </c>
      <c r="G90" s="11" t="n">
        <f aca="false">SUMIFS(Itens!$J:$J,Itens!$C:$C,A90,Itens!$A:$A,C90)</f>
        <v>0</v>
      </c>
      <c r="H90" s="11" t="n">
        <f aca="false">SUMIFS(Itens!$K:$K,Itens!$C:$C,A90,Itens!$A:$A,C90)</f>
        <v>5</v>
      </c>
    </row>
    <row r="91" customFormat="false" ht="15" hidden="false" customHeight="false" outlineLevel="0" collapsed="false">
      <c r="A91" s="8" t="s">
        <v>179</v>
      </c>
      <c r="B91" s="8" t="n">
        <v>476043</v>
      </c>
      <c r="C91" s="8" t="s">
        <v>529</v>
      </c>
      <c r="D91" s="8" t="s">
        <v>530</v>
      </c>
      <c r="E91" s="8" t="n">
        <v>44</v>
      </c>
      <c r="F91" s="11" t="n">
        <f aca="false">SUMIFS(Itens!$I:$I,Itens!$C:$C,A91,Itens!$A:$A,C91)</f>
        <v>0</v>
      </c>
      <c r="G91" s="11" t="n">
        <f aca="false">SUMIFS(Itens!$J:$J,Itens!$C:$C,A91,Itens!$A:$A,C91)</f>
        <v>44</v>
      </c>
      <c r="H91" s="11" t="n">
        <f aca="false">SUMIFS(Itens!$K:$K,Itens!$C:$C,A91,Itens!$A:$A,C91)</f>
        <v>0</v>
      </c>
    </row>
    <row r="92" customFormat="false" ht="15" hidden="false" customHeight="false" outlineLevel="0" collapsed="false">
      <c r="A92" s="8" t="s">
        <v>179</v>
      </c>
      <c r="B92" s="8" t="n">
        <v>476065</v>
      </c>
      <c r="C92" s="8" t="s">
        <v>505</v>
      </c>
      <c r="D92" s="8" t="s">
        <v>506</v>
      </c>
      <c r="E92" s="8" t="n">
        <v>24</v>
      </c>
      <c r="F92" s="11" t="n">
        <f aca="false">SUMIFS(Itens!$I:$I,Itens!$C:$C,A92,Itens!$A:$A,C92)</f>
        <v>0</v>
      </c>
      <c r="G92" s="11" t="n">
        <f aca="false">SUMIFS(Itens!$J:$J,Itens!$C:$C,A92,Itens!$A:$A,C92)</f>
        <v>0</v>
      </c>
      <c r="H92" s="11" t="n">
        <f aca="false">SUMIFS(Itens!$K:$K,Itens!$C:$C,A92,Itens!$A:$A,C92)</f>
        <v>24</v>
      </c>
    </row>
    <row r="93" customFormat="false" ht="15" hidden="false" customHeight="false" outlineLevel="0" collapsed="false">
      <c r="A93" s="8" t="s">
        <v>180</v>
      </c>
      <c r="B93" s="8" t="n">
        <v>476061</v>
      </c>
      <c r="C93" s="8" t="s">
        <v>519</v>
      </c>
      <c r="D93" s="8" t="s">
        <v>520</v>
      </c>
      <c r="E93" s="8" t="n">
        <v>5</v>
      </c>
      <c r="F93" s="11" t="n">
        <f aca="false">SUMIFS(Itens!$I:$I,Itens!$C:$C,A93,Itens!$A:$A,C93)</f>
        <v>0</v>
      </c>
      <c r="G93" s="11" t="n">
        <f aca="false">SUMIFS(Itens!$J:$J,Itens!$C:$C,A93,Itens!$A:$A,C93)</f>
        <v>0</v>
      </c>
      <c r="H93" s="11" t="n">
        <f aca="false">SUMIFS(Itens!$K:$K,Itens!$C:$C,A93,Itens!$A:$A,C93)</f>
        <v>5</v>
      </c>
    </row>
    <row r="94" customFormat="false" ht="15" hidden="false" customHeight="false" outlineLevel="0" collapsed="false">
      <c r="A94" s="8" t="s">
        <v>180</v>
      </c>
      <c r="B94" s="8" t="n">
        <v>476043</v>
      </c>
      <c r="C94" s="8" t="s">
        <v>529</v>
      </c>
      <c r="D94" s="8" t="s">
        <v>530</v>
      </c>
      <c r="E94" s="8" t="n">
        <v>43</v>
      </c>
      <c r="F94" s="11" t="n">
        <f aca="false">SUMIFS(Itens!$I:$I,Itens!$C:$C,A94,Itens!$A:$A,C94)</f>
        <v>40</v>
      </c>
      <c r="G94" s="11" t="n">
        <f aca="false">SUMIFS(Itens!$J:$J,Itens!$C:$C,A94,Itens!$A:$A,C94)</f>
        <v>3</v>
      </c>
      <c r="H94" s="11" t="n">
        <f aca="false">SUMIFS(Itens!$K:$K,Itens!$C:$C,A94,Itens!$A:$A,C94)</f>
        <v>0</v>
      </c>
    </row>
    <row r="95" customFormat="false" ht="15" hidden="false" customHeight="false" outlineLevel="0" collapsed="false">
      <c r="A95" s="8" t="s">
        <v>180</v>
      </c>
      <c r="B95" s="8" t="n">
        <v>476065</v>
      </c>
      <c r="C95" s="8" t="s">
        <v>531</v>
      </c>
      <c r="D95" s="8" t="s">
        <v>532</v>
      </c>
      <c r="E95" s="8" t="n">
        <v>18</v>
      </c>
      <c r="F95" s="11" t="n">
        <f aca="false">SUMIFS(Itens!$I:$I,Itens!$C:$C,A95,Itens!$A:$A,C95)</f>
        <v>5</v>
      </c>
      <c r="G95" s="11" t="n">
        <f aca="false">SUMIFS(Itens!$J:$J,Itens!$C:$C,A95,Itens!$A:$A,C95)</f>
        <v>12</v>
      </c>
      <c r="H95" s="11" t="n">
        <f aca="false">SUMIFS(Itens!$K:$K,Itens!$C:$C,A95,Itens!$A:$A,C95)</f>
        <v>1</v>
      </c>
    </row>
    <row r="96" customFormat="false" ht="15" hidden="false" customHeight="false" outlineLevel="0" collapsed="false">
      <c r="A96" s="8" t="s">
        <v>186</v>
      </c>
      <c r="B96" s="8" t="n">
        <v>476061</v>
      </c>
      <c r="C96" s="8" t="s">
        <v>519</v>
      </c>
      <c r="D96" s="8" t="s">
        <v>520</v>
      </c>
      <c r="E96" s="8" t="n">
        <v>5</v>
      </c>
      <c r="F96" s="11" t="n">
        <f aca="false">SUMIFS(Itens!$I:$I,Itens!$C:$C,A96,Itens!$A:$A,C96)</f>
        <v>0</v>
      </c>
      <c r="G96" s="11" t="n">
        <f aca="false">SUMIFS(Itens!$J:$J,Itens!$C:$C,A96,Itens!$A:$A,C96)</f>
        <v>0</v>
      </c>
      <c r="H96" s="11" t="n">
        <f aca="false">SUMIFS(Itens!$K:$K,Itens!$C:$C,A96,Itens!$A:$A,C96)</f>
        <v>5</v>
      </c>
    </row>
    <row r="97" customFormat="false" ht="15" hidden="false" customHeight="false" outlineLevel="0" collapsed="false">
      <c r="A97" s="8" t="s">
        <v>186</v>
      </c>
      <c r="B97" s="8" t="n">
        <v>476043</v>
      </c>
      <c r="C97" s="8" t="s">
        <v>533</v>
      </c>
      <c r="D97" s="8" t="s">
        <v>534</v>
      </c>
      <c r="E97" s="8" t="n">
        <v>24</v>
      </c>
      <c r="F97" s="11" t="n">
        <f aca="false">SUMIFS(Itens!$I:$I,Itens!$C:$C,A97,Itens!$A:$A,C97)</f>
        <v>18</v>
      </c>
      <c r="G97" s="11" t="n">
        <f aca="false">SUMIFS(Itens!$J:$J,Itens!$C:$C,A97,Itens!$A:$A,C97)</f>
        <v>1</v>
      </c>
      <c r="H97" s="11" t="n">
        <f aca="false">SUMIFS(Itens!$K:$K,Itens!$C:$C,A97,Itens!$A:$A,C97)</f>
        <v>5</v>
      </c>
    </row>
    <row r="98" customFormat="false" ht="15" hidden="false" customHeight="false" outlineLevel="0" collapsed="false">
      <c r="A98" s="8" t="s">
        <v>186</v>
      </c>
      <c r="B98" s="8" t="n">
        <v>476065</v>
      </c>
      <c r="C98" s="8" t="s">
        <v>535</v>
      </c>
      <c r="D98" s="8" t="s">
        <v>536</v>
      </c>
      <c r="E98" s="8" t="n">
        <v>40</v>
      </c>
      <c r="F98" s="11" t="n">
        <f aca="false">SUMIFS(Itens!$I:$I,Itens!$C:$C,A98,Itens!$A:$A,C98)</f>
        <v>0</v>
      </c>
      <c r="G98" s="11" t="n">
        <f aca="false">SUMIFS(Itens!$J:$J,Itens!$C:$C,A98,Itens!$A:$A,C98)</f>
        <v>40</v>
      </c>
      <c r="H98" s="11" t="n">
        <f aca="false">SUMIFS(Itens!$K:$K,Itens!$C:$C,A98,Itens!$A:$A,C98)</f>
        <v>0</v>
      </c>
    </row>
    <row r="99" customFormat="false" ht="15" hidden="false" customHeight="false" outlineLevel="0" collapsed="false">
      <c r="A99" s="8" t="s">
        <v>190</v>
      </c>
      <c r="B99" s="8" t="n">
        <v>476061</v>
      </c>
      <c r="C99" s="8" t="s">
        <v>519</v>
      </c>
      <c r="D99" s="8" t="s">
        <v>520</v>
      </c>
      <c r="E99" s="8" t="n">
        <v>5</v>
      </c>
      <c r="F99" s="11" t="n">
        <f aca="false">SUMIFS(Itens!$I:$I,Itens!$C:$C,A99,Itens!$A:$A,C99)</f>
        <v>0</v>
      </c>
      <c r="G99" s="11" t="n">
        <f aca="false">SUMIFS(Itens!$J:$J,Itens!$C:$C,A99,Itens!$A:$A,C99)</f>
        <v>4</v>
      </c>
      <c r="H99" s="11" t="n">
        <f aca="false">SUMIFS(Itens!$K:$K,Itens!$C:$C,A99,Itens!$A:$A,C99)</f>
        <v>1</v>
      </c>
    </row>
    <row r="100" customFormat="false" ht="15" hidden="false" customHeight="false" outlineLevel="0" collapsed="false">
      <c r="A100" s="8" t="s">
        <v>190</v>
      </c>
      <c r="B100" s="8" t="n">
        <v>476043</v>
      </c>
      <c r="C100" s="8" t="s">
        <v>527</v>
      </c>
      <c r="D100" s="8" t="s">
        <v>528</v>
      </c>
      <c r="E100" s="8" t="n">
        <v>20</v>
      </c>
      <c r="F100" s="11" t="n">
        <f aca="false">SUMIFS(Itens!$I:$I,Itens!$C:$C,A100,Itens!$A:$A,C100)</f>
        <v>0</v>
      </c>
      <c r="G100" s="11" t="n">
        <f aca="false">SUMIFS(Itens!$J:$J,Itens!$C:$C,A100,Itens!$A:$A,C100)</f>
        <v>5</v>
      </c>
      <c r="H100" s="11" t="n">
        <f aca="false">SUMIFS(Itens!$K:$K,Itens!$C:$C,A100,Itens!$A:$A,C100)</f>
        <v>15</v>
      </c>
    </row>
    <row r="101" customFormat="false" ht="15" hidden="false" customHeight="false" outlineLevel="0" collapsed="false">
      <c r="A101" s="8" t="s">
        <v>190</v>
      </c>
      <c r="B101" s="8" t="n">
        <v>476065</v>
      </c>
      <c r="C101" s="8" t="s">
        <v>535</v>
      </c>
      <c r="D101" s="8" t="s">
        <v>536</v>
      </c>
      <c r="E101" s="8" t="n">
        <v>40</v>
      </c>
      <c r="F101" s="11" t="n">
        <f aca="false">SUMIFS(Itens!$I:$I,Itens!$C:$C,A101,Itens!$A:$A,C101)</f>
        <v>1</v>
      </c>
      <c r="G101" s="11" t="n">
        <f aca="false">SUMIFS(Itens!$J:$J,Itens!$C:$C,A101,Itens!$A:$A,C101)</f>
        <v>10</v>
      </c>
      <c r="H101" s="11" t="n">
        <f aca="false">SUMIFS(Itens!$K:$K,Itens!$C:$C,A101,Itens!$A:$A,C101)</f>
        <v>29</v>
      </c>
    </row>
    <row r="102" customFormat="false" ht="15" hidden="false" customHeight="false" outlineLevel="0" collapsed="false">
      <c r="A102" s="8" t="s">
        <v>192</v>
      </c>
      <c r="B102" s="8" t="n">
        <v>476061</v>
      </c>
      <c r="C102" s="8" t="s">
        <v>519</v>
      </c>
      <c r="D102" s="8" t="s">
        <v>520</v>
      </c>
      <c r="E102" s="8" t="n">
        <v>5</v>
      </c>
      <c r="F102" s="11" t="n">
        <f aca="false">SUMIFS(Itens!$I:$I,Itens!$C:$C,A102,Itens!$A:$A,C102)</f>
        <v>5</v>
      </c>
      <c r="G102" s="11" t="n">
        <f aca="false">SUMIFS(Itens!$J:$J,Itens!$C:$C,A102,Itens!$A:$A,C102)</f>
        <v>0</v>
      </c>
      <c r="H102" s="11" t="n">
        <f aca="false">SUMIFS(Itens!$K:$K,Itens!$C:$C,A102,Itens!$A:$A,C102)</f>
        <v>0</v>
      </c>
    </row>
    <row r="103" customFormat="false" ht="15" hidden="false" customHeight="false" outlineLevel="0" collapsed="false">
      <c r="A103" s="8" t="s">
        <v>192</v>
      </c>
      <c r="B103" s="8" t="n">
        <v>476065</v>
      </c>
      <c r="C103" s="8" t="s">
        <v>541</v>
      </c>
      <c r="D103" s="8" t="s">
        <v>542</v>
      </c>
      <c r="E103" s="8" t="n">
        <v>68</v>
      </c>
      <c r="F103" s="11" t="n">
        <f aca="false">SUMIFS(Itens!$I:$I,Itens!$C:$C,A103,Itens!$A:$A,C103)</f>
        <v>68</v>
      </c>
      <c r="G103" s="11" t="n">
        <f aca="false">SUMIFS(Itens!$J:$J,Itens!$C:$C,A103,Itens!$A:$A,C103)</f>
        <v>0</v>
      </c>
      <c r="H103" s="11" t="n">
        <f aca="false">SUMIFS(Itens!$K:$K,Itens!$C:$C,A103,Itens!$A:$A,C103)</f>
        <v>0</v>
      </c>
    </row>
    <row r="104" customFormat="false" ht="15" hidden="false" customHeight="false" outlineLevel="0" collapsed="false">
      <c r="A104" s="8" t="s">
        <v>192</v>
      </c>
      <c r="B104" s="8" t="n">
        <v>476043</v>
      </c>
      <c r="C104" s="8" t="s">
        <v>543</v>
      </c>
      <c r="D104" s="8" t="s">
        <v>544</v>
      </c>
      <c r="E104" s="8" t="n">
        <v>44</v>
      </c>
      <c r="F104" s="11" t="n">
        <f aca="false">SUMIFS(Itens!$I:$I,Itens!$C:$C,A104,Itens!$A:$A,C104)</f>
        <v>3</v>
      </c>
      <c r="G104" s="11" t="n">
        <f aca="false">SUMIFS(Itens!$J:$J,Itens!$C:$C,A104,Itens!$A:$A,C104)</f>
        <v>20</v>
      </c>
      <c r="H104" s="11" t="n">
        <f aca="false">SUMIFS(Itens!$K:$K,Itens!$C:$C,A104,Itens!$A:$A,C104)</f>
        <v>21</v>
      </c>
    </row>
    <row r="105" customFormat="false" ht="15" hidden="false" customHeight="false" outlineLevel="0" collapsed="false">
      <c r="A105" s="8" t="s">
        <v>195</v>
      </c>
      <c r="B105" s="8" t="n">
        <v>476043</v>
      </c>
      <c r="C105" s="8" t="s">
        <v>539</v>
      </c>
      <c r="D105" s="8" t="s">
        <v>540</v>
      </c>
      <c r="E105" s="8" t="n">
        <v>60</v>
      </c>
      <c r="F105" s="11" t="n">
        <f aca="false">SUMIFS(Itens!$I:$I,Itens!$C:$C,A105,Itens!$A:$A,C105)</f>
        <v>0</v>
      </c>
      <c r="G105" s="11" t="n">
        <f aca="false">SUMIFS(Itens!$J:$J,Itens!$C:$C,A105,Itens!$A:$A,C105)</f>
        <v>14</v>
      </c>
      <c r="H105" s="11" t="n">
        <f aca="false">SUMIFS(Itens!$K:$K,Itens!$C:$C,A105,Itens!$A:$A,C105)</f>
        <v>46</v>
      </c>
    </row>
    <row r="106" customFormat="false" ht="15" hidden="false" customHeight="false" outlineLevel="0" collapsed="false">
      <c r="A106" s="8" t="s">
        <v>195</v>
      </c>
      <c r="B106" s="8" t="n">
        <v>476065</v>
      </c>
      <c r="C106" s="8" t="s">
        <v>545</v>
      </c>
      <c r="D106" s="8" t="s">
        <v>546</v>
      </c>
      <c r="E106" s="8" t="n">
        <v>16</v>
      </c>
      <c r="F106" s="11" t="n">
        <f aca="false">SUMIFS(Itens!$I:$I,Itens!$C:$C,A106,Itens!$A:$A,C106)</f>
        <v>0</v>
      </c>
      <c r="G106" s="11" t="n">
        <f aca="false">SUMIFS(Itens!$J:$J,Itens!$C:$C,A106,Itens!$A:$A,C106)</f>
        <v>10</v>
      </c>
      <c r="H106" s="11" t="n">
        <f aca="false">SUMIFS(Itens!$K:$K,Itens!$C:$C,A106,Itens!$A:$A,C106)</f>
        <v>6</v>
      </c>
    </row>
    <row r="107" customFormat="false" ht="15" hidden="false" customHeight="false" outlineLevel="0" collapsed="false">
      <c r="A107" s="8" t="s">
        <v>195</v>
      </c>
      <c r="B107" s="8" t="n">
        <v>476061</v>
      </c>
      <c r="C107" s="8" t="s">
        <v>547</v>
      </c>
      <c r="D107" s="8" t="s">
        <v>548</v>
      </c>
      <c r="E107" s="8" t="n">
        <v>28</v>
      </c>
      <c r="F107" s="11" t="n">
        <f aca="false">SUMIFS(Itens!$I:$I,Itens!$C:$C,A107,Itens!$A:$A,C107)</f>
        <v>28</v>
      </c>
      <c r="G107" s="11" t="n">
        <f aca="false">SUMIFS(Itens!$J:$J,Itens!$C:$C,A107,Itens!$A:$A,C107)</f>
        <v>0</v>
      </c>
      <c r="H107" s="11" t="n">
        <f aca="false">SUMIFS(Itens!$K:$K,Itens!$C:$C,A107,Itens!$A:$A,C107)</f>
        <v>0</v>
      </c>
    </row>
    <row r="108" customFormat="false" ht="15" hidden="false" customHeight="false" outlineLevel="0" collapsed="false">
      <c r="A108" s="8" t="s">
        <v>198</v>
      </c>
      <c r="B108" s="8" t="n">
        <v>476065</v>
      </c>
      <c r="C108" s="8" t="s">
        <v>545</v>
      </c>
      <c r="D108" s="8" t="s">
        <v>546</v>
      </c>
      <c r="E108" s="8" t="n">
        <v>16</v>
      </c>
      <c r="F108" s="11" t="n">
        <f aca="false">SUMIFS(Itens!$I:$I,Itens!$C:$C,A108,Itens!$A:$A,C108)</f>
        <v>0</v>
      </c>
      <c r="G108" s="11" t="n">
        <f aca="false">SUMIFS(Itens!$J:$J,Itens!$C:$C,A108,Itens!$A:$A,C108)</f>
        <v>16</v>
      </c>
      <c r="H108" s="11" t="n">
        <f aca="false">SUMIFS(Itens!$K:$K,Itens!$C:$C,A108,Itens!$A:$A,C108)</f>
        <v>0</v>
      </c>
    </row>
    <row r="109" customFormat="false" ht="15" hidden="false" customHeight="false" outlineLevel="0" collapsed="false">
      <c r="A109" s="8" t="s">
        <v>198</v>
      </c>
      <c r="B109" s="8" t="n">
        <v>476061</v>
      </c>
      <c r="C109" s="8" t="s">
        <v>551</v>
      </c>
      <c r="D109" s="8" t="s">
        <v>552</v>
      </c>
      <c r="E109" s="8" t="n">
        <v>6</v>
      </c>
      <c r="F109" s="11" t="n">
        <f aca="false">SUMIFS(Itens!$I:$I,Itens!$C:$C,A109,Itens!$A:$A,C109)</f>
        <v>6</v>
      </c>
      <c r="G109" s="11" t="n">
        <f aca="false">SUMIFS(Itens!$J:$J,Itens!$C:$C,A109,Itens!$A:$A,C109)</f>
        <v>0</v>
      </c>
      <c r="H109" s="11" t="n">
        <f aca="false">SUMIFS(Itens!$K:$K,Itens!$C:$C,A109,Itens!$A:$A,C109)</f>
        <v>0</v>
      </c>
    </row>
    <row r="110" customFormat="false" ht="15" hidden="false" customHeight="false" outlineLevel="0" collapsed="false">
      <c r="A110" s="8" t="s">
        <v>198</v>
      </c>
      <c r="B110" s="8" t="n">
        <v>476043</v>
      </c>
      <c r="C110" s="8" t="s">
        <v>549</v>
      </c>
      <c r="D110" s="8" t="s">
        <v>550</v>
      </c>
      <c r="E110" s="8" t="n">
        <v>28</v>
      </c>
      <c r="F110" s="11" t="n">
        <f aca="false">SUMIFS(Itens!$I:$I,Itens!$C:$C,A110,Itens!$A:$A,C110)</f>
        <v>1</v>
      </c>
      <c r="G110" s="11" t="n">
        <f aca="false">SUMIFS(Itens!$J:$J,Itens!$C:$C,A110,Itens!$A:$A,C110)</f>
        <v>12</v>
      </c>
      <c r="H110" s="11" t="n">
        <f aca="false">SUMIFS(Itens!$K:$K,Itens!$C:$C,A110,Itens!$A:$A,C110)</f>
        <v>15</v>
      </c>
    </row>
    <row r="111" customFormat="false" ht="15" hidden="false" customHeight="false" outlineLevel="0" collapsed="false">
      <c r="A111" s="8" t="s">
        <v>203</v>
      </c>
      <c r="B111" s="8" t="n">
        <v>476065</v>
      </c>
      <c r="C111" s="8" t="s">
        <v>553</v>
      </c>
      <c r="D111" s="8" t="s">
        <v>554</v>
      </c>
      <c r="E111" s="8" t="n">
        <v>7</v>
      </c>
      <c r="F111" s="11" t="n">
        <f aca="false">SUMIFS(Itens!$I:$I,Itens!$C:$C,A111,Itens!$A:$A,C111)</f>
        <v>0</v>
      </c>
      <c r="G111" s="11" t="n">
        <f aca="false">SUMIFS(Itens!$J:$J,Itens!$C:$C,A111,Itens!$A:$A,C111)</f>
        <v>5</v>
      </c>
      <c r="H111" s="11" t="n">
        <f aca="false">SUMIFS(Itens!$K:$K,Itens!$C:$C,A111,Itens!$A:$A,C111)</f>
        <v>2</v>
      </c>
    </row>
    <row r="112" customFormat="false" ht="15" hidden="false" customHeight="false" outlineLevel="0" collapsed="false">
      <c r="A112" s="8" t="s">
        <v>203</v>
      </c>
      <c r="B112" s="8" t="n">
        <v>476043</v>
      </c>
      <c r="C112" s="8" t="s">
        <v>555</v>
      </c>
      <c r="D112" s="8" t="s">
        <v>556</v>
      </c>
      <c r="E112" s="8" t="n">
        <v>29</v>
      </c>
      <c r="F112" s="11" t="n">
        <f aca="false">SUMIFS(Itens!$I:$I,Itens!$C:$C,A112,Itens!$A:$A,C112)</f>
        <v>0</v>
      </c>
      <c r="G112" s="11" t="n">
        <f aca="false">SUMIFS(Itens!$J:$J,Itens!$C:$C,A112,Itens!$A:$A,C112)</f>
        <v>9</v>
      </c>
      <c r="H112" s="11" t="n">
        <f aca="false">SUMIFS(Itens!$K:$K,Itens!$C:$C,A112,Itens!$A:$A,C112)</f>
        <v>20</v>
      </c>
    </row>
    <row r="113" customFormat="false" ht="15" hidden="false" customHeight="false" outlineLevel="0" collapsed="false">
      <c r="A113" s="8" t="s">
        <v>203</v>
      </c>
      <c r="B113" s="8" t="n">
        <v>476061</v>
      </c>
      <c r="C113" s="8" t="s">
        <v>551</v>
      </c>
      <c r="D113" s="8" t="s">
        <v>552</v>
      </c>
      <c r="E113" s="8" t="n">
        <v>6</v>
      </c>
      <c r="F113" s="11" t="n">
        <f aca="false">SUMIFS(Itens!$I:$I,Itens!$C:$C,A113,Itens!$A:$A,C113)</f>
        <v>6</v>
      </c>
      <c r="G113" s="11" t="n">
        <f aca="false">SUMIFS(Itens!$J:$J,Itens!$C:$C,A113,Itens!$A:$A,C113)</f>
        <v>0</v>
      </c>
      <c r="H113" s="11" t="n">
        <f aca="false">SUMIFS(Itens!$K:$K,Itens!$C:$C,A113,Itens!$A:$A,C113)</f>
        <v>0</v>
      </c>
    </row>
    <row r="114" customFormat="false" ht="15" hidden="false" customHeight="false" outlineLevel="0" collapsed="false">
      <c r="A114" s="8" t="s">
        <v>214</v>
      </c>
      <c r="B114" s="8" t="n">
        <v>476043</v>
      </c>
      <c r="C114" s="8" t="s">
        <v>559</v>
      </c>
      <c r="D114" s="8" t="s">
        <v>560</v>
      </c>
      <c r="E114" s="8" t="n">
        <v>64</v>
      </c>
      <c r="F114" s="11" t="n">
        <f aca="false">SUMIFS(Itens!$I:$I,Itens!$C:$C,A114,Itens!$A:$A,C114)</f>
        <v>0</v>
      </c>
      <c r="G114" s="11" t="n">
        <f aca="false">SUMIFS(Itens!$J:$J,Itens!$C:$C,A114,Itens!$A:$A,C114)</f>
        <v>64</v>
      </c>
      <c r="H114" s="11" t="n">
        <f aca="false">SUMIFS(Itens!$K:$K,Itens!$C:$C,A114,Itens!$A:$A,C114)</f>
        <v>0</v>
      </c>
    </row>
    <row r="115" customFormat="false" ht="15" hidden="false" customHeight="false" outlineLevel="0" collapsed="false">
      <c r="A115" s="8" t="s">
        <v>214</v>
      </c>
      <c r="B115" s="8" t="n">
        <v>476061</v>
      </c>
      <c r="C115" s="8" t="s">
        <v>551</v>
      </c>
      <c r="D115" s="8" t="s">
        <v>552</v>
      </c>
      <c r="E115" s="8" t="n">
        <v>6</v>
      </c>
      <c r="F115" s="11" t="n">
        <f aca="false">SUMIFS(Itens!$I:$I,Itens!$C:$C,A115,Itens!$A:$A,C115)</f>
        <v>6</v>
      </c>
      <c r="G115" s="11" t="n">
        <f aca="false">SUMIFS(Itens!$J:$J,Itens!$C:$C,A115,Itens!$A:$A,C115)</f>
        <v>0</v>
      </c>
      <c r="H115" s="11" t="n">
        <f aca="false">SUMIFS(Itens!$K:$K,Itens!$C:$C,A115,Itens!$A:$A,C115)</f>
        <v>0</v>
      </c>
    </row>
    <row r="116" customFormat="false" ht="15" hidden="false" customHeight="false" outlineLevel="0" collapsed="false">
      <c r="A116" s="8" t="s">
        <v>214</v>
      </c>
      <c r="B116" s="8" t="n">
        <v>476065</v>
      </c>
      <c r="C116" s="8" t="s">
        <v>531</v>
      </c>
      <c r="D116" s="8" t="s">
        <v>532</v>
      </c>
      <c r="E116" s="8" t="n">
        <v>18</v>
      </c>
      <c r="F116" s="11" t="n">
        <f aca="false">SUMIFS(Itens!$I:$I,Itens!$C:$C,A116,Itens!$A:$A,C116)</f>
        <v>0</v>
      </c>
      <c r="G116" s="11" t="n">
        <f aca="false">SUMIFS(Itens!$J:$J,Itens!$C:$C,A116,Itens!$A:$A,C116)</f>
        <v>0</v>
      </c>
      <c r="H116" s="11" t="n">
        <f aca="false">SUMIFS(Itens!$K:$K,Itens!$C:$C,A116,Itens!$A:$A,C116)</f>
        <v>18</v>
      </c>
    </row>
    <row r="117" customFormat="false" ht="15" hidden="false" customHeight="false" outlineLevel="0" collapsed="false">
      <c r="A117" s="8" t="s">
        <v>215</v>
      </c>
      <c r="B117" s="8" t="n">
        <v>476043</v>
      </c>
      <c r="C117" s="8" t="s">
        <v>561</v>
      </c>
      <c r="D117" s="8" t="s">
        <v>562</v>
      </c>
      <c r="E117" s="8" t="n">
        <v>22</v>
      </c>
      <c r="F117" s="11" t="n">
        <f aca="false">SUMIFS(Itens!$I:$I,Itens!$C:$C,A117,Itens!$A:$A,C117)</f>
        <v>0</v>
      </c>
      <c r="G117" s="11" t="n">
        <f aca="false">SUMIFS(Itens!$J:$J,Itens!$C:$C,A117,Itens!$A:$A,C117)</f>
        <v>0</v>
      </c>
      <c r="H117" s="11" t="n">
        <f aca="false">SUMIFS(Itens!$K:$K,Itens!$C:$C,A117,Itens!$A:$A,C117)</f>
        <v>22</v>
      </c>
    </row>
    <row r="118" customFormat="false" ht="15" hidden="false" customHeight="false" outlineLevel="0" collapsed="false">
      <c r="A118" s="8" t="s">
        <v>215</v>
      </c>
      <c r="B118" s="8" t="n">
        <v>476061</v>
      </c>
      <c r="C118" s="8" t="s">
        <v>551</v>
      </c>
      <c r="D118" s="8" t="s">
        <v>552</v>
      </c>
      <c r="E118" s="8" t="n">
        <v>6</v>
      </c>
      <c r="F118" s="11" t="n">
        <f aca="false">SUMIFS(Itens!$I:$I,Itens!$C:$C,A118,Itens!$A:$A,C118)</f>
        <v>6</v>
      </c>
      <c r="G118" s="11" t="n">
        <f aca="false">SUMIFS(Itens!$J:$J,Itens!$C:$C,A118,Itens!$A:$A,C118)</f>
        <v>0</v>
      </c>
      <c r="H118" s="11" t="n">
        <f aca="false">SUMIFS(Itens!$K:$K,Itens!$C:$C,A118,Itens!$A:$A,C118)</f>
        <v>0</v>
      </c>
    </row>
    <row r="119" customFormat="false" ht="15" hidden="false" customHeight="false" outlineLevel="0" collapsed="false">
      <c r="A119" s="8" t="s">
        <v>215</v>
      </c>
      <c r="B119" s="8" t="n">
        <v>476065</v>
      </c>
      <c r="C119" s="8" t="s">
        <v>531</v>
      </c>
      <c r="D119" s="8" t="s">
        <v>532</v>
      </c>
      <c r="E119" s="8" t="n">
        <v>18</v>
      </c>
      <c r="F119" s="11" t="n">
        <f aca="false">SUMIFS(Itens!$I:$I,Itens!$C:$C,A119,Itens!$A:$A,C119)</f>
        <v>0</v>
      </c>
      <c r="G119" s="11" t="n">
        <f aca="false">SUMIFS(Itens!$J:$J,Itens!$C:$C,A119,Itens!$A:$A,C119)</f>
        <v>0</v>
      </c>
      <c r="H119" s="11" t="n">
        <f aca="false">SUMIFS(Itens!$K:$K,Itens!$C:$C,A119,Itens!$A:$A,C119)</f>
        <v>18</v>
      </c>
    </row>
    <row r="120" customFormat="false" ht="15" hidden="false" customHeight="false" outlineLevel="0" collapsed="false">
      <c r="A120" s="8" t="s">
        <v>217</v>
      </c>
      <c r="B120" s="8" t="n">
        <v>476043</v>
      </c>
      <c r="C120" s="8" t="s">
        <v>559</v>
      </c>
      <c r="D120" s="8" t="s">
        <v>560</v>
      </c>
      <c r="E120" s="8" t="n">
        <v>64</v>
      </c>
      <c r="F120" s="11" t="n">
        <f aca="false">SUMIFS(Itens!$I:$I,Itens!$C:$C,A120,Itens!$A:$A,C120)</f>
        <v>0</v>
      </c>
      <c r="G120" s="11" t="n">
        <f aca="false">SUMIFS(Itens!$J:$J,Itens!$C:$C,A120,Itens!$A:$A,C120)</f>
        <v>64</v>
      </c>
      <c r="H120" s="11" t="n">
        <f aca="false">SUMIFS(Itens!$K:$K,Itens!$C:$C,A120,Itens!$A:$A,C120)</f>
        <v>0</v>
      </c>
    </row>
    <row r="121" customFormat="false" ht="15" hidden="false" customHeight="false" outlineLevel="0" collapsed="false">
      <c r="A121" s="8" t="s">
        <v>217</v>
      </c>
      <c r="B121" s="8" t="n">
        <v>476061</v>
      </c>
      <c r="C121" s="8" t="s">
        <v>551</v>
      </c>
      <c r="D121" s="8" t="s">
        <v>552</v>
      </c>
      <c r="E121" s="8" t="n">
        <v>6</v>
      </c>
      <c r="F121" s="11" t="n">
        <f aca="false">SUMIFS(Itens!$I:$I,Itens!$C:$C,A121,Itens!$A:$A,C121)</f>
        <v>4</v>
      </c>
      <c r="G121" s="11" t="n">
        <f aca="false">SUMIFS(Itens!$J:$J,Itens!$C:$C,A121,Itens!$A:$A,C121)</f>
        <v>2</v>
      </c>
      <c r="H121" s="11" t="n">
        <f aca="false">SUMIFS(Itens!$K:$K,Itens!$C:$C,A121,Itens!$A:$A,C121)</f>
        <v>0</v>
      </c>
    </row>
    <row r="122" customFormat="false" ht="15" hidden="false" customHeight="false" outlineLevel="0" collapsed="false">
      <c r="A122" s="8" t="s">
        <v>217</v>
      </c>
      <c r="B122" s="8" t="n">
        <v>476065</v>
      </c>
      <c r="C122" s="8" t="s">
        <v>531</v>
      </c>
      <c r="D122" s="8" t="s">
        <v>532</v>
      </c>
      <c r="E122" s="8" t="n">
        <v>18</v>
      </c>
      <c r="F122" s="11" t="n">
        <f aca="false">SUMIFS(Itens!$I:$I,Itens!$C:$C,A122,Itens!$A:$A,C122)</f>
        <v>0</v>
      </c>
      <c r="G122" s="11" t="n">
        <f aca="false">SUMIFS(Itens!$J:$J,Itens!$C:$C,A122,Itens!$A:$A,C122)</f>
        <v>18</v>
      </c>
      <c r="H122" s="11" t="n">
        <f aca="false">SUMIFS(Itens!$K:$K,Itens!$C:$C,A122,Itens!$A:$A,C122)</f>
        <v>0</v>
      </c>
    </row>
    <row r="123" customFormat="false" ht="15" hidden="false" customHeight="false" outlineLevel="0" collapsed="false">
      <c r="A123" s="8" t="s">
        <v>220</v>
      </c>
      <c r="B123" s="8" t="n">
        <v>476065</v>
      </c>
      <c r="C123" s="8" t="s">
        <v>521</v>
      </c>
      <c r="D123" s="8" t="s">
        <v>522</v>
      </c>
      <c r="E123" s="8" t="n">
        <v>6</v>
      </c>
      <c r="F123" s="11" t="n">
        <f aca="false">SUMIFS(Itens!$I:$I,Itens!$C:$C,A123,Itens!$A:$A,C123)</f>
        <v>0</v>
      </c>
      <c r="G123" s="11" t="n">
        <f aca="false">SUMIFS(Itens!$J:$J,Itens!$C:$C,A123,Itens!$A:$A,C123)</f>
        <v>6</v>
      </c>
      <c r="H123" s="11" t="n">
        <f aca="false">SUMIFS(Itens!$K:$K,Itens!$C:$C,A123,Itens!$A:$A,C123)</f>
        <v>0</v>
      </c>
    </row>
    <row r="124" customFormat="false" ht="15" hidden="false" customHeight="false" outlineLevel="0" collapsed="false">
      <c r="A124" s="8" t="s">
        <v>220</v>
      </c>
      <c r="B124" s="8" t="n">
        <v>476065</v>
      </c>
      <c r="C124" s="8" t="s">
        <v>545</v>
      </c>
      <c r="D124" s="8" t="s">
        <v>546</v>
      </c>
      <c r="E124" s="8" t="n">
        <v>7</v>
      </c>
      <c r="F124" s="11" t="n">
        <f aca="false">SUMIFS(Itens!$I:$I,Itens!$C:$C,A124,Itens!$A:$A,C124)</f>
        <v>0</v>
      </c>
      <c r="G124" s="11" t="n">
        <f aca="false">SUMIFS(Itens!$J:$J,Itens!$C:$C,A124,Itens!$A:$A,C124)</f>
        <v>7</v>
      </c>
      <c r="H124" s="11" t="n">
        <f aca="false">SUMIFS(Itens!$K:$K,Itens!$C:$C,A124,Itens!$A:$A,C124)</f>
        <v>0</v>
      </c>
    </row>
    <row r="125" customFormat="false" ht="15" hidden="false" customHeight="false" outlineLevel="0" collapsed="false">
      <c r="A125" s="8" t="s">
        <v>220</v>
      </c>
      <c r="B125" s="8" t="n">
        <v>476065</v>
      </c>
      <c r="C125" s="8" t="s">
        <v>567</v>
      </c>
      <c r="D125" s="8" t="s">
        <v>568</v>
      </c>
      <c r="E125" s="8" t="n">
        <v>56</v>
      </c>
      <c r="F125" s="11" t="n">
        <f aca="false">SUMIFS(Itens!$I:$I,Itens!$C:$C,A125,Itens!$A:$A,C125)</f>
        <v>56</v>
      </c>
      <c r="G125" s="11" t="n">
        <f aca="false">SUMIFS(Itens!$J:$J,Itens!$C:$C,A125,Itens!$A:$A,C125)</f>
        <v>0</v>
      </c>
      <c r="H125" s="11" t="n">
        <f aca="false">SUMIFS(Itens!$K:$K,Itens!$C:$C,A125,Itens!$A:$A,C125)</f>
        <v>0</v>
      </c>
    </row>
    <row r="126" customFormat="false" ht="15" hidden="false" customHeight="false" outlineLevel="0" collapsed="false">
      <c r="A126" s="8" t="s">
        <v>220</v>
      </c>
      <c r="B126" s="8" t="n">
        <v>476043</v>
      </c>
      <c r="C126" s="8" t="s">
        <v>563</v>
      </c>
      <c r="D126" s="8" t="s">
        <v>564</v>
      </c>
      <c r="E126" s="8" t="n">
        <v>46</v>
      </c>
      <c r="F126" s="11" t="n">
        <f aca="false">SUMIFS(Itens!$I:$I,Itens!$C:$C,A126,Itens!$A:$A,C126)</f>
        <v>0</v>
      </c>
      <c r="G126" s="11" t="n">
        <f aca="false">SUMIFS(Itens!$J:$J,Itens!$C:$C,A126,Itens!$A:$A,C126)</f>
        <v>41</v>
      </c>
      <c r="H126" s="11" t="n">
        <f aca="false">SUMIFS(Itens!$K:$K,Itens!$C:$C,A126,Itens!$A:$A,C126)</f>
        <v>5</v>
      </c>
    </row>
    <row r="127" customFormat="false" ht="15" hidden="false" customHeight="false" outlineLevel="0" collapsed="false">
      <c r="A127" s="8" t="s">
        <v>220</v>
      </c>
      <c r="B127" s="8" t="n">
        <v>476061</v>
      </c>
      <c r="C127" s="8" t="s">
        <v>565</v>
      </c>
      <c r="D127" s="8" t="s">
        <v>566</v>
      </c>
      <c r="E127" s="8" t="n">
        <v>30</v>
      </c>
      <c r="F127" s="11" t="n">
        <f aca="false">SUMIFS(Itens!$I:$I,Itens!$C:$C,A127,Itens!$A:$A,C127)</f>
        <v>0</v>
      </c>
      <c r="G127" s="11" t="n">
        <f aca="false">SUMIFS(Itens!$J:$J,Itens!$C:$C,A127,Itens!$A:$A,C127)</f>
        <v>30</v>
      </c>
      <c r="H127" s="11" t="n">
        <f aca="false">SUMIFS(Itens!$K:$K,Itens!$C:$C,A127,Itens!$A:$A,C127)</f>
        <v>0</v>
      </c>
    </row>
    <row r="128" customFormat="false" ht="15" hidden="false" customHeight="false" outlineLevel="0" collapsed="false">
      <c r="A128" s="8" t="s">
        <v>221</v>
      </c>
      <c r="B128" s="8" t="n">
        <v>476065</v>
      </c>
      <c r="C128" s="8" t="s">
        <v>545</v>
      </c>
      <c r="D128" s="8" t="s">
        <v>546</v>
      </c>
      <c r="E128" s="8" t="n">
        <v>2</v>
      </c>
      <c r="F128" s="11" t="n">
        <f aca="false">SUMIFS(Itens!$I:$I,Itens!$C:$C,A128,Itens!$A:$A,C128)</f>
        <v>0</v>
      </c>
      <c r="G128" s="11" t="n">
        <f aca="false">SUMIFS(Itens!$J:$J,Itens!$C:$C,A128,Itens!$A:$A,C128)</f>
        <v>2</v>
      </c>
      <c r="H128" s="11" t="n">
        <f aca="false">SUMIFS(Itens!$K:$K,Itens!$C:$C,A128,Itens!$A:$A,C128)</f>
        <v>0</v>
      </c>
    </row>
    <row r="129" customFormat="false" ht="15" hidden="false" customHeight="false" outlineLevel="0" collapsed="false">
      <c r="A129" s="8" t="s">
        <v>221</v>
      </c>
      <c r="B129" s="8" t="n">
        <v>476043</v>
      </c>
      <c r="C129" s="8" t="s">
        <v>563</v>
      </c>
      <c r="D129" s="8" t="s">
        <v>564</v>
      </c>
      <c r="E129" s="8" t="n">
        <v>46</v>
      </c>
      <c r="F129" s="11" t="n">
        <f aca="false">SUMIFS(Itens!$I:$I,Itens!$C:$C,A129,Itens!$A:$A,C129)</f>
        <v>0</v>
      </c>
      <c r="G129" s="11" t="n">
        <f aca="false">SUMIFS(Itens!$J:$J,Itens!$C:$C,A129,Itens!$A:$A,C129)</f>
        <v>0</v>
      </c>
      <c r="H129" s="11" t="n">
        <f aca="false">SUMIFS(Itens!$K:$K,Itens!$C:$C,A129,Itens!$A:$A,C129)</f>
        <v>46</v>
      </c>
    </row>
    <row r="130" customFormat="false" ht="15" hidden="false" customHeight="false" outlineLevel="0" collapsed="false">
      <c r="A130" s="8" t="s">
        <v>221</v>
      </c>
      <c r="B130" s="8" t="n">
        <v>476065</v>
      </c>
      <c r="C130" s="8" t="s">
        <v>535</v>
      </c>
      <c r="D130" s="8" t="s">
        <v>536</v>
      </c>
      <c r="E130" s="8" t="n">
        <v>31</v>
      </c>
      <c r="F130" s="11" t="n">
        <f aca="false">SUMIFS(Itens!$I:$I,Itens!$C:$C,A130,Itens!$A:$A,C130)</f>
        <v>9</v>
      </c>
      <c r="G130" s="11" t="n">
        <f aca="false">SUMIFS(Itens!$J:$J,Itens!$C:$C,A130,Itens!$A:$A,C130)</f>
        <v>22</v>
      </c>
      <c r="H130" s="11" t="n">
        <f aca="false">SUMIFS(Itens!$K:$K,Itens!$C:$C,A130,Itens!$A:$A,C130)</f>
        <v>0</v>
      </c>
    </row>
    <row r="131" customFormat="false" ht="15" hidden="false" customHeight="false" outlineLevel="0" collapsed="false">
      <c r="A131" s="8" t="s">
        <v>221</v>
      </c>
      <c r="B131" s="8" t="n">
        <v>476061</v>
      </c>
      <c r="C131" s="8" t="s">
        <v>565</v>
      </c>
      <c r="D131" s="8" t="s">
        <v>566</v>
      </c>
      <c r="E131" s="8" t="n">
        <v>30</v>
      </c>
      <c r="F131" s="11" t="n">
        <f aca="false">SUMIFS(Itens!$I:$I,Itens!$C:$C,A131,Itens!$A:$A,C131)</f>
        <v>0</v>
      </c>
      <c r="G131" s="11" t="n">
        <f aca="false">SUMIFS(Itens!$J:$J,Itens!$C:$C,A131,Itens!$A:$A,C131)</f>
        <v>29</v>
      </c>
      <c r="H131" s="11" t="n">
        <f aca="false">SUMIFS(Itens!$K:$K,Itens!$C:$C,A131,Itens!$A:$A,C131)</f>
        <v>1</v>
      </c>
    </row>
    <row r="132" customFormat="false" ht="15" hidden="false" customHeight="false" outlineLevel="0" collapsed="false">
      <c r="A132" s="8" t="s">
        <v>221</v>
      </c>
      <c r="B132" s="8" t="n">
        <v>476065</v>
      </c>
      <c r="C132" s="8" t="s">
        <v>505</v>
      </c>
      <c r="D132" s="8" t="s">
        <v>506</v>
      </c>
      <c r="E132" s="8" t="n">
        <v>10</v>
      </c>
      <c r="F132" s="11" t="n">
        <f aca="false">SUMIFS(Itens!$I:$I,Itens!$C:$C,A132,Itens!$A:$A,C132)</f>
        <v>0</v>
      </c>
      <c r="G132" s="11" t="n">
        <f aca="false">SUMIFS(Itens!$J:$J,Itens!$C:$C,A132,Itens!$A:$A,C132)</f>
        <v>0</v>
      </c>
      <c r="H132" s="11" t="n">
        <f aca="false">SUMIFS(Itens!$K:$K,Itens!$C:$C,A132,Itens!$A:$A,C132)</f>
        <v>10</v>
      </c>
    </row>
    <row r="133" customFormat="false" ht="15" hidden="false" customHeight="false" outlineLevel="0" collapsed="false">
      <c r="A133" s="8" t="s">
        <v>225</v>
      </c>
      <c r="B133" s="8" t="n">
        <v>476043</v>
      </c>
      <c r="C133" s="8" t="s">
        <v>573</v>
      </c>
      <c r="D133" s="8" t="s">
        <v>574</v>
      </c>
      <c r="E133" s="8" t="n">
        <v>34</v>
      </c>
      <c r="F133" s="11" t="n">
        <f aca="false">SUMIFS(Itens!$I:$I,Itens!$C:$C,A133,Itens!$A:$A,C133)</f>
        <v>21</v>
      </c>
      <c r="G133" s="11" t="n">
        <f aca="false">SUMIFS(Itens!$J:$J,Itens!$C:$C,A133,Itens!$A:$A,C133)</f>
        <v>13</v>
      </c>
      <c r="H133" s="11" t="n">
        <f aca="false">SUMIFS(Itens!$K:$K,Itens!$C:$C,A133,Itens!$A:$A,C133)</f>
        <v>0</v>
      </c>
    </row>
    <row r="134" customFormat="false" ht="15" hidden="false" customHeight="false" outlineLevel="0" collapsed="false">
      <c r="A134" s="8" t="s">
        <v>225</v>
      </c>
      <c r="B134" s="8" t="n">
        <v>476065</v>
      </c>
      <c r="C134" s="8" t="s">
        <v>575</v>
      </c>
      <c r="D134" s="8" t="s">
        <v>576</v>
      </c>
      <c r="E134" s="8" t="n">
        <v>20</v>
      </c>
      <c r="F134" s="11" t="n">
        <f aca="false">SUMIFS(Itens!$I:$I,Itens!$C:$C,A134,Itens!$A:$A,C134)</f>
        <v>0</v>
      </c>
      <c r="G134" s="11" t="n">
        <f aca="false">SUMIFS(Itens!$J:$J,Itens!$C:$C,A134,Itens!$A:$A,C134)</f>
        <v>12</v>
      </c>
      <c r="H134" s="11" t="n">
        <f aca="false">SUMIFS(Itens!$K:$K,Itens!$C:$C,A134,Itens!$A:$A,C134)</f>
        <v>8</v>
      </c>
    </row>
    <row r="135" customFormat="false" ht="15" hidden="false" customHeight="false" outlineLevel="0" collapsed="false">
      <c r="A135" s="8" t="s">
        <v>225</v>
      </c>
      <c r="B135" s="8" t="n">
        <v>476061</v>
      </c>
      <c r="C135" s="8" t="s">
        <v>569</v>
      </c>
      <c r="D135" s="8" t="s">
        <v>570</v>
      </c>
      <c r="E135" s="8" t="n">
        <v>30</v>
      </c>
      <c r="F135" s="11" t="n">
        <f aca="false">SUMIFS(Itens!$I:$I,Itens!$C:$C,A135,Itens!$A:$A,C135)</f>
        <v>0</v>
      </c>
      <c r="G135" s="11" t="n">
        <f aca="false">SUMIFS(Itens!$J:$J,Itens!$C:$C,A135,Itens!$A:$A,C135)</f>
        <v>6</v>
      </c>
      <c r="H135" s="11" t="n">
        <f aca="false">SUMIFS(Itens!$K:$K,Itens!$C:$C,A135,Itens!$A:$A,C135)</f>
        <v>24</v>
      </c>
    </row>
    <row r="136" customFormat="false" ht="15" hidden="false" customHeight="false" outlineLevel="0" collapsed="false">
      <c r="A136" s="8" t="s">
        <v>226</v>
      </c>
      <c r="B136" s="8" t="n">
        <v>476043</v>
      </c>
      <c r="C136" s="8" t="s">
        <v>573</v>
      </c>
      <c r="D136" s="8" t="s">
        <v>574</v>
      </c>
      <c r="E136" s="8" t="n">
        <v>34</v>
      </c>
      <c r="F136" s="11" t="n">
        <f aca="false">SUMIFS(Itens!$I:$I,Itens!$C:$C,A136,Itens!$A:$A,C136)</f>
        <v>0</v>
      </c>
      <c r="G136" s="11" t="n">
        <f aca="false">SUMIFS(Itens!$J:$J,Itens!$C:$C,A136,Itens!$A:$A,C136)</f>
        <v>34</v>
      </c>
      <c r="H136" s="11" t="n">
        <f aca="false">SUMIFS(Itens!$K:$K,Itens!$C:$C,A136,Itens!$A:$A,C136)</f>
        <v>0</v>
      </c>
    </row>
    <row r="137" customFormat="false" ht="15" hidden="false" customHeight="false" outlineLevel="0" collapsed="false">
      <c r="A137" s="8" t="s">
        <v>226</v>
      </c>
      <c r="B137" s="8" t="n">
        <v>476065</v>
      </c>
      <c r="C137" s="8" t="s">
        <v>575</v>
      </c>
      <c r="D137" s="8" t="s">
        <v>576</v>
      </c>
      <c r="E137" s="8" t="n">
        <v>20</v>
      </c>
      <c r="F137" s="11" t="n">
        <f aca="false">SUMIFS(Itens!$I:$I,Itens!$C:$C,A137,Itens!$A:$A,C137)</f>
        <v>0</v>
      </c>
      <c r="G137" s="11" t="n">
        <f aca="false">SUMIFS(Itens!$J:$J,Itens!$C:$C,A137,Itens!$A:$A,C137)</f>
        <v>20</v>
      </c>
      <c r="H137" s="11" t="n">
        <f aca="false">SUMIFS(Itens!$K:$K,Itens!$C:$C,A137,Itens!$A:$A,C137)</f>
        <v>0</v>
      </c>
    </row>
    <row r="138" customFormat="false" ht="15" hidden="false" customHeight="false" outlineLevel="0" collapsed="false">
      <c r="A138" s="8" t="s">
        <v>226</v>
      </c>
      <c r="B138" s="8" t="n">
        <v>476061</v>
      </c>
      <c r="C138" s="8" t="s">
        <v>569</v>
      </c>
      <c r="D138" s="8" t="s">
        <v>570</v>
      </c>
      <c r="E138" s="8" t="n">
        <v>30</v>
      </c>
      <c r="F138" s="11" t="n">
        <f aca="false">SUMIFS(Itens!$I:$I,Itens!$C:$C,A138,Itens!$A:$A,C138)</f>
        <v>0</v>
      </c>
      <c r="G138" s="11" t="n">
        <f aca="false">SUMIFS(Itens!$J:$J,Itens!$C:$C,A138,Itens!$A:$A,C138)</f>
        <v>0</v>
      </c>
      <c r="H138" s="11" t="n">
        <f aca="false">SUMIFS(Itens!$K:$K,Itens!$C:$C,A138,Itens!$A:$A,C138)</f>
        <v>30</v>
      </c>
    </row>
    <row r="139" customFormat="false" ht="15" hidden="false" customHeight="false" outlineLevel="0" collapsed="false">
      <c r="A139" s="8" t="s">
        <v>230</v>
      </c>
      <c r="B139" s="8" t="n">
        <v>476065</v>
      </c>
      <c r="C139" s="8" t="s">
        <v>575</v>
      </c>
      <c r="D139" s="8" t="s">
        <v>576</v>
      </c>
      <c r="E139" s="8" t="n">
        <v>20</v>
      </c>
      <c r="F139" s="11" t="n">
        <f aca="false">SUMIFS(Itens!$I:$I,Itens!$C:$C,A139,Itens!$A:$A,C139)</f>
        <v>0</v>
      </c>
      <c r="G139" s="11" t="n">
        <f aca="false">SUMIFS(Itens!$J:$J,Itens!$C:$C,A139,Itens!$A:$A,C139)</f>
        <v>20</v>
      </c>
      <c r="H139" s="11" t="n">
        <f aca="false">SUMIFS(Itens!$K:$K,Itens!$C:$C,A139,Itens!$A:$A,C139)</f>
        <v>0</v>
      </c>
    </row>
    <row r="140" customFormat="false" ht="15" hidden="false" customHeight="false" outlineLevel="0" collapsed="false">
      <c r="A140" s="8" t="s">
        <v>230</v>
      </c>
      <c r="B140" s="8" t="n">
        <v>476061</v>
      </c>
      <c r="C140" s="8" t="s">
        <v>581</v>
      </c>
      <c r="D140" s="8" t="s">
        <v>582</v>
      </c>
      <c r="E140" s="8" t="n">
        <v>20</v>
      </c>
      <c r="F140" s="11" t="n">
        <f aca="false">SUMIFS(Itens!$I:$I,Itens!$C:$C,A140,Itens!$A:$A,C140)</f>
        <v>10</v>
      </c>
      <c r="G140" s="11" t="n">
        <f aca="false">SUMIFS(Itens!$J:$J,Itens!$C:$C,A140,Itens!$A:$A,C140)</f>
        <v>3</v>
      </c>
      <c r="H140" s="11" t="n">
        <f aca="false">SUMIFS(Itens!$K:$K,Itens!$C:$C,A140,Itens!$A:$A,C140)</f>
        <v>7</v>
      </c>
    </row>
    <row r="141" customFormat="false" ht="15" hidden="false" customHeight="false" outlineLevel="0" collapsed="false">
      <c r="A141" s="8" t="s">
        <v>230</v>
      </c>
      <c r="B141" s="8" t="n">
        <v>476043</v>
      </c>
      <c r="C141" s="8" t="s">
        <v>583</v>
      </c>
      <c r="D141" s="8" t="s">
        <v>584</v>
      </c>
      <c r="E141" s="8" t="n">
        <v>24</v>
      </c>
      <c r="F141" s="11" t="n">
        <f aca="false">SUMIFS(Itens!$I:$I,Itens!$C:$C,A141,Itens!$A:$A,C141)</f>
        <v>0</v>
      </c>
      <c r="G141" s="11" t="n">
        <f aca="false">SUMIFS(Itens!$J:$J,Itens!$C:$C,A141,Itens!$A:$A,C141)</f>
        <v>24</v>
      </c>
      <c r="H141" s="11" t="n">
        <f aca="false">SUMIFS(Itens!$K:$K,Itens!$C:$C,A141,Itens!$A:$A,C141)</f>
        <v>0</v>
      </c>
    </row>
    <row r="142" customFormat="false" ht="15" hidden="false" customHeight="false" outlineLevel="0" collapsed="false">
      <c r="A142" s="8" t="s">
        <v>241</v>
      </c>
      <c r="B142" s="8" t="n">
        <v>476043</v>
      </c>
      <c r="C142" s="8" t="s">
        <v>561</v>
      </c>
      <c r="D142" s="8" t="s">
        <v>562</v>
      </c>
      <c r="E142" s="8" t="n">
        <v>22</v>
      </c>
      <c r="F142" s="11" t="n">
        <f aca="false">SUMIFS(Itens!$I:$I,Itens!$C:$C,A142,Itens!$A:$A,C142)</f>
        <v>0</v>
      </c>
      <c r="G142" s="11" t="n">
        <f aca="false">SUMIFS(Itens!$J:$J,Itens!$C:$C,A142,Itens!$A:$A,C142)</f>
        <v>0</v>
      </c>
      <c r="H142" s="11" t="n">
        <f aca="false">SUMIFS(Itens!$K:$K,Itens!$C:$C,A142,Itens!$A:$A,C142)</f>
        <v>22</v>
      </c>
    </row>
    <row r="143" customFormat="false" ht="15" hidden="false" customHeight="false" outlineLevel="0" collapsed="false">
      <c r="A143" s="8" t="s">
        <v>241</v>
      </c>
      <c r="B143" s="8" t="n">
        <v>476061</v>
      </c>
      <c r="C143" s="8" t="s">
        <v>589</v>
      </c>
      <c r="D143" s="8" t="s">
        <v>590</v>
      </c>
      <c r="E143" s="8" t="n">
        <v>50</v>
      </c>
      <c r="F143" s="11" t="n">
        <f aca="false">SUMIFS(Itens!$I:$I,Itens!$C:$C,A143,Itens!$A:$A,C143)</f>
        <v>28</v>
      </c>
      <c r="G143" s="11" t="n">
        <f aca="false">SUMIFS(Itens!$J:$J,Itens!$C:$C,A143,Itens!$A:$A,C143)</f>
        <v>0</v>
      </c>
      <c r="H143" s="11" t="n">
        <f aca="false">SUMIFS(Itens!$K:$K,Itens!$C:$C,A143,Itens!$A:$A,C143)</f>
        <v>22</v>
      </c>
    </row>
    <row r="144" customFormat="false" ht="15" hidden="false" customHeight="false" outlineLevel="0" collapsed="false">
      <c r="A144" s="8" t="s">
        <v>243</v>
      </c>
      <c r="B144" s="8" t="n">
        <v>476043</v>
      </c>
      <c r="C144" s="8" t="s">
        <v>561</v>
      </c>
      <c r="D144" s="8" t="s">
        <v>562</v>
      </c>
      <c r="E144" s="8" t="n">
        <v>22</v>
      </c>
      <c r="F144" s="11" t="n">
        <f aca="false">SUMIFS(Itens!$I:$I,Itens!$C:$C,A144,Itens!$A:$A,C144)</f>
        <v>0</v>
      </c>
      <c r="G144" s="11" t="n">
        <f aca="false">SUMIFS(Itens!$J:$J,Itens!$C:$C,A144,Itens!$A:$A,C144)</f>
        <v>0</v>
      </c>
      <c r="H144" s="11" t="n">
        <f aca="false">SUMIFS(Itens!$K:$K,Itens!$C:$C,A144,Itens!$A:$A,C144)</f>
        <v>22</v>
      </c>
    </row>
    <row r="145" customFormat="false" ht="15" hidden="false" customHeight="false" outlineLevel="0" collapsed="false">
      <c r="A145" s="8" t="s">
        <v>243</v>
      </c>
      <c r="B145" s="8" t="n">
        <v>476065</v>
      </c>
      <c r="C145" s="8" t="s">
        <v>591</v>
      </c>
      <c r="D145" s="8" t="s">
        <v>592</v>
      </c>
      <c r="E145" s="8" t="n">
        <v>18</v>
      </c>
      <c r="F145" s="11" t="n">
        <f aca="false">SUMIFS(Itens!$I:$I,Itens!$C:$C,A145,Itens!$A:$A,C145)</f>
        <v>18</v>
      </c>
      <c r="G145" s="11" t="n">
        <f aca="false">SUMIFS(Itens!$J:$J,Itens!$C:$C,A145,Itens!$A:$A,C145)</f>
        <v>0</v>
      </c>
      <c r="H145" s="11" t="n">
        <f aca="false">SUMIFS(Itens!$K:$K,Itens!$C:$C,A145,Itens!$A:$A,C145)</f>
        <v>0</v>
      </c>
    </row>
    <row r="146" customFormat="false" ht="15" hidden="false" customHeight="false" outlineLevel="0" collapsed="false">
      <c r="A146" s="8" t="s">
        <v>244</v>
      </c>
      <c r="B146" s="8" t="n">
        <v>476043</v>
      </c>
      <c r="C146" s="8" t="s">
        <v>561</v>
      </c>
      <c r="D146" s="8" t="s">
        <v>562</v>
      </c>
      <c r="E146" s="8" t="n">
        <v>22</v>
      </c>
      <c r="F146" s="11" t="n">
        <f aca="false">SUMIFS(Itens!$I:$I,Itens!$C:$C,A146,Itens!$A:$A,C146)</f>
        <v>0</v>
      </c>
      <c r="G146" s="11" t="n">
        <f aca="false">SUMIFS(Itens!$J:$J,Itens!$C:$C,A146,Itens!$A:$A,C146)</f>
        <v>0</v>
      </c>
      <c r="H146" s="11" t="n">
        <f aca="false">SUMIFS(Itens!$K:$K,Itens!$C:$C,A146,Itens!$A:$A,C146)</f>
        <v>22</v>
      </c>
    </row>
    <row r="147" customFormat="false" ht="15" hidden="false" customHeight="false" outlineLevel="0" collapsed="false">
      <c r="A147" s="8" t="s">
        <v>244</v>
      </c>
      <c r="B147" s="8" t="n">
        <v>476061</v>
      </c>
      <c r="C147" s="8" t="s">
        <v>593</v>
      </c>
      <c r="D147" s="8" t="s">
        <v>594</v>
      </c>
      <c r="E147" s="8" t="n">
        <v>18</v>
      </c>
      <c r="F147" s="11" t="n">
        <f aca="false">SUMIFS(Itens!$I:$I,Itens!$C:$C,A147,Itens!$A:$A,C147)</f>
        <v>18</v>
      </c>
      <c r="G147" s="11" t="n">
        <f aca="false">SUMIFS(Itens!$J:$J,Itens!$C:$C,A147,Itens!$A:$A,C147)</f>
        <v>0</v>
      </c>
      <c r="H147" s="11" t="n">
        <f aca="false">SUMIFS(Itens!$K:$K,Itens!$C:$C,A147,Itens!$A:$A,C147)</f>
        <v>0</v>
      </c>
    </row>
    <row r="148" customFormat="false" ht="15" hidden="false" customHeight="false" outlineLevel="0" collapsed="false">
      <c r="A148" s="8" t="s">
        <v>244</v>
      </c>
      <c r="B148" s="8" t="n">
        <v>476065</v>
      </c>
      <c r="C148" s="8" t="s">
        <v>591</v>
      </c>
      <c r="D148" s="8" t="s">
        <v>592</v>
      </c>
      <c r="E148" s="8" t="n">
        <v>18</v>
      </c>
      <c r="F148" s="11" t="n">
        <f aca="false">SUMIFS(Itens!$I:$I,Itens!$C:$C,A148,Itens!$A:$A,C148)</f>
        <v>18</v>
      </c>
      <c r="G148" s="11" t="n">
        <f aca="false">SUMIFS(Itens!$J:$J,Itens!$C:$C,A148,Itens!$A:$A,C148)</f>
        <v>0</v>
      </c>
      <c r="H148" s="11" t="n">
        <f aca="false">SUMIFS(Itens!$K:$K,Itens!$C:$C,A148,Itens!$A:$A,C148)</f>
        <v>0</v>
      </c>
    </row>
    <row r="149" customFormat="false" ht="15" hidden="false" customHeight="false" outlineLevel="0" collapsed="false">
      <c r="A149" s="8" t="s">
        <v>245</v>
      </c>
      <c r="B149" s="8" t="n">
        <v>476043</v>
      </c>
      <c r="C149" s="8" t="s">
        <v>561</v>
      </c>
      <c r="D149" s="8" t="s">
        <v>562</v>
      </c>
      <c r="E149" s="8" t="n">
        <v>22</v>
      </c>
      <c r="F149" s="11" t="n">
        <f aca="false">SUMIFS(Itens!$I:$I,Itens!$C:$C,A149,Itens!$A:$A,C149)</f>
        <v>0</v>
      </c>
      <c r="G149" s="11" t="n">
        <f aca="false">SUMIFS(Itens!$J:$J,Itens!$C:$C,A149,Itens!$A:$A,C149)</f>
        <v>0</v>
      </c>
      <c r="H149" s="11" t="n">
        <f aca="false">SUMIFS(Itens!$K:$K,Itens!$C:$C,A149,Itens!$A:$A,C149)</f>
        <v>22</v>
      </c>
    </row>
    <row r="150" customFormat="false" ht="15" hidden="false" customHeight="false" outlineLevel="0" collapsed="false">
      <c r="A150" s="8" t="s">
        <v>245</v>
      </c>
      <c r="B150" s="8" t="n">
        <v>476061</v>
      </c>
      <c r="C150" s="8" t="s">
        <v>593</v>
      </c>
      <c r="D150" s="8" t="s">
        <v>594</v>
      </c>
      <c r="E150" s="8" t="n">
        <v>18</v>
      </c>
      <c r="F150" s="11" t="n">
        <f aca="false">SUMIFS(Itens!$I:$I,Itens!$C:$C,A150,Itens!$A:$A,C150)</f>
        <v>0</v>
      </c>
      <c r="G150" s="11" t="n">
        <f aca="false">SUMIFS(Itens!$J:$J,Itens!$C:$C,A150,Itens!$A:$A,C150)</f>
        <v>18</v>
      </c>
      <c r="H150" s="11" t="n">
        <f aca="false">SUMIFS(Itens!$K:$K,Itens!$C:$C,A150,Itens!$A:$A,C150)</f>
        <v>0</v>
      </c>
    </row>
    <row r="151" customFormat="false" ht="15" hidden="false" customHeight="false" outlineLevel="0" collapsed="false">
      <c r="A151" s="8" t="s">
        <v>245</v>
      </c>
      <c r="B151" s="8" t="n">
        <v>476065</v>
      </c>
      <c r="C151" s="8" t="s">
        <v>591</v>
      </c>
      <c r="D151" s="8" t="s">
        <v>592</v>
      </c>
      <c r="E151" s="8" t="n">
        <v>18</v>
      </c>
      <c r="F151" s="11" t="n">
        <f aca="false">SUMIFS(Itens!$I:$I,Itens!$C:$C,A151,Itens!$A:$A,C151)</f>
        <v>0</v>
      </c>
      <c r="G151" s="11" t="n">
        <f aca="false">SUMIFS(Itens!$J:$J,Itens!$C:$C,A151,Itens!$A:$A,C151)</f>
        <v>18</v>
      </c>
      <c r="H151" s="11" t="n">
        <f aca="false">SUMIFS(Itens!$K:$K,Itens!$C:$C,A151,Itens!$A:$A,C151)</f>
        <v>0</v>
      </c>
    </row>
    <row r="152" customFormat="false" ht="15" hidden="false" customHeight="false" outlineLevel="0" collapsed="false">
      <c r="A152" s="8" t="s">
        <v>246</v>
      </c>
      <c r="B152" s="8" t="n">
        <v>476061</v>
      </c>
      <c r="C152" s="8" t="s">
        <v>595</v>
      </c>
      <c r="D152" s="8" t="s">
        <v>596</v>
      </c>
      <c r="E152" s="8" t="n">
        <v>24</v>
      </c>
      <c r="F152" s="11" t="n">
        <f aca="false">SUMIFS(Itens!$I:$I,Itens!$C:$C,A152,Itens!$A:$A,C152)</f>
        <v>24</v>
      </c>
      <c r="G152" s="11" t="n">
        <f aca="false">SUMIFS(Itens!$J:$J,Itens!$C:$C,A152,Itens!$A:$A,C152)</f>
        <v>0</v>
      </c>
      <c r="H152" s="11" t="n">
        <f aca="false">SUMIFS(Itens!$K:$K,Itens!$C:$C,A152,Itens!$A:$A,C152)</f>
        <v>0</v>
      </c>
    </row>
    <row r="153" customFormat="false" ht="15" hidden="false" customHeight="false" outlineLevel="0" collapsed="false">
      <c r="A153" s="8" t="s">
        <v>246</v>
      </c>
      <c r="B153" s="8" t="n">
        <v>476043</v>
      </c>
      <c r="C153" s="8" t="s">
        <v>561</v>
      </c>
      <c r="D153" s="8" t="s">
        <v>562</v>
      </c>
      <c r="E153" s="8" t="n">
        <v>22</v>
      </c>
      <c r="F153" s="11" t="n">
        <f aca="false">SUMIFS(Itens!$I:$I,Itens!$C:$C,A153,Itens!$A:$A,C153)</f>
        <v>0</v>
      </c>
      <c r="G153" s="11" t="n">
        <f aca="false">SUMIFS(Itens!$J:$J,Itens!$C:$C,A153,Itens!$A:$A,C153)</f>
        <v>0</v>
      </c>
      <c r="H153" s="11" t="n">
        <f aca="false">SUMIFS(Itens!$K:$K,Itens!$C:$C,A153,Itens!$A:$A,C153)</f>
        <v>22</v>
      </c>
    </row>
    <row r="154" customFormat="false" ht="15" hidden="false" customHeight="false" outlineLevel="0" collapsed="false">
      <c r="A154" s="8" t="s">
        <v>246</v>
      </c>
      <c r="B154" s="8" t="n">
        <v>476065</v>
      </c>
      <c r="C154" s="8" t="s">
        <v>591</v>
      </c>
      <c r="D154" s="8" t="s">
        <v>592</v>
      </c>
      <c r="E154" s="8" t="n">
        <v>18</v>
      </c>
      <c r="F154" s="11" t="n">
        <f aca="false">SUMIFS(Itens!$I:$I,Itens!$C:$C,A154,Itens!$A:$A,C154)</f>
        <v>0</v>
      </c>
      <c r="G154" s="11" t="n">
        <f aca="false">SUMIFS(Itens!$J:$J,Itens!$C:$C,A154,Itens!$A:$A,C154)</f>
        <v>18</v>
      </c>
      <c r="H154" s="11" t="n">
        <f aca="false">SUMIFS(Itens!$K:$K,Itens!$C:$C,A154,Itens!$A:$A,C154)</f>
        <v>0</v>
      </c>
    </row>
    <row r="155" customFormat="false" ht="15" hidden="false" customHeight="false" outlineLevel="0" collapsed="false">
      <c r="A155" s="8" t="s">
        <v>247</v>
      </c>
      <c r="B155" s="8" t="n">
        <v>476043</v>
      </c>
      <c r="C155" s="8" t="s">
        <v>573</v>
      </c>
      <c r="D155" s="8" t="s">
        <v>574</v>
      </c>
      <c r="E155" s="8" t="n">
        <v>4</v>
      </c>
      <c r="F155" s="11" t="n">
        <f aca="false">SUMIFS(Itens!$I:$I,Itens!$C:$C,A155,Itens!$A:$A,C155)</f>
        <v>0</v>
      </c>
      <c r="G155" s="11" t="n">
        <f aca="false">SUMIFS(Itens!$J:$J,Itens!$C:$C,A155,Itens!$A:$A,C155)</f>
        <v>4</v>
      </c>
      <c r="H155" s="11" t="n">
        <f aca="false">SUMIFS(Itens!$K:$K,Itens!$C:$C,A155,Itens!$A:$A,C155)</f>
        <v>0</v>
      </c>
    </row>
    <row r="156" customFormat="false" ht="15" hidden="false" customHeight="false" outlineLevel="0" collapsed="false">
      <c r="A156" s="8" t="s">
        <v>247</v>
      </c>
      <c r="B156" s="8" t="n">
        <v>476061</v>
      </c>
      <c r="C156" s="8" t="s">
        <v>595</v>
      </c>
      <c r="D156" s="8" t="s">
        <v>596</v>
      </c>
      <c r="E156" s="8" t="n">
        <v>24</v>
      </c>
      <c r="F156" s="11" t="n">
        <f aca="false">SUMIFS(Itens!$I:$I,Itens!$C:$C,A156,Itens!$A:$A,C156)</f>
        <v>24</v>
      </c>
      <c r="G156" s="11" t="n">
        <f aca="false">SUMIFS(Itens!$J:$J,Itens!$C:$C,A156,Itens!$A:$A,C156)</f>
        <v>0</v>
      </c>
      <c r="H156" s="11" t="n">
        <f aca="false">SUMIFS(Itens!$K:$K,Itens!$C:$C,A156,Itens!$A:$A,C156)</f>
        <v>0</v>
      </c>
    </row>
    <row r="157" customFormat="false" ht="15" hidden="false" customHeight="false" outlineLevel="0" collapsed="false">
      <c r="A157" s="8" t="s">
        <v>247</v>
      </c>
      <c r="B157" s="8" t="n">
        <v>476043</v>
      </c>
      <c r="C157" s="8" t="s">
        <v>583</v>
      </c>
      <c r="D157" s="8" t="s">
        <v>584</v>
      </c>
      <c r="E157" s="8" t="n">
        <v>20</v>
      </c>
      <c r="F157" s="11" t="n">
        <f aca="false">SUMIFS(Itens!$I:$I,Itens!$C:$C,A157,Itens!$A:$A,C157)</f>
        <v>0</v>
      </c>
      <c r="G157" s="11" t="n">
        <f aca="false">SUMIFS(Itens!$J:$J,Itens!$C:$C,A157,Itens!$A:$A,C157)</f>
        <v>6</v>
      </c>
      <c r="H157" s="11" t="n">
        <f aca="false">SUMIFS(Itens!$K:$K,Itens!$C:$C,A157,Itens!$A:$A,C157)</f>
        <v>14</v>
      </c>
    </row>
    <row r="158" customFormat="false" ht="15" hidden="false" customHeight="false" outlineLevel="0" collapsed="false">
      <c r="A158" s="8" t="s">
        <v>247</v>
      </c>
      <c r="B158" s="8" t="n">
        <v>476065</v>
      </c>
      <c r="C158" s="8" t="s">
        <v>591</v>
      </c>
      <c r="D158" s="8" t="s">
        <v>592</v>
      </c>
      <c r="E158" s="8" t="n">
        <v>18</v>
      </c>
      <c r="F158" s="11" t="n">
        <f aca="false">SUMIFS(Itens!$I:$I,Itens!$C:$C,A158,Itens!$A:$A,C158)</f>
        <v>0</v>
      </c>
      <c r="G158" s="11" t="n">
        <f aca="false">SUMIFS(Itens!$J:$J,Itens!$C:$C,A158,Itens!$A:$A,C158)</f>
        <v>18</v>
      </c>
      <c r="H158" s="11" t="n">
        <f aca="false">SUMIFS(Itens!$K:$K,Itens!$C:$C,A158,Itens!$A:$A,C158)</f>
        <v>0</v>
      </c>
    </row>
    <row r="159" customFormat="false" ht="15" hidden="false" customHeight="false" outlineLevel="0" collapsed="false">
      <c r="A159" s="8" t="s">
        <v>247</v>
      </c>
      <c r="B159" s="8" t="n">
        <v>476043</v>
      </c>
      <c r="C159" s="8" t="s">
        <v>501</v>
      </c>
      <c r="D159" s="8" t="s">
        <v>502</v>
      </c>
      <c r="E159" s="8" t="n">
        <v>6</v>
      </c>
      <c r="F159" s="11" t="n">
        <f aca="false">SUMIFS(Itens!$I:$I,Itens!$C:$C,A159,Itens!$A:$A,C159)</f>
        <v>0</v>
      </c>
      <c r="G159" s="11" t="n">
        <f aca="false">SUMIFS(Itens!$J:$J,Itens!$C:$C,A159,Itens!$A:$A,C159)</f>
        <v>6</v>
      </c>
      <c r="H159" s="11" t="n">
        <f aca="false">SUMIFS(Itens!$K:$K,Itens!$C:$C,A159,Itens!$A:$A,C159)</f>
        <v>0</v>
      </c>
    </row>
    <row r="160" customFormat="false" ht="15" hidden="false" customHeight="false" outlineLevel="0" collapsed="false">
      <c r="A160" s="8" t="s">
        <v>248</v>
      </c>
      <c r="B160" s="8" t="n">
        <v>476043</v>
      </c>
      <c r="C160" s="8" t="s">
        <v>559</v>
      </c>
      <c r="D160" s="8" t="s">
        <v>560</v>
      </c>
      <c r="E160" s="8" t="n">
        <v>30</v>
      </c>
      <c r="F160" s="11" t="n">
        <f aca="false">SUMIFS(Itens!$I:$I,Itens!$C:$C,A160,Itens!$A:$A,C160)</f>
        <v>0</v>
      </c>
      <c r="G160" s="11" t="n">
        <f aca="false">SUMIFS(Itens!$J:$J,Itens!$C:$C,A160,Itens!$A:$A,C160)</f>
        <v>30</v>
      </c>
      <c r="H160" s="11" t="n">
        <f aca="false">SUMIFS(Itens!$K:$K,Itens!$C:$C,A160,Itens!$A:$A,C160)</f>
        <v>0</v>
      </c>
    </row>
    <row r="161" customFormat="false" ht="15" hidden="false" customHeight="false" outlineLevel="0" collapsed="false">
      <c r="A161" s="8" t="s">
        <v>248</v>
      </c>
      <c r="B161" s="8" t="n">
        <v>476061</v>
      </c>
      <c r="C161" s="8" t="s">
        <v>593</v>
      </c>
      <c r="D161" s="8" t="s">
        <v>594</v>
      </c>
      <c r="E161" s="8" t="n">
        <v>18</v>
      </c>
      <c r="F161" s="11" t="n">
        <f aca="false">SUMIFS(Itens!$I:$I,Itens!$C:$C,A161,Itens!$A:$A,C161)</f>
        <v>18</v>
      </c>
      <c r="G161" s="11" t="n">
        <f aca="false">SUMIFS(Itens!$J:$J,Itens!$C:$C,A161,Itens!$A:$A,C161)</f>
        <v>0</v>
      </c>
      <c r="H161" s="11" t="n">
        <f aca="false">SUMIFS(Itens!$K:$K,Itens!$C:$C,A161,Itens!$A:$A,C161)</f>
        <v>0</v>
      </c>
    </row>
    <row r="162" customFormat="false" ht="15" hidden="false" customHeight="false" outlineLevel="0" collapsed="false">
      <c r="A162" s="8" t="s">
        <v>248</v>
      </c>
      <c r="B162" s="8" t="n">
        <v>476065</v>
      </c>
      <c r="C162" s="8" t="s">
        <v>591</v>
      </c>
      <c r="D162" s="8" t="s">
        <v>592</v>
      </c>
      <c r="E162" s="8" t="n">
        <v>18</v>
      </c>
      <c r="F162" s="11" t="n">
        <f aca="false">SUMIFS(Itens!$I:$I,Itens!$C:$C,A162,Itens!$A:$A,C162)</f>
        <v>0</v>
      </c>
      <c r="G162" s="11" t="n">
        <f aca="false">SUMIFS(Itens!$J:$J,Itens!$C:$C,A162,Itens!$A:$A,C162)</f>
        <v>18</v>
      </c>
      <c r="H162" s="11" t="n">
        <f aca="false">SUMIFS(Itens!$K:$K,Itens!$C:$C,A162,Itens!$A:$A,C162)</f>
        <v>0</v>
      </c>
    </row>
    <row r="163" customFormat="false" ht="15" hidden="false" customHeight="false" outlineLevel="0" collapsed="false">
      <c r="A163" s="8" t="s">
        <v>248</v>
      </c>
      <c r="B163" s="8" t="n">
        <v>476043</v>
      </c>
      <c r="C163" s="8" t="s">
        <v>501</v>
      </c>
      <c r="D163" s="8" t="s">
        <v>502</v>
      </c>
      <c r="E163" s="8" t="n">
        <v>24</v>
      </c>
      <c r="F163" s="11" t="n">
        <f aca="false">SUMIFS(Itens!$I:$I,Itens!$C:$C,A163,Itens!$A:$A,C163)</f>
        <v>0</v>
      </c>
      <c r="G163" s="11" t="n">
        <f aca="false">SUMIFS(Itens!$J:$J,Itens!$C:$C,A163,Itens!$A:$A,C163)</f>
        <v>3</v>
      </c>
      <c r="H163" s="11" t="n">
        <f aca="false">SUMIFS(Itens!$K:$K,Itens!$C:$C,A163,Itens!$A:$A,C163)</f>
        <v>21</v>
      </c>
    </row>
    <row r="164" customFormat="false" ht="15" hidden="false" customHeight="false" outlineLevel="0" collapsed="false">
      <c r="A164" s="8" t="s">
        <v>252</v>
      </c>
      <c r="B164" s="8" t="n">
        <v>476061</v>
      </c>
      <c r="C164" s="8" t="s">
        <v>601</v>
      </c>
      <c r="D164" s="8" t="s">
        <v>602</v>
      </c>
      <c r="E164" s="8" t="n">
        <v>44</v>
      </c>
      <c r="F164" s="11" t="n">
        <f aca="false">SUMIFS(Itens!$I:$I,Itens!$C:$C,A164,Itens!$A:$A,C164)</f>
        <v>0</v>
      </c>
      <c r="G164" s="11" t="n">
        <f aca="false">SUMIFS(Itens!$J:$J,Itens!$C:$C,A164,Itens!$A:$A,C164)</f>
        <v>11</v>
      </c>
      <c r="H164" s="11" t="n">
        <f aca="false">SUMIFS(Itens!$K:$K,Itens!$C:$C,A164,Itens!$A:$A,C164)</f>
        <v>33</v>
      </c>
    </row>
    <row r="165" customFormat="false" ht="15" hidden="false" customHeight="false" outlineLevel="0" collapsed="false">
      <c r="A165" s="8" t="s">
        <v>252</v>
      </c>
      <c r="B165" s="8" t="n">
        <v>476065</v>
      </c>
      <c r="C165" s="8" t="s">
        <v>597</v>
      </c>
      <c r="D165" s="8" t="s">
        <v>598</v>
      </c>
      <c r="E165" s="8" t="n">
        <v>46</v>
      </c>
      <c r="F165" s="11" t="n">
        <f aca="false">SUMIFS(Itens!$I:$I,Itens!$C:$C,A165,Itens!$A:$A,C165)</f>
        <v>0</v>
      </c>
      <c r="G165" s="11" t="n">
        <f aca="false">SUMIFS(Itens!$J:$J,Itens!$C:$C,A165,Itens!$A:$A,C165)</f>
        <v>29</v>
      </c>
      <c r="H165" s="11" t="n">
        <f aca="false">SUMIFS(Itens!$K:$K,Itens!$C:$C,A165,Itens!$A:$A,C165)</f>
        <v>17</v>
      </c>
    </row>
    <row r="166" customFormat="false" ht="15" hidden="false" customHeight="false" outlineLevel="0" collapsed="false">
      <c r="A166" s="8" t="s">
        <v>252</v>
      </c>
      <c r="B166" s="8" t="n">
        <v>476043</v>
      </c>
      <c r="C166" s="8" t="s">
        <v>603</v>
      </c>
      <c r="D166" s="8" t="s">
        <v>604</v>
      </c>
      <c r="E166" s="8" t="n">
        <v>66</v>
      </c>
      <c r="F166" s="11" t="n">
        <f aca="false">SUMIFS(Itens!$I:$I,Itens!$C:$C,A166,Itens!$A:$A,C166)</f>
        <v>0</v>
      </c>
      <c r="G166" s="11" t="n">
        <f aca="false">SUMIFS(Itens!$J:$J,Itens!$C:$C,A166,Itens!$A:$A,C166)</f>
        <v>0</v>
      </c>
      <c r="H166" s="11" t="n">
        <f aca="false">SUMIFS(Itens!$K:$K,Itens!$C:$C,A166,Itens!$A:$A,C166)</f>
        <v>66</v>
      </c>
    </row>
    <row r="167" customFormat="false" ht="15" hidden="false" customHeight="false" outlineLevel="0" collapsed="false">
      <c r="A167" s="8" t="s">
        <v>253</v>
      </c>
      <c r="B167" s="8" t="n">
        <v>476065</v>
      </c>
      <c r="C167" s="8" t="s">
        <v>577</v>
      </c>
      <c r="D167" s="8" t="s">
        <v>578</v>
      </c>
      <c r="E167" s="8" t="n">
        <v>42</v>
      </c>
      <c r="F167" s="11" t="n">
        <f aca="false">SUMIFS(Itens!$I:$I,Itens!$C:$C,A167,Itens!$A:$A,C167)</f>
        <v>6</v>
      </c>
      <c r="G167" s="11" t="n">
        <f aca="false">SUMIFS(Itens!$J:$J,Itens!$C:$C,A167,Itens!$A:$A,C167)</f>
        <v>36</v>
      </c>
      <c r="H167" s="11" t="n">
        <f aca="false">SUMIFS(Itens!$K:$K,Itens!$C:$C,A167,Itens!$A:$A,C167)</f>
        <v>0</v>
      </c>
    </row>
    <row r="168" customFormat="false" ht="15" hidden="false" customHeight="false" outlineLevel="0" collapsed="false">
      <c r="A168" s="8" t="s">
        <v>253</v>
      </c>
      <c r="B168" s="8" t="n">
        <v>476061</v>
      </c>
      <c r="C168" s="8" t="s">
        <v>599</v>
      </c>
      <c r="D168" s="8" t="s">
        <v>600</v>
      </c>
      <c r="E168" s="8" t="n">
        <v>34</v>
      </c>
      <c r="F168" s="11" t="n">
        <f aca="false">SUMIFS(Itens!$I:$I,Itens!$C:$C,A168,Itens!$A:$A,C168)</f>
        <v>0</v>
      </c>
      <c r="G168" s="11" t="n">
        <f aca="false">SUMIFS(Itens!$J:$J,Itens!$C:$C,A168,Itens!$A:$A,C168)</f>
        <v>32</v>
      </c>
      <c r="H168" s="11" t="n">
        <f aca="false">SUMIFS(Itens!$K:$K,Itens!$C:$C,A168,Itens!$A:$A,C168)</f>
        <v>2</v>
      </c>
    </row>
    <row r="169" customFormat="false" ht="15" hidden="false" customHeight="false" outlineLevel="0" collapsed="false">
      <c r="A169" s="8" t="s">
        <v>253</v>
      </c>
      <c r="B169" s="8" t="n">
        <v>476043</v>
      </c>
      <c r="C169" s="8" t="s">
        <v>605</v>
      </c>
      <c r="D169" s="8" t="s">
        <v>606</v>
      </c>
      <c r="E169" s="8" t="n">
        <v>7</v>
      </c>
      <c r="F169" s="11" t="n">
        <f aca="false">SUMIFS(Itens!$I:$I,Itens!$C:$C,A169,Itens!$A:$A,C169)</f>
        <v>0</v>
      </c>
      <c r="G169" s="11" t="n">
        <f aca="false">SUMIFS(Itens!$J:$J,Itens!$C:$C,A169,Itens!$A:$A,C169)</f>
        <v>0</v>
      </c>
      <c r="H169" s="11" t="n">
        <f aca="false">SUMIFS(Itens!$K:$K,Itens!$C:$C,A169,Itens!$A:$A,C169)</f>
        <v>7</v>
      </c>
    </row>
    <row r="170" customFormat="false" ht="15" hidden="false" customHeight="false" outlineLevel="0" collapsed="false">
      <c r="A170" s="8" t="s">
        <v>257</v>
      </c>
      <c r="B170" s="8" t="n">
        <v>476065</v>
      </c>
      <c r="C170" s="8" t="s">
        <v>607</v>
      </c>
      <c r="D170" s="8" t="s">
        <v>608</v>
      </c>
      <c r="E170" s="8" t="n">
        <v>5</v>
      </c>
      <c r="F170" s="11" t="n">
        <f aca="false">SUMIFS(Itens!$I:$I,Itens!$C:$C,A170,Itens!$A:$A,C170)</f>
        <v>0</v>
      </c>
      <c r="G170" s="11" t="n">
        <f aca="false">SUMIFS(Itens!$J:$J,Itens!$C:$C,A170,Itens!$A:$A,C170)</f>
        <v>0</v>
      </c>
      <c r="H170" s="11" t="n">
        <f aca="false">SUMIFS(Itens!$K:$K,Itens!$C:$C,A170,Itens!$A:$A,C170)</f>
        <v>5</v>
      </c>
    </row>
    <row r="171" customFormat="false" ht="15" hidden="false" customHeight="false" outlineLevel="0" collapsed="false">
      <c r="A171" s="8" t="s">
        <v>257</v>
      </c>
      <c r="B171" s="8" t="n">
        <v>476065</v>
      </c>
      <c r="C171" s="8" t="s">
        <v>597</v>
      </c>
      <c r="D171" s="8" t="s">
        <v>598</v>
      </c>
      <c r="E171" s="8" t="n">
        <v>2</v>
      </c>
      <c r="F171" s="11" t="n">
        <f aca="false">SUMIFS(Itens!$I:$I,Itens!$C:$C,A171,Itens!$A:$A,C171)</f>
        <v>0</v>
      </c>
      <c r="G171" s="11" t="n">
        <f aca="false">SUMIFS(Itens!$J:$J,Itens!$C:$C,A171,Itens!$A:$A,C171)</f>
        <v>0</v>
      </c>
      <c r="H171" s="11" t="n">
        <f aca="false">SUMIFS(Itens!$K:$K,Itens!$C:$C,A171,Itens!$A:$A,C171)</f>
        <v>2</v>
      </c>
    </row>
    <row r="172" customFormat="false" ht="15" hidden="false" customHeight="false" outlineLevel="0" collapsed="false">
      <c r="A172" s="8" t="s">
        <v>257</v>
      </c>
      <c r="B172" s="8" t="n">
        <v>476061</v>
      </c>
      <c r="C172" s="8" t="s">
        <v>609</v>
      </c>
      <c r="D172" s="8" t="s">
        <v>610</v>
      </c>
      <c r="E172" s="8" t="n">
        <v>8</v>
      </c>
      <c r="F172" s="11" t="n">
        <f aca="false">SUMIFS(Itens!$I:$I,Itens!$C:$C,A172,Itens!$A:$A,C172)</f>
        <v>8</v>
      </c>
      <c r="G172" s="11" t="n">
        <f aca="false">SUMIFS(Itens!$J:$J,Itens!$C:$C,A172,Itens!$A:$A,C172)</f>
        <v>0</v>
      </c>
      <c r="H172" s="11" t="n">
        <f aca="false">SUMIFS(Itens!$K:$K,Itens!$C:$C,A172,Itens!$A:$A,C172)</f>
        <v>0</v>
      </c>
    </row>
    <row r="173" customFormat="false" ht="15" hidden="false" customHeight="false" outlineLevel="0" collapsed="false">
      <c r="A173" s="8" t="s">
        <v>257</v>
      </c>
      <c r="B173" s="8" t="n">
        <v>476065</v>
      </c>
      <c r="C173" s="8" t="s">
        <v>535</v>
      </c>
      <c r="D173" s="8" t="s">
        <v>536</v>
      </c>
      <c r="E173" s="8" t="n">
        <v>9</v>
      </c>
      <c r="F173" s="11" t="n">
        <f aca="false">SUMIFS(Itens!$I:$I,Itens!$C:$C,A173,Itens!$A:$A,C173)</f>
        <v>0</v>
      </c>
      <c r="G173" s="11" t="n">
        <f aca="false">SUMIFS(Itens!$J:$J,Itens!$C:$C,A173,Itens!$A:$A,C173)</f>
        <v>9</v>
      </c>
      <c r="H173" s="11" t="n">
        <f aca="false">SUMIFS(Itens!$K:$K,Itens!$C:$C,A173,Itens!$A:$A,C173)</f>
        <v>0</v>
      </c>
    </row>
    <row r="174" customFormat="false" ht="15" hidden="false" customHeight="false" outlineLevel="0" collapsed="false">
      <c r="A174" s="8" t="s">
        <v>257</v>
      </c>
      <c r="B174" s="8" t="n">
        <v>476043</v>
      </c>
      <c r="C174" s="8" t="s">
        <v>605</v>
      </c>
      <c r="D174" s="8" t="s">
        <v>606</v>
      </c>
      <c r="E174" s="8" t="n">
        <v>7</v>
      </c>
      <c r="F174" s="11" t="n">
        <f aca="false">SUMIFS(Itens!$I:$I,Itens!$C:$C,A174,Itens!$A:$A,C174)</f>
        <v>0</v>
      </c>
      <c r="G174" s="11" t="n">
        <f aca="false">SUMIFS(Itens!$J:$J,Itens!$C:$C,A174,Itens!$A:$A,C174)</f>
        <v>7</v>
      </c>
      <c r="H174" s="11" t="n">
        <f aca="false">SUMIFS(Itens!$K:$K,Itens!$C:$C,A174,Itens!$A:$A,C174)</f>
        <v>0</v>
      </c>
    </row>
    <row r="175" customFormat="false" ht="15" hidden="false" customHeight="false" outlineLevel="0" collapsed="false">
      <c r="A175" s="8" t="s">
        <v>257</v>
      </c>
      <c r="B175" s="8" t="n">
        <v>476065</v>
      </c>
      <c r="C175" s="8" t="s">
        <v>571</v>
      </c>
      <c r="D175" s="8" t="s">
        <v>572</v>
      </c>
      <c r="E175" s="8" t="n">
        <v>22</v>
      </c>
      <c r="F175" s="11" t="n">
        <f aca="false">SUMIFS(Itens!$I:$I,Itens!$C:$C,A175,Itens!$A:$A,C175)</f>
        <v>20</v>
      </c>
      <c r="G175" s="11" t="n">
        <f aca="false">SUMIFS(Itens!$J:$J,Itens!$C:$C,A175,Itens!$A:$A,C175)</f>
        <v>2</v>
      </c>
      <c r="H175" s="11" t="n">
        <f aca="false">SUMIFS(Itens!$K:$K,Itens!$C:$C,A175,Itens!$A:$A,C175)</f>
        <v>0</v>
      </c>
    </row>
    <row r="176" customFormat="false" ht="15" hidden="false" customHeight="false" outlineLevel="0" collapsed="false">
      <c r="A176" s="8" t="s">
        <v>258</v>
      </c>
      <c r="B176" s="8" t="n">
        <v>476065</v>
      </c>
      <c r="C176" s="8" t="s">
        <v>607</v>
      </c>
      <c r="D176" s="8" t="s">
        <v>608</v>
      </c>
      <c r="E176" s="8" t="n">
        <v>23</v>
      </c>
      <c r="F176" s="11" t="n">
        <f aca="false">SUMIFS(Itens!$I:$I,Itens!$C:$C,A176,Itens!$A:$A,C176)</f>
        <v>0</v>
      </c>
      <c r="G176" s="11" t="n">
        <f aca="false">SUMIFS(Itens!$J:$J,Itens!$C:$C,A176,Itens!$A:$A,C176)</f>
        <v>0</v>
      </c>
      <c r="H176" s="11" t="n">
        <f aca="false">SUMIFS(Itens!$K:$K,Itens!$C:$C,A176,Itens!$A:$A,C176)</f>
        <v>23</v>
      </c>
    </row>
    <row r="177" customFormat="false" ht="15" hidden="false" customHeight="false" outlineLevel="0" collapsed="false">
      <c r="A177" s="8" t="s">
        <v>258</v>
      </c>
      <c r="B177" s="8" t="n">
        <v>476065</v>
      </c>
      <c r="C177" s="8" t="s">
        <v>577</v>
      </c>
      <c r="D177" s="8" t="s">
        <v>578</v>
      </c>
      <c r="E177" s="8" t="n">
        <v>14</v>
      </c>
      <c r="F177" s="11" t="n">
        <f aca="false">SUMIFS(Itens!$I:$I,Itens!$C:$C,A177,Itens!$A:$A,C177)</f>
        <v>14</v>
      </c>
      <c r="G177" s="11" t="n">
        <f aca="false">SUMIFS(Itens!$J:$J,Itens!$C:$C,A177,Itens!$A:$A,C177)</f>
        <v>0</v>
      </c>
      <c r="H177" s="11" t="n">
        <f aca="false">SUMIFS(Itens!$K:$K,Itens!$C:$C,A177,Itens!$A:$A,C177)</f>
        <v>0</v>
      </c>
    </row>
    <row r="178" customFormat="false" ht="15" hidden="false" customHeight="false" outlineLevel="0" collapsed="false">
      <c r="A178" s="8" t="s">
        <v>258</v>
      </c>
      <c r="B178" s="8" t="n">
        <v>476061</v>
      </c>
      <c r="C178" s="8" t="s">
        <v>611</v>
      </c>
      <c r="D178" s="8" t="s">
        <v>612</v>
      </c>
      <c r="E178" s="8" t="n">
        <v>9</v>
      </c>
      <c r="F178" s="11" t="n">
        <f aca="false">SUMIFS(Itens!$I:$I,Itens!$C:$C,A178,Itens!$A:$A,C178)</f>
        <v>5</v>
      </c>
      <c r="G178" s="11" t="n">
        <f aca="false">SUMIFS(Itens!$J:$J,Itens!$C:$C,A178,Itens!$A:$A,C178)</f>
        <v>0</v>
      </c>
      <c r="H178" s="11" t="n">
        <f aca="false">SUMIFS(Itens!$K:$K,Itens!$C:$C,A178,Itens!$A:$A,C178)</f>
        <v>4</v>
      </c>
    </row>
    <row r="179" customFormat="false" ht="15" hidden="false" customHeight="false" outlineLevel="0" collapsed="false">
      <c r="A179" s="8" t="s">
        <v>258</v>
      </c>
      <c r="B179" s="8" t="n">
        <v>476061</v>
      </c>
      <c r="C179" s="8" t="s">
        <v>613</v>
      </c>
      <c r="D179" s="8" t="s">
        <v>614</v>
      </c>
      <c r="E179" s="8" t="n">
        <v>10</v>
      </c>
      <c r="F179" s="11" t="n">
        <f aca="false">SUMIFS(Itens!$I:$I,Itens!$C:$C,A179,Itens!$A:$A,C179)</f>
        <v>0</v>
      </c>
      <c r="G179" s="11" t="n">
        <f aca="false">SUMIFS(Itens!$J:$J,Itens!$C:$C,A179,Itens!$A:$A,C179)</f>
        <v>10</v>
      </c>
      <c r="H179" s="11" t="n">
        <f aca="false">SUMIFS(Itens!$K:$K,Itens!$C:$C,A179,Itens!$A:$A,C179)</f>
        <v>0</v>
      </c>
    </row>
    <row r="180" customFormat="false" ht="15" hidden="false" customHeight="false" outlineLevel="0" collapsed="false">
      <c r="A180" s="8" t="s">
        <v>258</v>
      </c>
      <c r="B180" s="8" t="n">
        <v>476061</v>
      </c>
      <c r="C180" s="8" t="s">
        <v>615</v>
      </c>
      <c r="D180" s="8" t="s">
        <v>616</v>
      </c>
      <c r="E180" s="8" t="n">
        <v>6</v>
      </c>
      <c r="F180" s="11" t="n">
        <f aca="false">SUMIFS(Itens!$I:$I,Itens!$C:$C,A180,Itens!$A:$A,C180)</f>
        <v>0</v>
      </c>
      <c r="G180" s="11" t="n">
        <f aca="false">SUMIFS(Itens!$J:$J,Itens!$C:$C,A180,Itens!$A:$A,C180)</f>
        <v>6</v>
      </c>
      <c r="H180" s="11" t="n">
        <f aca="false">SUMIFS(Itens!$K:$K,Itens!$C:$C,A180,Itens!$A:$A,C180)</f>
        <v>0</v>
      </c>
    </row>
    <row r="181" customFormat="false" ht="15" hidden="false" customHeight="false" outlineLevel="0" collapsed="false">
      <c r="A181" s="8" t="s">
        <v>258</v>
      </c>
      <c r="B181" s="8" t="n">
        <v>476061</v>
      </c>
      <c r="C181" s="8" t="s">
        <v>617</v>
      </c>
      <c r="D181" s="8" t="s">
        <v>618</v>
      </c>
      <c r="E181" s="8" t="n">
        <v>8</v>
      </c>
      <c r="F181" s="11" t="n">
        <f aca="false">SUMIFS(Itens!$I:$I,Itens!$C:$C,A181,Itens!$A:$A,C181)</f>
        <v>8</v>
      </c>
      <c r="G181" s="11" t="n">
        <f aca="false">SUMIFS(Itens!$J:$J,Itens!$C:$C,A181,Itens!$A:$A,C181)</f>
        <v>0</v>
      </c>
      <c r="H181" s="11" t="n">
        <f aca="false">SUMIFS(Itens!$K:$K,Itens!$C:$C,A181,Itens!$A:$A,C181)</f>
        <v>0</v>
      </c>
    </row>
    <row r="182" customFormat="false" ht="15" hidden="false" customHeight="false" outlineLevel="0" collapsed="false">
      <c r="A182" s="8" t="s">
        <v>258</v>
      </c>
      <c r="B182" s="8" t="n">
        <v>476065</v>
      </c>
      <c r="C182" s="8" t="s">
        <v>591</v>
      </c>
      <c r="D182" s="8" t="s">
        <v>592</v>
      </c>
      <c r="E182" s="8" t="n">
        <v>5</v>
      </c>
      <c r="F182" s="11" t="n">
        <f aca="false">SUMIFS(Itens!$I:$I,Itens!$C:$C,A182,Itens!$A:$A,C182)</f>
        <v>0</v>
      </c>
      <c r="G182" s="11" t="n">
        <f aca="false">SUMIFS(Itens!$J:$J,Itens!$C:$C,A182,Itens!$A:$A,C182)</f>
        <v>5</v>
      </c>
      <c r="H182" s="11" t="n">
        <f aca="false">SUMIFS(Itens!$K:$K,Itens!$C:$C,A182,Itens!$A:$A,C182)</f>
        <v>0</v>
      </c>
    </row>
    <row r="183" customFormat="false" ht="15" hidden="false" customHeight="false" outlineLevel="0" collapsed="false">
      <c r="A183" s="8" t="s">
        <v>258</v>
      </c>
      <c r="B183" s="8" t="n">
        <v>476043</v>
      </c>
      <c r="C183" s="8" t="s">
        <v>605</v>
      </c>
      <c r="D183" s="8" t="s">
        <v>606</v>
      </c>
      <c r="E183" s="8" t="n">
        <v>7</v>
      </c>
      <c r="F183" s="11" t="n">
        <f aca="false">SUMIFS(Itens!$I:$I,Itens!$C:$C,A183,Itens!$A:$A,C183)</f>
        <v>0</v>
      </c>
      <c r="G183" s="11" t="n">
        <f aca="false">SUMIFS(Itens!$J:$J,Itens!$C:$C,A183,Itens!$A:$A,C183)</f>
        <v>7</v>
      </c>
      <c r="H183" s="11" t="n">
        <f aca="false">SUMIFS(Itens!$K:$K,Itens!$C:$C,A183,Itens!$A:$A,C183)</f>
        <v>0</v>
      </c>
    </row>
    <row r="184" customFormat="false" ht="15" hidden="false" customHeight="false" outlineLevel="0" collapsed="false">
      <c r="A184" s="8" t="s">
        <v>258</v>
      </c>
      <c r="B184" s="8" t="n">
        <v>476061</v>
      </c>
      <c r="C184" s="8" t="s">
        <v>619</v>
      </c>
      <c r="D184" s="8" t="s">
        <v>620</v>
      </c>
      <c r="E184" s="8" t="n">
        <v>9</v>
      </c>
      <c r="F184" s="11" t="n">
        <f aca="false">SUMIFS(Itens!$I:$I,Itens!$C:$C,A184,Itens!$A:$A,C184)</f>
        <v>9</v>
      </c>
      <c r="G184" s="11" t="n">
        <f aca="false">SUMIFS(Itens!$J:$J,Itens!$C:$C,A184,Itens!$A:$A,C184)</f>
        <v>0</v>
      </c>
      <c r="H184" s="11" t="n">
        <f aca="false">SUMIFS(Itens!$K:$K,Itens!$C:$C,A184,Itens!$A:$A,C184)</f>
        <v>0</v>
      </c>
    </row>
    <row r="185" customFormat="false" ht="15" hidden="false" customHeight="false" outlineLevel="0" collapsed="false">
      <c r="A185" s="8" t="s">
        <v>262</v>
      </c>
      <c r="B185" s="8" t="n">
        <v>476061</v>
      </c>
      <c r="C185" s="8" t="s">
        <v>625</v>
      </c>
      <c r="D185" s="8" t="s">
        <v>626</v>
      </c>
      <c r="E185" s="8" t="n">
        <v>20</v>
      </c>
      <c r="F185" s="11" t="n">
        <f aca="false">SUMIFS(Itens!$I:$I,Itens!$C:$C,A185,Itens!$A:$A,C185)</f>
        <v>0</v>
      </c>
      <c r="G185" s="11" t="n">
        <f aca="false">SUMIFS(Itens!$J:$J,Itens!$C:$C,A185,Itens!$A:$A,C185)</f>
        <v>20</v>
      </c>
      <c r="H185" s="11" t="n">
        <f aca="false">SUMIFS(Itens!$K:$K,Itens!$C:$C,A185,Itens!$A:$A,C185)</f>
        <v>0</v>
      </c>
    </row>
    <row r="186" customFormat="false" ht="15" hidden="false" customHeight="false" outlineLevel="0" collapsed="false">
      <c r="A186" s="8" t="s">
        <v>262</v>
      </c>
      <c r="B186" s="8" t="n">
        <v>476065</v>
      </c>
      <c r="C186" s="8" t="s">
        <v>623</v>
      </c>
      <c r="D186" s="8" t="s">
        <v>624</v>
      </c>
      <c r="E186" s="8" t="n">
        <v>16</v>
      </c>
      <c r="F186" s="11" t="n">
        <f aca="false">SUMIFS(Itens!$I:$I,Itens!$C:$C,A186,Itens!$A:$A,C186)</f>
        <v>16</v>
      </c>
      <c r="G186" s="11" t="n">
        <f aca="false">SUMIFS(Itens!$J:$J,Itens!$C:$C,A186,Itens!$A:$A,C186)</f>
        <v>0</v>
      </c>
      <c r="H186" s="11" t="n">
        <f aca="false">SUMIFS(Itens!$K:$K,Itens!$C:$C,A186,Itens!$A:$A,C186)</f>
        <v>0</v>
      </c>
    </row>
    <row r="187" customFormat="false" ht="15" hidden="false" customHeight="false" outlineLevel="0" collapsed="false">
      <c r="A187" s="8" t="s">
        <v>270</v>
      </c>
      <c r="B187" s="8" t="n">
        <v>476043</v>
      </c>
      <c r="C187" s="8" t="s">
        <v>629</v>
      </c>
      <c r="D187" s="8" t="s">
        <v>630</v>
      </c>
      <c r="E187" s="8" t="n">
        <v>37</v>
      </c>
      <c r="F187" s="11" t="n">
        <f aca="false">SUMIFS(Itens!$I:$I,Itens!$C:$C,A187,Itens!$A:$A,C187)</f>
        <v>11</v>
      </c>
      <c r="G187" s="11" t="n">
        <f aca="false">SUMIFS(Itens!$J:$J,Itens!$C:$C,A187,Itens!$A:$A,C187)</f>
        <v>0</v>
      </c>
      <c r="H187" s="11" t="n">
        <f aca="false">SUMIFS(Itens!$K:$K,Itens!$C:$C,A187,Itens!$A:$A,C187)</f>
        <v>26</v>
      </c>
    </row>
    <row r="188" customFormat="false" ht="15" hidden="false" customHeight="false" outlineLevel="0" collapsed="false">
      <c r="A188" s="8" t="s">
        <v>270</v>
      </c>
      <c r="B188" s="8" t="n">
        <v>476061</v>
      </c>
      <c r="C188" s="8" t="s">
        <v>627</v>
      </c>
      <c r="D188" s="8" t="s">
        <v>628</v>
      </c>
      <c r="E188" s="8" t="n">
        <v>24</v>
      </c>
      <c r="F188" s="11" t="n">
        <f aca="false">SUMIFS(Itens!$I:$I,Itens!$C:$C,A188,Itens!$A:$A,C188)</f>
        <v>4</v>
      </c>
      <c r="G188" s="11" t="n">
        <f aca="false">SUMIFS(Itens!$J:$J,Itens!$C:$C,A188,Itens!$A:$A,C188)</f>
        <v>20</v>
      </c>
      <c r="H188" s="11" t="n">
        <f aca="false">SUMIFS(Itens!$K:$K,Itens!$C:$C,A188,Itens!$A:$A,C188)</f>
        <v>0</v>
      </c>
    </row>
    <row r="189" customFormat="false" ht="15" hidden="false" customHeight="false" outlineLevel="0" collapsed="false">
      <c r="A189" s="8" t="s">
        <v>270</v>
      </c>
      <c r="B189" s="8" t="n">
        <v>476065</v>
      </c>
      <c r="C189" s="8" t="s">
        <v>623</v>
      </c>
      <c r="D189" s="8" t="s">
        <v>624</v>
      </c>
      <c r="E189" s="8" t="n">
        <v>16</v>
      </c>
      <c r="F189" s="11" t="n">
        <f aca="false">SUMIFS(Itens!$I:$I,Itens!$C:$C,A189,Itens!$A:$A,C189)</f>
        <v>0</v>
      </c>
      <c r="G189" s="11" t="n">
        <f aca="false">SUMIFS(Itens!$J:$J,Itens!$C:$C,A189,Itens!$A:$A,C189)</f>
        <v>0</v>
      </c>
      <c r="H189" s="11" t="n">
        <f aca="false">SUMIFS(Itens!$K:$K,Itens!$C:$C,A189,Itens!$A:$A,C189)</f>
        <v>16</v>
      </c>
    </row>
    <row r="190" customFormat="false" ht="15" hidden="false" customHeight="false" outlineLevel="0" collapsed="false">
      <c r="A190" s="8" t="s">
        <v>273</v>
      </c>
      <c r="B190" s="8" t="n">
        <v>476043</v>
      </c>
      <c r="C190" s="8" t="s">
        <v>603</v>
      </c>
      <c r="D190" s="8" t="s">
        <v>604</v>
      </c>
      <c r="E190" s="8" t="n">
        <v>66</v>
      </c>
      <c r="F190" s="11" t="n">
        <f aca="false">SUMIFS(Itens!$I:$I,Itens!$C:$C,A190,Itens!$A:$A,C190)</f>
        <v>0</v>
      </c>
      <c r="G190" s="11" t="n">
        <f aca="false">SUMIFS(Itens!$J:$J,Itens!$C:$C,A190,Itens!$A:$A,C190)</f>
        <v>66</v>
      </c>
      <c r="H190" s="11" t="n">
        <f aca="false">SUMIFS(Itens!$K:$K,Itens!$C:$C,A190,Itens!$A:$A,C190)</f>
        <v>0</v>
      </c>
    </row>
    <row r="191" customFormat="false" ht="15" hidden="false" customHeight="false" outlineLevel="0" collapsed="false">
      <c r="A191" s="8" t="s">
        <v>273</v>
      </c>
      <c r="B191" s="8" t="n">
        <v>476065</v>
      </c>
      <c r="C191" s="8" t="s">
        <v>633</v>
      </c>
      <c r="D191" s="8" t="s">
        <v>634</v>
      </c>
      <c r="E191" s="8" t="n">
        <v>20</v>
      </c>
      <c r="F191" s="11" t="n">
        <f aca="false">SUMIFS(Itens!$I:$I,Itens!$C:$C,A191,Itens!$A:$A,C191)</f>
        <v>0</v>
      </c>
      <c r="G191" s="11" t="n">
        <f aca="false">SUMIFS(Itens!$J:$J,Itens!$C:$C,A191,Itens!$A:$A,C191)</f>
        <v>0</v>
      </c>
      <c r="H191" s="11" t="n">
        <f aca="false">SUMIFS(Itens!$K:$K,Itens!$C:$C,A191,Itens!$A:$A,C191)</f>
        <v>20</v>
      </c>
    </row>
    <row r="192" customFormat="false" ht="15" hidden="false" customHeight="false" outlineLevel="0" collapsed="false">
      <c r="A192" s="8" t="s">
        <v>273</v>
      </c>
      <c r="B192" s="8" t="n">
        <v>476061</v>
      </c>
      <c r="C192" s="8" t="s">
        <v>615</v>
      </c>
      <c r="D192" s="8" t="s">
        <v>616</v>
      </c>
      <c r="E192" s="8" t="n">
        <v>16</v>
      </c>
      <c r="F192" s="11" t="n">
        <f aca="false">SUMIFS(Itens!$I:$I,Itens!$C:$C,A192,Itens!$A:$A,C192)</f>
        <v>3</v>
      </c>
      <c r="G192" s="11" t="n">
        <f aca="false">SUMIFS(Itens!$J:$J,Itens!$C:$C,A192,Itens!$A:$A,C192)</f>
        <v>10</v>
      </c>
      <c r="H192" s="11" t="n">
        <f aca="false">SUMIFS(Itens!$K:$K,Itens!$C:$C,A192,Itens!$A:$A,C192)</f>
        <v>3</v>
      </c>
    </row>
    <row r="193" customFormat="false" ht="15" hidden="false" customHeight="false" outlineLevel="0" collapsed="false">
      <c r="A193" s="8" t="s">
        <v>275</v>
      </c>
      <c r="B193" s="8" t="n">
        <v>476065</v>
      </c>
      <c r="C193" s="8" t="s">
        <v>633</v>
      </c>
      <c r="D193" s="8" t="s">
        <v>634</v>
      </c>
      <c r="E193" s="8" t="n">
        <v>20</v>
      </c>
      <c r="F193" s="11" t="n">
        <f aca="false">SUMIFS(Itens!$I:$I,Itens!$C:$C,A193,Itens!$A:$A,C193)</f>
        <v>0</v>
      </c>
      <c r="G193" s="11" t="n">
        <f aca="false">SUMIFS(Itens!$J:$J,Itens!$C:$C,A193,Itens!$A:$A,C193)</f>
        <v>0</v>
      </c>
      <c r="H193" s="11" t="n">
        <f aca="false">SUMIFS(Itens!$K:$K,Itens!$C:$C,A193,Itens!$A:$A,C193)</f>
        <v>20</v>
      </c>
    </row>
    <row r="194" customFormat="false" ht="15" hidden="false" customHeight="false" outlineLevel="0" collapsed="false">
      <c r="A194" s="8" t="s">
        <v>275</v>
      </c>
      <c r="B194" s="8" t="n">
        <v>476061</v>
      </c>
      <c r="C194" s="8" t="s">
        <v>615</v>
      </c>
      <c r="D194" s="8" t="s">
        <v>616</v>
      </c>
      <c r="E194" s="8" t="n">
        <v>16</v>
      </c>
      <c r="F194" s="11" t="n">
        <f aca="false">SUMIFS(Itens!$I:$I,Itens!$C:$C,A194,Itens!$A:$A,C194)</f>
        <v>0</v>
      </c>
      <c r="G194" s="11" t="n">
        <f aca="false">SUMIFS(Itens!$J:$J,Itens!$C:$C,A194,Itens!$A:$A,C194)</f>
        <v>16</v>
      </c>
      <c r="H194" s="11" t="n">
        <f aca="false">SUMIFS(Itens!$K:$K,Itens!$C:$C,A194,Itens!$A:$A,C194)</f>
        <v>0</v>
      </c>
    </row>
    <row r="195" customFormat="false" ht="15" hidden="false" customHeight="false" outlineLevel="0" collapsed="false">
      <c r="A195" s="8" t="s">
        <v>275</v>
      </c>
      <c r="B195" s="8" t="n">
        <v>476043</v>
      </c>
      <c r="C195" s="8" t="s">
        <v>605</v>
      </c>
      <c r="D195" s="8" t="s">
        <v>606</v>
      </c>
      <c r="E195" s="8" t="n">
        <v>7</v>
      </c>
      <c r="F195" s="11" t="n">
        <f aca="false">SUMIFS(Itens!$I:$I,Itens!$C:$C,A195,Itens!$A:$A,C195)</f>
        <v>0</v>
      </c>
      <c r="G195" s="11" t="n">
        <f aca="false">SUMIFS(Itens!$J:$J,Itens!$C:$C,A195,Itens!$A:$A,C195)</f>
        <v>0</v>
      </c>
      <c r="H195" s="11" t="n">
        <f aca="false">SUMIFS(Itens!$K:$K,Itens!$C:$C,A195,Itens!$A:$A,C195)</f>
        <v>7</v>
      </c>
    </row>
    <row r="196" customFormat="false" ht="15" hidden="false" customHeight="false" outlineLevel="0" collapsed="false">
      <c r="A196" s="8" t="s">
        <v>279</v>
      </c>
      <c r="B196" s="8" t="n">
        <v>476065</v>
      </c>
      <c r="C196" s="8" t="s">
        <v>633</v>
      </c>
      <c r="D196" s="8" t="s">
        <v>634</v>
      </c>
      <c r="E196" s="8" t="n">
        <v>20</v>
      </c>
      <c r="F196" s="11" t="n">
        <f aca="false">SUMIFS(Itens!$I:$I,Itens!$C:$C,A196,Itens!$A:$A,C196)</f>
        <v>0</v>
      </c>
      <c r="G196" s="11" t="n">
        <f aca="false">SUMIFS(Itens!$J:$J,Itens!$C:$C,A196,Itens!$A:$A,C196)</f>
        <v>10</v>
      </c>
      <c r="H196" s="11" t="n">
        <f aca="false">SUMIFS(Itens!$K:$K,Itens!$C:$C,A196,Itens!$A:$A,C196)</f>
        <v>10</v>
      </c>
    </row>
    <row r="197" customFormat="false" ht="15" hidden="false" customHeight="false" outlineLevel="0" collapsed="false">
      <c r="A197" s="8" t="s">
        <v>279</v>
      </c>
      <c r="B197" s="8" t="n">
        <v>476061</v>
      </c>
      <c r="C197" s="8" t="s">
        <v>613</v>
      </c>
      <c r="D197" s="8" t="s">
        <v>614</v>
      </c>
      <c r="E197" s="8" t="n">
        <v>38</v>
      </c>
      <c r="F197" s="11" t="n">
        <f aca="false">SUMIFS(Itens!$I:$I,Itens!$C:$C,A197,Itens!$A:$A,C197)</f>
        <v>20</v>
      </c>
      <c r="G197" s="11" t="n">
        <f aca="false">SUMIFS(Itens!$J:$J,Itens!$C:$C,A197,Itens!$A:$A,C197)</f>
        <v>12</v>
      </c>
      <c r="H197" s="11" t="n">
        <f aca="false">SUMIFS(Itens!$K:$K,Itens!$C:$C,A197,Itens!$A:$A,C197)</f>
        <v>6</v>
      </c>
    </row>
    <row r="198" customFormat="false" ht="15" hidden="false" customHeight="false" outlineLevel="0" collapsed="false">
      <c r="A198" s="8" t="s">
        <v>279</v>
      </c>
      <c r="B198" s="8" t="n">
        <v>476043</v>
      </c>
      <c r="C198" s="8" t="s">
        <v>605</v>
      </c>
      <c r="D198" s="8" t="s">
        <v>606</v>
      </c>
      <c r="E198" s="8" t="n">
        <v>7</v>
      </c>
      <c r="F198" s="11" t="n">
        <f aca="false">SUMIFS(Itens!$I:$I,Itens!$C:$C,A198,Itens!$A:$A,C198)</f>
        <v>0</v>
      </c>
      <c r="G198" s="11" t="n">
        <f aca="false">SUMIFS(Itens!$J:$J,Itens!$C:$C,A198,Itens!$A:$A,C198)</f>
        <v>7</v>
      </c>
      <c r="H198" s="11" t="n">
        <f aca="false">SUMIFS(Itens!$K:$K,Itens!$C:$C,A198,Itens!$A:$A,C198)</f>
        <v>0</v>
      </c>
    </row>
    <row r="199" customFormat="false" ht="15" hidden="false" customHeight="false" outlineLevel="0" collapsed="false">
      <c r="A199" s="8" t="s">
        <v>280</v>
      </c>
      <c r="B199" s="8" t="n">
        <v>476061</v>
      </c>
      <c r="C199" s="8" t="s">
        <v>621</v>
      </c>
      <c r="D199" s="8" t="s">
        <v>622</v>
      </c>
      <c r="E199" s="8" t="n">
        <v>58</v>
      </c>
      <c r="F199" s="11" t="n">
        <f aca="false">SUMIFS(Itens!$I:$I,Itens!$C:$C,A199,Itens!$A:$A,C199)</f>
        <v>0</v>
      </c>
      <c r="G199" s="11" t="n">
        <f aca="false">SUMIFS(Itens!$J:$J,Itens!$C:$C,A199,Itens!$A:$A,C199)</f>
        <v>44</v>
      </c>
      <c r="H199" s="11" t="n">
        <f aca="false">SUMIFS(Itens!$K:$K,Itens!$C:$C,A199,Itens!$A:$A,C199)</f>
        <v>14</v>
      </c>
    </row>
    <row r="200" customFormat="false" ht="15" hidden="false" customHeight="false" outlineLevel="0" collapsed="false">
      <c r="A200" s="8" t="s">
        <v>280</v>
      </c>
      <c r="B200" s="8" t="n">
        <v>476043</v>
      </c>
      <c r="C200" s="8" t="s">
        <v>631</v>
      </c>
      <c r="D200" s="8" t="s">
        <v>632</v>
      </c>
      <c r="E200" s="8" t="n">
        <v>20</v>
      </c>
      <c r="F200" s="11" t="n">
        <f aca="false">SUMIFS(Itens!$I:$I,Itens!$C:$C,A200,Itens!$A:$A,C200)</f>
        <v>0</v>
      </c>
      <c r="G200" s="11" t="n">
        <f aca="false">SUMIFS(Itens!$J:$J,Itens!$C:$C,A200,Itens!$A:$A,C200)</f>
        <v>0</v>
      </c>
      <c r="H200" s="11" t="n">
        <f aca="false">SUMIFS(Itens!$K:$K,Itens!$C:$C,A200,Itens!$A:$A,C200)</f>
        <v>20</v>
      </c>
    </row>
    <row r="201" customFormat="false" ht="15" hidden="false" customHeight="false" outlineLevel="0" collapsed="false">
      <c r="A201" s="8" t="s">
        <v>280</v>
      </c>
      <c r="B201" s="8" t="n">
        <v>476065</v>
      </c>
      <c r="C201" s="8" t="s">
        <v>635</v>
      </c>
      <c r="D201" s="8" t="s">
        <v>636</v>
      </c>
      <c r="E201" s="8" t="n">
        <v>18</v>
      </c>
      <c r="F201" s="11" t="n">
        <f aca="false">SUMIFS(Itens!$I:$I,Itens!$C:$C,A201,Itens!$A:$A,C201)</f>
        <v>2</v>
      </c>
      <c r="G201" s="11" t="n">
        <f aca="false">SUMIFS(Itens!$J:$J,Itens!$C:$C,A201,Itens!$A:$A,C201)</f>
        <v>14</v>
      </c>
      <c r="H201" s="11" t="n">
        <f aca="false">SUMIFS(Itens!$K:$K,Itens!$C:$C,A201,Itens!$A:$A,C201)</f>
        <v>2</v>
      </c>
    </row>
    <row r="202" customFormat="false" ht="15" hidden="false" customHeight="false" outlineLevel="0" collapsed="false">
      <c r="A202" s="8" t="s">
        <v>280</v>
      </c>
      <c r="B202" s="8" t="n">
        <v>476043</v>
      </c>
      <c r="C202" s="8" t="s">
        <v>637</v>
      </c>
      <c r="D202" s="8" t="s">
        <v>638</v>
      </c>
      <c r="E202" s="8" t="n">
        <v>9</v>
      </c>
      <c r="F202" s="11" t="n">
        <f aca="false">SUMIFS(Itens!$I:$I,Itens!$C:$C,A202,Itens!$A:$A,C202)</f>
        <v>9</v>
      </c>
      <c r="G202" s="11" t="n">
        <f aca="false">SUMIFS(Itens!$J:$J,Itens!$C:$C,A202,Itens!$A:$A,C202)</f>
        <v>0</v>
      </c>
      <c r="H202" s="11" t="n">
        <f aca="false">SUMIFS(Itens!$K:$K,Itens!$C:$C,A202,Itens!$A:$A,C202)</f>
        <v>0</v>
      </c>
    </row>
    <row r="203" customFormat="false" ht="15" hidden="false" customHeight="false" outlineLevel="0" collapsed="false">
      <c r="A203" s="8" t="s">
        <v>281</v>
      </c>
      <c r="B203" s="8" t="n">
        <v>476061</v>
      </c>
      <c r="C203" s="8" t="s">
        <v>639</v>
      </c>
      <c r="D203" s="8" t="s">
        <v>640</v>
      </c>
      <c r="E203" s="8" t="n">
        <v>28</v>
      </c>
      <c r="F203" s="11" t="n">
        <f aca="false">SUMIFS(Itens!$I:$I,Itens!$C:$C,A203,Itens!$A:$A,C203)</f>
        <v>28</v>
      </c>
      <c r="G203" s="11" t="n">
        <f aca="false">SUMIFS(Itens!$J:$J,Itens!$C:$C,A203,Itens!$A:$A,C203)</f>
        <v>0</v>
      </c>
      <c r="H203" s="11" t="n">
        <f aca="false">SUMIFS(Itens!$K:$K,Itens!$C:$C,A203,Itens!$A:$A,C203)</f>
        <v>0</v>
      </c>
    </row>
    <row r="204" customFormat="false" ht="15" hidden="false" customHeight="false" outlineLevel="0" collapsed="false">
      <c r="A204" s="8" t="s">
        <v>281</v>
      </c>
      <c r="B204" s="8" t="n">
        <v>476043</v>
      </c>
      <c r="C204" s="8" t="s">
        <v>603</v>
      </c>
      <c r="D204" s="8" t="s">
        <v>604</v>
      </c>
      <c r="E204" s="8" t="n">
        <v>35</v>
      </c>
      <c r="F204" s="11" t="n">
        <f aca="false">SUMIFS(Itens!$I:$I,Itens!$C:$C,A204,Itens!$A:$A,C204)</f>
        <v>0</v>
      </c>
      <c r="G204" s="11" t="n">
        <f aca="false">SUMIFS(Itens!$J:$J,Itens!$C:$C,A204,Itens!$A:$A,C204)</f>
        <v>6</v>
      </c>
      <c r="H204" s="11" t="n">
        <f aca="false">SUMIFS(Itens!$K:$K,Itens!$C:$C,A204,Itens!$A:$A,C204)</f>
        <v>29</v>
      </c>
    </row>
    <row r="205" customFormat="false" ht="15" hidden="false" customHeight="false" outlineLevel="0" collapsed="false">
      <c r="A205" s="8" t="s">
        <v>281</v>
      </c>
      <c r="B205" s="8" t="n">
        <v>476065</v>
      </c>
      <c r="C205" s="8" t="s">
        <v>635</v>
      </c>
      <c r="D205" s="8" t="s">
        <v>636</v>
      </c>
      <c r="E205" s="8" t="n">
        <v>18</v>
      </c>
      <c r="F205" s="11" t="n">
        <f aca="false">SUMIFS(Itens!$I:$I,Itens!$C:$C,A205,Itens!$A:$A,C205)</f>
        <v>0</v>
      </c>
      <c r="G205" s="11" t="n">
        <f aca="false">SUMIFS(Itens!$J:$J,Itens!$C:$C,A205,Itens!$A:$A,C205)</f>
        <v>18</v>
      </c>
      <c r="H205" s="11" t="n">
        <f aca="false">SUMIFS(Itens!$K:$K,Itens!$C:$C,A205,Itens!$A:$A,C205)</f>
        <v>0</v>
      </c>
    </row>
    <row r="206" customFormat="false" ht="15" hidden="false" customHeight="false" outlineLevel="0" collapsed="false">
      <c r="A206" s="8" t="s">
        <v>281</v>
      </c>
      <c r="B206" s="8" t="n">
        <v>476043</v>
      </c>
      <c r="C206" s="8" t="s">
        <v>629</v>
      </c>
      <c r="D206" s="8" t="s">
        <v>630</v>
      </c>
      <c r="E206" s="8" t="n">
        <v>31</v>
      </c>
      <c r="F206" s="11" t="n">
        <f aca="false">SUMIFS(Itens!$I:$I,Itens!$C:$C,A206,Itens!$A:$A,C206)</f>
        <v>0</v>
      </c>
      <c r="G206" s="11" t="n">
        <f aca="false">SUMIFS(Itens!$J:$J,Itens!$C:$C,A206,Itens!$A:$A,C206)</f>
        <v>21</v>
      </c>
      <c r="H206" s="11" t="n">
        <f aca="false">SUMIFS(Itens!$K:$K,Itens!$C:$C,A206,Itens!$A:$A,C206)</f>
        <v>10</v>
      </c>
    </row>
    <row r="207" customFormat="false" ht="15" hidden="false" customHeight="false" outlineLevel="0" collapsed="false">
      <c r="A207" s="8" t="s">
        <v>282</v>
      </c>
      <c r="B207" s="8" t="n">
        <v>476061</v>
      </c>
      <c r="C207" s="8" t="s">
        <v>639</v>
      </c>
      <c r="D207" s="8" t="s">
        <v>640</v>
      </c>
      <c r="E207" s="8" t="n">
        <v>28</v>
      </c>
      <c r="F207" s="11" t="n">
        <f aca="false">SUMIFS(Itens!$I:$I,Itens!$C:$C,A207,Itens!$A:$A,C207)</f>
        <v>0</v>
      </c>
      <c r="G207" s="11" t="n">
        <f aca="false">SUMIFS(Itens!$J:$J,Itens!$C:$C,A207,Itens!$A:$A,C207)</f>
        <v>23</v>
      </c>
      <c r="H207" s="11" t="n">
        <f aca="false">SUMIFS(Itens!$K:$K,Itens!$C:$C,A207,Itens!$A:$A,C207)</f>
        <v>5</v>
      </c>
    </row>
    <row r="208" customFormat="false" ht="15" hidden="false" customHeight="false" outlineLevel="0" collapsed="false">
      <c r="A208" s="8" t="s">
        <v>282</v>
      </c>
      <c r="B208" s="8" t="n">
        <v>476043</v>
      </c>
      <c r="C208" s="8" t="s">
        <v>603</v>
      </c>
      <c r="D208" s="8" t="s">
        <v>604</v>
      </c>
      <c r="E208" s="8" t="n">
        <v>43</v>
      </c>
      <c r="F208" s="11" t="n">
        <f aca="false">SUMIFS(Itens!$I:$I,Itens!$C:$C,A208,Itens!$A:$A,C208)</f>
        <v>23</v>
      </c>
      <c r="G208" s="11" t="n">
        <f aca="false">SUMIFS(Itens!$J:$J,Itens!$C:$C,A208,Itens!$A:$A,C208)</f>
        <v>0</v>
      </c>
      <c r="H208" s="11" t="n">
        <f aca="false">SUMIFS(Itens!$K:$K,Itens!$C:$C,A208,Itens!$A:$A,C208)</f>
        <v>20</v>
      </c>
    </row>
    <row r="209" customFormat="false" ht="15" hidden="false" customHeight="false" outlineLevel="0" collapsed="false">
      <c r="A209" s="8" t="s">
        <v>282</v>
      </c>
      <c r="B209" s="8" t="n">
        <v>476065</v>
      </c>
      <c r="C209" s="8" t="s">
        <v>635</v>
      </c>
      <c r="D209" s="8" t="s">
        <v>636</v>
      </c>
      <c r="E209" s="8" t="n">
        <v>18</v>
      </c>
      <c r="F209" s="11" t="n">
        <f aca="false">SUMIFS(Itens!$I:$I,Itens!$C:$C,A209,Itens!$A:$A,C209)</f>
        <v>0</v>
      </c>
      <c r="G209" s="11" t="n">
        <f aca="false">SUMIFS(Itens!$J:$J,Itens!$C:$C,A209,Itens!$A:$A,C209)</f>
        <v>18</v>
      </c>
      <c r="H209" s="11" t="n">
        <f aca="false">SUMIFS(Itens!$K:$K,Itens!$C:$C,A209,Itens!$A:$A,C209)</f>
        <v>0</v>
      </c>
    </row>
    <row r="210" customFormat="false" ht="15" hidden="false" customHeight="false" outlineLevel="0" collapsed="false">
      <c r="A210" s="8" t="s">
        <v>282</v>
      </c>
      <c r="B210" s="8" t="n">
        <v>476043</v>
      </c>
      <c r="C210" s="8" t="s">
        <v>605</v>
      </c>
      <c r="D210" s="8" t="s">
        <v>606</v>
      </c>
      <c r="E210" s="8" t="n">
        <v>7</v>
      </c>
      <c r="F210" s="11" t="n">
        <f aca="false">SUMIFS(Itens!$I:$I,Itens!$C:$C,A210,Itens!$A:$A,C210)</f>
        <v>0</v>
      </c>
      <c r="G210" s="11" t="n">
        <f aca="false">SUMIFS(Itens!$J:$J,Itens!$C:$C,A210,Itens!$A:$A,C210)</f>
        <v>7</v>
      </c>
      <c r="H210" s="11" t="n">
        <f aca="false">SUMIFS(Itens!$K:$K,Itens!$C:$C,A210,Itens!$A:$A,C210)</f>
        <v>0</v>
      </c>
    </row>
    <row r="211" customFormat="false" ht="15" hidden="false" customHeight="false" outlineLevel="0" collapsed="false">
      <c r="A211" s="8" t="s">
        <v>289</v>
      </c>
      <c r="B211" s="8" t="n">
        <v>476061</v>
      </c>
      <c r="C211" s="8" t="s">
        <v>625</v>
      </c>
      <c r="D211" s="8" t="s">
        <v>626</v>
      </c>
      <c r="E211" s="8" t="n">
        <v>20</v>
      </c>
      <c r="F211" s="11" t="n">
        <f aca="false">SUMIFS(Itens!$I:$I,Itens!$C:$C,A211,Itens!$A:$A,C211)</f>
        <v>0</v>
      </c>
      <c r="G211" s="11" t="n">
        <f aca="false">SUMIFS(Itens!$J:$J,Itens!$C:$C,A211,Itens!$A:$A,C211)</f>
        <v>10</v>
      </c>
      <c r="H211" s="11" t="n">
        <f aca="false">SUMIFS(Itens!$K:$K,Itens!$C:$C,A211,Itens!$A:$A,C211)</f>
        <v>10</v>
      </c>
    </row>
    <row r="212" customFormat="false" ht="15" hidden="false" customHeight="false" outlineLevel="0" collapsed="false">
      <c r="A212" s="8" t="s">
        <v>289</v>
      </c>
      <c r="B212" s="8" t="n">
        <v>476065</v>
      </c>
      <c r="C212" s="8" t="s">
        <v>623</v>
      </c>
      <c r="D212" s="8" t="s">
        <v>624</v>
      </c>
      <c r="E212" s="8" t="n">
        <v>16</v>
      </c>
      <c r="F212" s="11" t="n">
        <f aca="false">SUMIFS(Itens!$I:$I,Itens!$C:$C,A212,Itens!$A:$A,C212)</f>
        <v>0</v>
      </c>
      <c r="G212" s="11" t="n">
        <f aca="false">SUMIFS(Itens!$J:$J,Itens!$C:$C,A212,Itens!$A:$A,C212)</f>
        <v>4</v>
      </c>
      <c r="H212" s="11" t="n">
        <f aca="false">SUMIFS(Itens!$K:$K,Itens!$C:$C,A212,Itens!$A:$A,C212)</f>
        <v>12</v>
      </c>
    </row>
    <row r="213" customFormat="false" ht="15" hidden="false" customHeight="false" outlineLevel="0" collapsed="false">
      <c r="A213" s="8" t="s">
        <v>291</v>
      </c>
      <c r="B213" s="8" t="n">
        <v>476061</v>
      </c>
      <c r="C213" s="8" t="s">
        <v>639</v>
      </c>
      <c r="D213" s="8" t="s">
        <v>640</v>
      </c>
      <c r="E213" s="8" t="n">
        <v>11</v>
      </c>
      <c r="F213" s="11" t="n">
        <f aca="false">SUMIFS(Itens!$I:$I,Itens!$C:$C,A213,Itens!$A:$A,C213)</f>
        <v>9</v>
      </c>
      <c r="G213" s="11" t="n">
        <f aca="false">SUMIFS(Itens!$J:$J,Itens!$C:$C,A213,Itens!$A:$A,C213)</f>
        <v>0</v>
      </c>
      <c r="H213" s="11" t="n">
        <f aca="false">SUMIFS(Itens!$K:$K,Itens!$C:$C,A213,Itens!$A:$A,C213)</f>
        <v>2</v>
      </c>
    </row>
    <row r="214" customFormat="false" ht="15" hidden="false" customHeight="false" outlineLevel="0" collapsed="false">
      <c r="A214" s="8" t="s">
        <v>291</v>
      </c>
      <c r="B214" s="8" t="n">
        <v>476061</v>
      </c>
      <c r="C214" s="8" t="s">
        <v>627</v>
      </c>
      <c r="D214" s="8" t="s">
        <v>628</v>
      </c>
      <c r="E214" s="8" t="n">
        <v>7</v>
      </c>
      <c r="F214" s="11" t="n">
        <f aca="false">SUMIFS(Itens!$I:$I,Itens!$C:$C,A214,Itens!$A:$A,C214)</f>
        <v>0</v>
      </c>
      <c r="G214" s="11" t="n">
        <f aca="false">SUMIFS(Itens!$J:$J,Itens!$C:$C,A214,Itens!$A:$A,C214)</f>
        <v>0</v>
      </c>
      <c r="H214" s="11" t="n">
        <f aca="false">SUMIFS(Itens!$K:$K,Itens!$C:$C,A214,Itens!$A:$A,C214)</f>
        <v>7</v>
      </c>
    </row>
    <row r="215" customFormat="false" ht="15" hidden="false" customHeight="false" outlineLevel="0" collapsed="false">
      <c r="A215" s="8" t="s">
        <v>291</v>
      </c>
      <c r="B215" s="8" t="n">
        <v>476065</v>
      </c>
      <c r="C215" s="8" t="s">
        <v>643</v>
      </c>
      <c r="D215" s="8" t="s">
        <v>644</v>
      </c>
      <c r="E215" s="8" t="n">
        <v>36</v>
      </c>
      <c r="F215" s="11" t="n">
        <f aca="false">SUMIFS(Itens!$I:$I,Itens!$C:$C,A215,Itens!$A:$A,C215)</f>
        <v>34</v>
      </c>
      <c r="G215" s="11" t="n">
        <f aca="false">SUMIFS(Itens!$J:$J,Itens!$C:$C,A215,Itens!$A:$A,C215)</f>
        <v>2</v>
      </c>
      <c r="H215" s="11" t="n">
        <f aca="false">SUMIFS(Itens!$K:$K,Itens!$C:$C,A215,Itens!$A:$A,C215)</f>
        <v>0</v>
      </c>
    </row>
    <row r="216" customFormat="false" ht="15" hidden="false" customHeight="false" outlineLevel="0" collapsed="false">
      <c r="A216" s="8" t="s">
        <v>291</v>
      </c>
      <c r="B216" s="8" t="n">
        <v>476061</v>
      </c>
      <c r="C216" s="8" t="s">
        <v>619</v>
      </c>
      <c r="D216" s="8" t="s">
        <v>620</v>
      </c>
      <c r="E216" s="8" t="n">
        <v>23</v>
      </c>
      <c r="F216" s="11" t="n">
        <f aca="false">SUMIFS(Itens!$I:$I,Itens!$C:$C,A216,Itens!$A:$A,C216)</f>
        <v>1</v>
      </c>
      <c r="G216" s="11" t="n">
        <f aca="false">SUMIFS(Itens!$J:$J,Itens!$C:$C,A216,Itens!$A:$A,C216)</f>
        <v>21</v>
      </c>
      <c r="H216" s="11" t="n">
        <f aca="false">SUMIFS(Itens!$K:$K,Itens!$C:$C,A216,Itens!$A:$A,C216)</f>
        <v>1</v>
      </c>
    </row>
    <row r="217" customFormat="false" ht="15" hidden="false" customHeight="false" outlineLevel="0" collapsed="false">
      <c r="A217" s="8" t="s">
        <v>293</v>
      </c>
      <c r="B217" s="8" t="n">
        <v>476061</v>
      </c>
      <c r="C217" s="8" t="s">
        <v>601</v>
      </c>
      <c r="D217" s="8" t="s">
        <v>602</v>
      </c>
      <c r="E217" s="8" t="n">
        <v>16</v>
      </c>
      <c r="F217" s="11" t="n">
        <f aca="false">SUMIFS(Itens!$I:$I,Itens!$C:$C,A217,Itens!$A:$A,C217)</f>
        <v>0</v>
      </c>
      <c r="G217" s="11" t="n">
        <f aca="false">SUMIFS(Itens!$J:$J,Itens!$C:$C,A217,Itens!$A:$A,C217)</f>
        <v>0</v>
      </c>
      <c r="H217" s="11" t="n">
        <f aca="false">SUMIFS(Itens!$K:$K,Itens!$C:$C,A217,Itens!$A:$A,C217)</f>
        <v>16</v>
      </c>
    </row>
    <row r="218" customFormat="false" ht="15" hidden="false" customHeight="false" outlineLevel="0" collapsed="false">
      <c r="A218" s="8" t="s">
        <v>293</v>
      </c>
      <c r="B218" s="8" t="n">
        <v>476061</v>
      </c>
      <c r="C218" s="8" t="s">
        <v>595</v>
      </c>
      <c r="D218" s="8" t="s">
        <v>596</v>
      </c>
      <c r="E218" s="8" t="n">
        <v>3</v>
      </c>
      <c r="F218" s="11" t="n">
        <f aca="false">SUMIFS(Itens!$I:$I,Itens!$C:$C,A218,Itens!$A:$A,C218)</f>
        <v>3</v>
      </c>
      <c r="G218" s="11" t="n">
        <f aca="false">SUMIFS(Itens!$J:$J,Itens!$C:$C,A218,Itens!$A:$A,C218)</f>
        <v>0</v>
      </c>
      <c r="H218" s="11" t="n">
        <f aca="false">SUMIFS(Itens!$K:$K,Itens!$C:$C,A218,Itens!$A:$A,C218)</f>
        <v>0</v>
      </c>
    </row>
    <row r="219" customFormat="false" ht="15" hidden="false" customHeight="false" outlineLevel="0" collapsed="false">
      <c r="A219" s="8" t="s">
        <v>293</v>
      </c>
      <c r="B219" s="8" t="n">
        <v>476065</v>
      </c>
      <c r="C219" s="8" t="s">
        <v>647</v>
      </c>
      <c r="D219" s="8" t="s">
        <v>648</v>
      </c>
      <c r="E219" s="8" t="n">
        <v>28</v>
      </c>
      <c r="F219" s="11" t="n">
        <f aca="false">SUMIFS(Itens!$I:$I,Itens!$C:$C,A219,Itens!$A:$A,C219)</f>
        <v>0</v>
      </c>
      <c r="G219" s="11" t="n">
        <f aca="false">SUMIFS(Itens!$J:$J,Itens!$C:$C,A219,Itens!$A:$A,C219)</f>
        <v>13</v>
      </c>
      <c r="H219" s="11" t="n">
        <f aca="false">SUMIFS(Itens!$K:$K,Itens!$C:$C,A219,Itens!$A:$A,C219)</f>
        <v>15</v>
      </c>
    </row>
    <row r="220" customFormat="false" ht="15" hidden="false" customHeight="false" outlineLevel="0" collapsed="false">
      <c r="A220" s="8" t="s">
        <v>293</v>
      </c>
      <c r="B220" s="8" t="n">
        <v>476061</v>
      </c>
      <c r="C220" s="8" t="s">
        <v>649</v>
      </c>
      <c r="D220" s="8" t="s">
        <v>650</v>
      </c>
      <c r="E220" s="8" t="n">
        <v>25</v>
      </c>
      <c r="F220" s="11" t="n">
        <f aca="false">SUMIFS(Itens!$I:$I,Itens!$C:$C,A220,Itens!$A:$A,C220)</f>
        <v>25</v>
      </c>
      <c r="G220" s="11" t="n">
        <f aca="false">SUMIFS(Itens!$J:$J,Itens!$C:$C,A220,Itens!$A:$A,C220)</f>
        <v>0</v>
      </c>
      <c r="H220" s="11" t="n">
        <f aca="false">SUMIFS(Itens!$K:$K,Itens!$C:$C,A220,Itens!$A:$A,C220)</f>
        <v>0</v>
      </c>
    </row>
    <row r="221" customFormat="false" ht="15" hidden="false" customHeight="false" outlineLevel="0" collapsed="false">
      <c r="A221" s="8" t="s">
        <v>294</v>
      </c>
      <c r="B221" s="8" t="n">
        <v>476061</v>
      </c>
      <c r="C221" s="8" t="s">
        <v>601</v>
      </c>
      <c r="D221" s="8" t="s">
        <v>602</v>
      </c>
      <c r="E221" s="8" t="n">
        <v>10</v>
      </c>
      <c r="F221" s="11" t="n">
        <f aca="false">SUMIFS(Itens!$I:$I,Itens!$C:$C,A221,Itens!$A:$A,C221)</f>
        <v>0</v>
      </c>
      <c r="G221" s="11" t="n">
        <f aca="false">SUMIFS(Itens!$J:$J,Itens!$C:$C,A221,Itens!$A:$A,C221)</f>
        <v>10</v>
      </c>
      <c r="H221" s="11" t="n">
        <f aca="false">SUMIFS(Itens!$K:$K,Itens!$C:$C,A221,Itens!$A:$A,C221)</f>
        <v>0</v>
      </c>
    </row>
    <row r="222" customFormat="false" ht="15" hidden="false" customHeight="false" outlineLevel="0" collapsed="false">
      <c r="A222" s="8" t="s">
        <v>294</v>
      </c>
      <c r="B222" s="8" t="n">
        <v>476065</v>
      </c>
      <c r="C222" s="8" t="s">
        <v>645</v>
      </c>
      <c r="D222" s="8" t="s">
        <v>646</v>
      </c>
      <c r="E222" s="8" t="n">
        <v>13</v>
      </c>
      <c r="F222" s="11" t="n">
        <f aca="false">SUMIFS(Itens!$I:$I,Itens!$C:$C,A222,Itens!$A:$A,C222)</f>
        <v>0</v>
      </c>
      <c r="G222" s="11" t="n">
        <f aca="false">SUMIFS(Itens!$J:$J,Itens!$C:$C,A222,Itens!$A:$A,C222)</f>
        <v>3</v>
      </c>
      <c r="H222" s="11" t="n">
        <f aca="false">SUMIFS(Itens!$K:$K,Itens!$C:$C,A222,Itens!$A:$A,C222)</f>
        <v>10</v>
      </c>
    </row>
    <row r="223" customFormat="false" ht="15" hidden="false" customHeight="false" outlineLevel="0" collapsed="false">
      <c r="A223" s="8" t="s">
        <v>294</v>
      </c>
      <c r="B223" s="8" t="n">
        <v>476061</v>
      </c>
      <c r="C223" s="8" t="s">
        <v>599</v>
      </c>
      <c r="D223" s="8" t="s">
        <v>600</v>
      </c>
      <c r="E223" s="8" t="n">
        <v>4</v>
      </c>
      <c r="F223" s="11" t="n">
        <f aca="false">SUMIFS(Itens!$I:$I,Itens!$C:$C,A223,Itens!$A:$A,C223)</f>
        <v>0</v>
      </c>
      <c r="G223" s="11" t="n">
        <f aca="false">SUMIFS(Itens!$J:$J,Itens!$C:$C,A223,Itens!$A:$A,C223)</f>
        <v>0</v>
      </c>
      <c r="H223" s="11" t="n">
        <f aca="false">SUMIFS(Itens!$K:$K,Itens!$C:$C,A223,Itens!$A:$A,C223)</f>
        <v>4</v>
      </c>
    </row>
    <row r="224" customFormat="false" ht="15" hidden="false" customHeight="false" outlineLevel="0" collapsed="false">
      <c r="A224" s="8" t="s">
        <v>294</v>
      </c>
      <c r="B224" s="8" t="n">
        <v>476061</v>
      </c>
      <c r="C224" s="8" t="s">
        <v>589</v>
      </c>
      <c r="D224" s="8" t="s">
        <v>590</v>
      </c>
      <c r="E224" s="8" t="n">
        <v>6</v>
      </c>
      <c r="F224" s="11" t="n">
        <f aca="false">SUMIFS(Itens!$I:$I,Itens!$C:$C,A224,Itens!$A:$A,C224)</f>
        <v>0</v>
      </c>
      <c r="G224" s="11" t="n">
        <f aca="false">SUMIFS(Itens!$J:$J,Itens!$C:$C,A224,Itens!$A:$A,C224)</f>
        <v>0</v>
      </c>
      <c r="H224" s="11" t="n">
        <f aca="false">SUMIFS(Itens!$K:$K,Itens!$C:$C,A224,Itens!$A:$A,C224)</f>
        <v>6</v>
      </c>
    </row>
    <row r="225" customFormat="false" ht="15" hidden="false" customHeight="false" outlineLevel="0" collapsed="false">
      <c r="A225" s="8" t="s">
        <v>294</v>
      </c>
      <c r="B225" s="8" t="n">
        <v>476061</v>
      </c>
      <c r="C225" s="8" t="s">
        <v>593</v>
      </c>
      <c r="D225" s="8" t="s">
        <v>594</v>
      </c>
      <c r="E225" s="8" t="n">
        <v>16</v>
      </c>
      <c r="F225" s="11" t="n">
        <f aca="false">SUMIFS(Itens!$I:$I,Itens!$C:$C,A225,Itens!$A:$A,C225)</f>
        <v>16</v>
      </c>
      <c r="G225" s="11" t="n">
        <f aca="false">SUMIFS(Itens!$J:$J,Itens!$C:$C,A225,Itens!$A:$A,C225)</f>
        <v>0</v>
      </c>
      <c r="H225" s="11" t="n">
        <f aca="false">SUMIFS(Itens!$K:$K,Itens!$C:$C,A225,Itens!$A:$A,C225)</f>
        <v>0</v>
      </c>
    </row>
    <row r="226" customFormat="false" ht="15" hidden="false" customHeight="false" outlineLevel="0" collapsed="false">
      <c r="A226" s="8" t="s">
        <v>301</v>
      </c>
      <c r="B226" s="8" t="n">
        <v>476065</v>
      </c>
      <c r="C226" s="8" t="s">
        <v>647</v>
      </c>
      <c r="D226" s="8" t="s">
        <v>648</v>
      </c>
      <c r="E226" s="8" t="n">
        <v>28</v>
      </c>
      <c r="F226" s="11" t="n">
        <f aca="false">SUMIFS(Itens!$I:$I,Itens!$C:$C,A226,Itens!$A:$A,C226)</f>
        <v>23</v>
      </c>
      <c r="G226" s="11" t="n">
        <f aca="false">SUMIFS(Itens!$J:$J,Itens!$C:$C,A226,Itens!$A:$A,C226)</f>
        <v>0</v>
      </c>
      <c r="H226" s="11" t="n">
        <f aca="false">SUMIFS(Itens!$K:$K,Itens!$C:$C,A226,Itens!$A:$A,C226)</f>
        <v>5</v>
      </c>
    </row>
    <row r="227" customFormat="false" ht="15" hidden="false" customHeight="false" outlineLevel="0" collapsed="false">
      <c r="A227" s="8" t="s">
        <v>301</v>
      </c>
      <c r="B227" s="8" t="n">
        <v>476061</v>
      </c>
      <c r="C227" s="8" t="s">
        <v>653</v>
      </c>
      <c r="D227" s="8" t="s">
        <v>654</v>
      </c>
      <c r="E227" s="8" t="n">
        <v>34</v>
      </c>
      <c r="F227" s="11" t="n">
        <f aca="false">SUMIFS(Itens!$I:$I,Itens!$C:$C,A227,Itens!$A:$A,C227)</f>
        <v>0</v>
      </c>
      <c r="G227" s="11" t="n">
        <f aca="false">SUMIFS(Itens!$J:$J,Itens!$C:$C,A227,Itens!$A:$A,C227)</f>
        <v>3</v>
      </c>
      <c r="H227" s="11" t="n">
        <f aca="false">SUMIFS(Itens!$K:$K,Itens!$C:$C,A227,Itens!$A:$A,C227)</f>
        <v>31</v>
      </c>
    </row>
    <row r="228" customFormat="false" ht="15" hidden="false" customHeight="false" outlineLevel="0" collapsed="false">
      <c r="A228" s="8" t="s">
        <v>302</v>
      </c>
      <c r="B228" s="8" t="n">
        <v>476065</v>
      </c>
      <c r="C228" s="8" t="s">
        <v>651</v>
      </c>
      <c r="D228" s="8" t="s">
        <v>652</v>
      </c>
      <c r="E228" s="8" t="n">
        <v>24</v>
      </c>
      <c r="F228" s="11" t="n">
        <f aca="false">SUMIFS(Itens!$I:$I,Itens!$C:$C,A228,Itens!$A:$A,C228)</f>
        <v>0</v>
      </c>
      <c r="G228" s="11" t="n">
        <f aca="false">SUMIFS(Itens!$J:$J,Itens!$C:$C,A228,Itens!$A:$A,C228)</f>
        <v>24</v>
      </c>
      <c r="H228" s="11" t="n">
        <f aca="false">SUMIFS(Itens!$K:$K,Itens!$C:$C,A228,Itens!$A:$A,C228)</f>
        <v>0</v>
      </c>
    </row>
    <row r="229" customFormat="false" ht="15" hidden="false" customHeight="false" outlineLevel="0" collapsed="false">
      <c r="A229" s="8" t="s">
        <v>302</v>
      </c>
      <c r="B229" s="8" t="n">
        <v>476061</v>
      </c>
      <c r="C229" s="8" t="s">
        <v>653</v>
      </c>
      <c r="D229" s="8" t="s">
        <v>654</v>
      </c>
      <c r="E229" s="8" t="n">
        <v>34</v>
      </c>
      <c r="F229" s="11" t="n">
        <f aca="false">SUMIFS(Itens!$I:$I,Itens!$C:$C,A229,Itens!$A:$A,C229)</f>
        <v>0</v>
      </c>
      <c r="G229" s="11" t="n">
        <f aca="false">SUMIFS(Itens!$J:$J,Itens!$C:$C,A229,Itens!$A:$A,C229)</f>
        <v>0</v>
      </c>
      <c r="H229" s="11" t="n">
        <f aca="false">SUMIFS(Itens!$K:$K,Itens!$C:$C,A229,Itens!$A:$A,C229)</f>
        <v>34</v>
      </c>
    </row>
    <row r="230" customFormat="false" ht="15" hidden="false" customHeight="false" outlineLevel="0" collapsed="false">
      <c r="A230" s="8" t="s">
        <v>319</v>
      </c>
      <c r="B230" s="8" t="n">
        <v>476065</v>
      </c>
      <c r="C230" s="8" t="s">
        <v>651</v>
      </c>
      <c r="D230" s="8" t="s">
        <v>652</v>
      </c>
      <c r="E230" s="8" t="n">
        <v>24</v>
      </c>
      <c r="F230" s="11" t="n">
        <f aca="false">SUMIFS(Itens!$I:$I,Itens!$C:$C,A230,Itens!$A:$A,C230)</f>
        <v>1</v>
      </c>
      <c r="G230" s="11" t="n">
        <f aca="false">SUMIFS(Itens!$J:$J,Itens!$C:$C,A230,Itens!$A:$A,C230)</f>
        <v>23</v>
      </c>
      <c r="H230" s="11" t="n">
        <f aca="false">SUMIFS(Itens!$K:$K,Itens!$C:$C,A230,Itens!$A:$A,C230)</f>
        <v>0</v>
      </c>
    </row>
    <row r="231" customFormat="false" ht="15" hidden="false" customHeight="false" outlineLevel="0" collapsed="false">
      <c r="A231" s="8" t="s">
        <v>319</v>
      </c>
      <c r="B231" s="8" t="n">
        <v>476061</v>
      </c>
      <c r="C231" s="8" t="s">
        <v>657</v>
      </c>
      <c r="D231" s="8" t="s">
        <v>658</v>
      </c>
      <c r="E231" s="8" t="n">
        <v>27</v>
      </c>
      <c r="F231" s="11" t="n">
        <f aca="false">SUMIFS(Itens!$I:$I,Itens!$C:$C,A231,Itens!$A:$A,C231)</f>
        <v>2</v>
      </c>
      <c r="G231" s="11" t="n">
        <f aca="false">SUMIFS(Itens!$J:$J,Itens!$C:$C,A231,Itens!$A:$A,C231)</f>
        <v>2</v>
      </c>
      <c r="H231" s="11" t="n">
        <f aca="false">SUMIFS(Itens!$K:$K,Itens!$C:$C,A231,Itens!$A:$A,C231)</f>
        <v>23</v>
      </c>
    </row>
    <row r="232" customFormat="false" ht="15" hidden="false" customHeight="false" outlineLevel="0" collapsed="false">
      <c r="A232" s="8" t="s">
        <v>330</v>
      </c>
      <c r="B232" s="8" t="n">
        <v>476065</v>
      </c>
      <c r="C232" s="8" t="s">
        <v>647</v>
      </c>
      <c r="D232" s="8" t="s">
        <v>648</v>
      </c>
      <c r="E232" s="8" t="n">
        <v>1</v>
      </c>
      <c r="F232" s="11" t="n">
        <f aca="false">SUMIFS(Itens!$I:$I,Itens!$C:$C,A232,Itens!$A:$A,C232)</f>
        <v>0</v>
      </c>
      <c r="G232" s="11" t="n">
        <f aca="false">SUMIFS(Itens!$J:$J,Itens!$C:$C,A232,Itens!$A:$A,C232)</f>
        <v>0</v>
      </c>
      <c r="H232" s="11" t="n">
        <f aca="false">SUMIFS(Itens!$K:$K,Itens!$C:$C,A232,Itens!$A:$A,C232)</f>
        <v>1</v>
      </c>
    </row>
    <row r="233" customFormat="false" ht="15" hidden="false" customHeight="false" outlineLevel="0" collapsed="false">
      <c r="A233" s="8" t="s">
        <v>330</v>
      </c>
      <c r="B233" s="8" t="n">
        <v>476061</v>
      </c>
      <c r="C233" s="8" t="s">
        <v>655</v>
      </c>
      <c r="D233" s="8" t="s">
        <v>656</v>
      </c>
      <c r="E233" s="8" t="n">
        <v>8</v>
      </c>
      <c r="F233" s="11" t="n">
        <f aca="false">SUMIFS(Itens!$I:$I,Itens!$C:$C,A233,Itens!$A:$A,C233)</f>
        <v>4</v>
      </c>
      <c r="G233" s="11" t="n">
        <f aca="false">SUMIFS(Itens!$J:$J,Itens!$C:$C,A233,Itens!$A:$A,C233)</f>
        <v>2</v>
      </c>
      <c r="H233" s="11" t="n">
        <f aca="false">SUMIFS(Itens!$K:$K,Itens!$C:$C,A233,Itens!$A:$A,C233)</f>
        <v>2</v>
      </c>
    </row>
    <row r="234" customFormat="false" ht="15" hidden="false" customHeight="false" outlineLevel="0" collapsed="false">
      <c r="A234" s="8" t="s">
        <v>330</v>
      </c>
      <c r="B234" s="8" t="n">
        <v>476065</v>
      </c>
      <c r="C234" s="8" t="s">
        <v>663</v>
      </c>
      <c r="D234" s="8" t="s">
        <v>664</v>
      </c>
      <c r="E234" s="8" t="n">
        <v>7</v>
      </c>
      <c r="F234" s="11" t="n">
        <f aca="false">SUMIFS(Itens!$I:$I,Itens!$C:$C,A234,Itens!$A:$A,C234)</f>
        <v>7</v>
      </c>
      <c r="G234" s="11" t="n">
        <f aca="false">SUMIFS(Itens!$J:$J,Itens!$C:$C,A234,Itens!$A:$A,C234)</f>
        <v>0</v>
      </c>
      <c r="H234" s="11" t="n">
        <f aca="false">SUMIFS(Itens!$K:$K,Itens!$C:$C,A234,Itens!$A:$A,C234)</f>
        <v>0</v>
      </c>
    </row>
    <row r="235" customFormat="false" ht="15" hidden="false" customHeight="false" outlineLevel="0" collapsed="false">
      <c r="A235" s="8" t="s">
        <v>330</v>
      </c>
      <c r="B235" s="8" t="n">
        <v>476061</v>
      </c>
      <c r="C235" s="8" t="s">
        <v>547</v>
      </c>
      <c r="D235" s="8" t="s">
        <v>548</v>
      </c>
      <c r="E235" s="8" t="n">
        <v>1</v>
      </c>
      <c r="F235" s="11" t="n">
        <f aca="false">SUMIFS(Itens!$I:$I,Itens!$C:$C,A235,Itens!$A:$A,C235)</f>
        <v>1</v>
      </c>
      <c r="G235" s="11" t="n">
        <f aca="false">SUMIFS(Itens!$J:$J,Itens!$C:$C,A235,Itens!$A:$A,C235)</f>
        <v>0</v>
      </c>
      <c r="H235" s="11" t="n">
        <f aca="false">SUMIFS(Itens!$K:$K,Itens!$C:$C,A235,Itens!$A:$A,C235)</f>
        <v>0</v>
      </c>
    </row>
    <row r="236" customFormat="false" ht="15" hidden="false" customHeight="false" outlineLevel="0" collapsed="false">
      <c r="A236" s="8" t="s">
        <v>330</v>
      </c>
      <c r="B236" s="8" t="n">
        <v>476065</v>
      </c>
      <c r="C236" s="8" t="s">
        <v>669</v>
      </c>
      <c r="D236" s="8" t="s">
        <v>670</v>
      </c>
      <c r="E236" s="8" t="n">
        <v>20</v>
      </c>
      <c r="F236" s="11" t="n">
        <f aca="false">SUMIFS(Itens!$I:$I,Itens!$C:$C,A236,Itens!$A:$A,C236)</f>
        <v>0</v>
      </c>
      <c r="G236" s="11" t="n">
        <f aca="false">SUMIFS(Itens!$J:$J,Itens!$C:$C,A236,Itens!$A:$A,C236)</f>
        <v>0</v>
      </c>
      <c r="H236" s="11" t="n">
        <f aca="false">SUMIFS(Itens!$K:$K,Itens!$C:$C,A236,Itens!$A:$A,C236)</f>
        <v>20</v>
      </c>
    </row>
    <row r="237" customFormat="false" ht="15" hidden="false" customHeight="false" outlineLevel="0" collapsed="false">
      <c r="A237" s="8" t="s">
        <v>331</v>
      </c>
      <c r="B237" s="8" t="n">
        <v>476061</v>
      </c>
      <c r="C237" s="8" t="s">
        <v>661</v>
      </c>
      <c r="D237" s="8" t="s">
        <v>662</v>
      </c>
      <c r="E237" s="8" t="n">
        <v>28</v>
      </c>
      <c r="F237" s="11" t="n">
        <f aca="false">SUMIFS(Itens!$I:$I,Itens!$C:$C,A237,Itens!$A:$A,C237)</f>
        <v>26</v>
      </c>
      <c r="G237" s="11" t="n">
        <f aca="false">SUMIFS(Itens!$J:$J,Itens!$C:$C,A237,Itens!$A:$A,C237)</f>
        <v>2</v>
      </c>
      <c r="H237" s="11" t="n">
        <f aca="false">SUMIFS(Itens!$K:$K,Itens!$C:$C,A237,Itens!$A:$A,C237)</f>
        <v>0</v>
      </c>
    </row>
    <row r="238" customFormat="false" ht="15" hidden="false" customHeight="false" outlineLevel="0" collapsed="false">
      <c r="A238" s="8" t="s">
        <v>331</v>
      </c>
      <c r="B238" s="8" t="n">
        <v>476065</v>
      </c>
      <c r="C238" s="8" t="s">
        <v>643</v>
      </c>
      <c r="D238" s="8" t="s">
        <v>644</v>
      </c>
      <c r="E238" s="8" t="n">
        <v>28</v>
      </c>
      <c r="F238" s="11" t="n">
        <f aca="false">SUMIFS(Itens!$I:$I,Itens!$C:$C,A238,Itens!$A:$A,C238)</f>
        <v>0</v>
      </c>
      <c r="G238" s="11" t="n">
        <f aca="false">SUMIFS(Itens!$J:$J,Itens!$C:$C,A238,Itens!$A:$A,C238)</f>
        <v>28</v>
      </c>
      <c r="H238" s="11" t="n">
        <f aca="false">SUMIFS(Itens!$K:$K,Itens!$C:$C,A238,Itens!$A:$A,C238)</f>
        <v>0</v>
      </c>
    </row>
    <row r="239" customFormat="false" ht="15" hidden="false" customHeight="false" outlineLevel="0" collapsed="false">
      <c r="A239" s="8" t="s">
        <v>350</v>
      </c>
      <c r="B239" s="8" t="n">
        <v>476065</v>
      </c>
      <c r="C239" s="8" t="s">
        <v>671</v>
      </c>
      <c r="D239" s="8" t="s">
        <v>672</v>
      </c>
      <c r="E239" s="8" t="n">
        <v>24</v>
      </c>
      <c r="F239" s="11" t="n">
        <f aca="false">SUMIFS(Itens!$I:$I,Itens!$C:$C,A239,Itens!$A:$A,C239)</f>
        <v>8</v>
      </c>
      <c r="G239" s="11" t="n">
        <f aca="false">SUMIFS(Itens!$J:$J,Itens!$C:$C,A239,Itens!$A:$A,C239)</f>
        <v>9</v>
      </c>
      <c r="H239" s="11" t="n">
        <f aca="false">SUMIFS(Itens!$K:$K,Itens!$C:$C,A239,Itens!$A:$A,C239)</f>
        <v>7</v>
      </c>
    </row>
    <row r="240" customFormat="false" ht="15" hidden="false" customHeight="false" outlineLevel="0" collapsed="false">
      <c r="A240" s="8" t="s">
        <v>350</v>
      </c>
      <c r="B240" s="8" t="n">
        <v>476065</v>
      </c>
      <c r="C240" s="8" t="s">
        <v>673</v>
      </c>
      <c r="D240" s="8" t="s">
        <v>674</v>
      </c>
      <c r="E240" s="8" t="n">
        <v>59</v>
      </c>
      <c r="F240" s="11" t="n">
        <f aca="false">SUMIFS(Itens!$I:$I,Itens!$C:$C,A240,Itens!$A:$A,C240)</f>
        <v>15</v>
      </c>
      <c r="G240" s="11" t="n">
        <f aca="false">SUMIFS(Itens!$J:$J,Itens!$C:$C,A240,Itens!$A:$A,C240)</f>
        <v>13</v>
      </c>
      <c r="H240" s="11" t="n">
        <f aca="false">SUMIFS(Itens!$K:$K,Itens!$C:$C,A240,Itens!$A:$A,C240)</f>
        <v>31</v>
      </c>
    </row>
    <row r="241" customFormat="false" ht="15" hidden="false" customHeight="false" outlineLevel="0" collapsed="false">
      <c r="A241" s="8" t="s">
        <v>350</v>
      </c>
      <c r="B241" s="8" t="n">
        <v>476065</v>
      </c>
      <c r="C241" s="8" t="s">
        <v>679</v>
      </c>
      <c r="D241" s="8" t="s">
        <v>680</v>
      </c>
      <c r="E241" s="8" t="n">
        <v>2</v>
      </c>
      <c r="F241" s="11" t="n">
        <f aca="false">SUMIFS(Itens!$I:$I,Itens!$C:$C,A241,Itens!$A:$A,C241)</f>
        <v>0</v>
      </c>
      <c r="G241" s="11" t="n">
        <f aca="false">SUMIFS(Itens!$J:$J,Itens!$C:$C,A241,Itens!$A:$A,C241)</f>
        <v>2</v>
      </c>
      <c r="H241" s="11" t="n">
        <f aca="false">SUMIFS(Itens!$K:$K,Itens!$C:$C,A241,Itens!$A:$A,C241)</f>
        <v>0</v>
      </c>
    </row>
    <row r="242" customFormat="false" ht="15" hidden="false" customHeight="false" outlineLevel="0" collapsed="false">
      <c r="A242" s="8" t="s">
        <v>388</v>
      </c>
      <c r="B242" s="8" t="n">
        <v>476065</v>
      </c>
      <c r="C242" s="8" t="s">
        <v>681</v>
      </c>
      <c r="D242" s="8" t="s">
        <v>682</v>
      </c>
      <c r="E242" s="8" t="n">
        <v>15</v>
      </c>
      <c r="F242" s="11" t="n">
        <f aca="false">SUMIFS(Itens!$I:$I,Itens!$C:$C,A242,Itens!$A:$A,C242)</f>
        <v>0</v>
      </c>
      <c r="G242" s="11" t="n">
        <f aca="false">SUMIFS(Itens!$J:$J,Itens!$C:$C,A242,Itens!$A:$A,C242)</f>
        <v>6</v>
      </c>
      <c r="H242" s="11" t="n">
        <f aca="false">SUMIFS(Itens!$K:$K,Itens!$C:$C,A242,Itens!$A:$A,C242)</f>
        <v>9</v>
      </c>
    </row>
    <row r="243" customFormat="false" ht="15" hidden="false" customHeight="false" outlineLevel="0" collapsed="false">
      <c r="A243" s="8" t="s">
        <v>388</v>
      </c>
      <c r="B243" s="8" t="n">
        <v>476065</v>
      </c>
      <c r="C243" s="8" t="s">
        <v>685</v>
      </c>
      <c r="D243" s="8" t="s">
        <v>686</v>
      </c>
      <c r="E243" s="8" t="n">
        <v>5</v>
      </c>
      <c r="F243" s="11" t="n">
        <f aca="false">SUMIFS(Itens!$I:$I,Itens!$C:$C,A243,Itens!$A:$A,C243)</f>
        <v>2</v>
      </c>
      <c r="G243" s="11" t="n">
        <f aca="false">SUMIFS(Itens!$J:$J,Itens!$C:$C,A243,Itens!$A:$A,C243)</f>
        <v>2</v>
      </c>
      <c r="H243" s="11" t="n">
        <f aca="false">SUMIFS(Itens!$K:$K,Itens!$C:$C,A243,Itens!$A:$A,C243)</f>
        <v>1</v>
      </c>
    </row>
    <row r="244" customFormat="false" ht="15" hidden="false" customHeight="false" outlineLevel="0" collapsed="false">
      <c r="A244" s="8" t="s">
        <v>389</v>
      </c>
      <c r="B244" s="8" t="n">
        <v>476065</v>
      </c>
      <c r="C244" s="8" t="s">
        <v>683</v>
      </c>
      <c r="D244" s="8" t="s">
        <v>684</v>
      </c>
      <c r="E244" s="8" t="n">
        <v>18</v>
      </c>
      <c r="F244" s="11" t="n">
        <f aca="false">SUMIFS(Itens!$I:$I,Itens!$C:$C,A244,Itens!$A:$A,C244)</f>
        <v>8</v>
      </c>
      <c r="G244" s="11" t="n">
        <f aca="false">SUMIFS(Itens!$J:$J,Itens!$C:$C,A244,Itens!$A:$A,C244)</f>
        <v>2</v>
      </c>
      <c r="H244" s="11" t="n">
        <f aca="false">SUMIFS(Itens!$K:$K,Itens!$C:$C,A244,Itens!$A:$A,C244)</f>
        <v>8</v>
      </c>
    </row>
    <row r="245" customFormat="false" ht="15" hidden="false" customHeight="false" outlineLevel="0" collapsed="false">
      <c r="A245" s="8" t="s">
        <v>389</v>
      </c>
      <c r="B245" s="8" t="n">
        <v>476065</v>
      </c>
      <c r="C245" s="8" t="s">
        <v>681</v>
      </c>
      <c r="D245" s="8" t="s">
        <v>682</v>
      </c>
      <c r="E245" s="8" t="n">
        <v>1</v>
      </c>
      <c r="F245" s="11" t="n">
        <f aca="false">SUMIFS(Itens!$I:$I,Itens!$C:$C,A245,Itens!$A:$A,C245)</f>
        <v>0</v>
      </c>
      <c r="G245" s="11" t="n">
        <f aca="false">SUMIFS(Itens!$J:$J,Itens!$C:$C,A245,Itens!$A:$A,C245)</f>
        <v>0</v>
      </c>
      <c r="H245" s="11" t="n">
        <f aca="false">SUMIFS(Itens!$K:$K,Itens!$C:$C,A245,Itens!$A:$A,C245)</f>
        <v>1</v>
      </c>
    </row>
    <row r="246" customFormat="false" ht="15" hidden="false" customHeight="false" outlineLevel="0" collapsed="false">
      <c r="A246" s="8" t="s">
        <v>389</v>
      </c>
      <c r="B246" s="8" t="n">
        <v>476065</v>
      </c>
      <c r="C246" s="8" t="s">
        <v>687</v>
      </c>
      <c r="D246" s="8" t="s">
        <v>688</v>
      </c>
      <c r="E246" s="8" t="n">
        <v>1</v>
      </c>
      <c r="F246" s="11" t="n">
        <f aca="false">SUMIFS(Itens!$I:$I,Itens!$C:$C,A246,Itens!$A:$A,C246)</f>
        <v>0</v>
      </c>
      <c r="G246" s="11" t="n">
        <f aca="false">SUMIFS(Itens!$J:$J,Itens!$C:$C,A246,Itens!$A:$A,C246)</f>
        <v>1</v>
      </c>
      <c r="H246" s="11" t="n">
        <f aca="false">SUMIFS(Itens!$K:$K,Itens!$C:$C,A246,Itens!$A:$A,C246)</f>
        <v>0</v>
      </c>
    </row>
    <row r="247" customFormat="false" ht="15" hidden="false" customHeight="false" outlineLevel="0" collapsed="false">
      <c r="A247" s="8" t="s">
        <v>390</v>
      </c>
      <c r="B247" s="8" t="n">
        <v>476065</v>
      </c>
      <c r="C247" s="8" t="s">
        <v>689</v>
      </c>
      <c r="D247" s="8" t="s">
        <v>690</v>
      </c>
      <c r="E247" s="8" t="n">
        <v>1</v>
      </c>
      <c r="F247" s="11" t="n">
        <f aca="false">SUMIFS(Itens!$I:$I,Itens!$C:$C,A247,Itens!$A:$A,C247)</f>
        <v>0</v>
      </c>
      <c r="G247" s="11" t="n">
        <f aca="false">SUMIFS(Itens!$J:$J,Itens!$C:$C,A247,Itens!$A:$A,C247)</f>
        <v>1</v>
      </c>
      <c r="H247" s="11" t="n">
        <f aca="false">SUMIFS(Itens!$K:$K,Itens!$C:$C,A247,Itens!$A:$A,C247)</f>
        <v>0</v>
      </c>
    </row>
    <row r="248" customFormat="false" ht="15" hidden="false" customHeight="false" outlineLevel="0" collapsed="false">
      <c r="A248" s="8" t="s">
        <v>390</v>
      </c>
      <c r="B248" s="8" t="n">
        <v>476065</v>
      </c>
      <c r="C248" s="8" t="s">
        <v>691</v>
      </c>
      <c r="D248" s="8" t="s">
        <v>692</v>
      </c>
      <c r="E248" s="8" t="n">
        <v>10</v>
      </c>
      <c r="F248" s="11" t="n">
        <f aca="false">SUMIFS(Itens!$I:$I,Itens!$C:$C,A248,Itens!$A:$A,C248)</f>
        <v>0</v>
      </c>
      <c r="G248" s="11" t="n">
        <f aca="false">SUMIFS(Itens!$J:$J,Itens!$C:$C,A248,Itens!$A:$A,C248)</f>
        <v>10</v>
      </c>
      <c r="H248" s="11" t="n">
        <f aca="false">SUMIFS(Itens!$K:$K,Itens!$C:$C,A248,Itens!$A:$A,C248)</f>
        <v>0</v>
      </c>
    </row>
    <row r="249" customFormat="false" ht="15" hidden="false" customHeight="false" outlineLevel="0" collapsed="false">
      <c r="A249" s="8" t="s">
        <v>390</v>
      </c>
      <c r="B249" s="8" t="n">
        <v>476065</v>
      </c>
      <c r="C249" s="8" t="s">
        <v>687</v>
      </c>
      <c r="D249" s="8" t="s">
        <v>688</v>
      </c>
      <c r="E249" s="8" t="n">
        <v>15</v>
      </c>
      <c r="F249" s="11" t="n">
        <f aca="false">SUMIFS(Itens!$I:$I,Itens!$C:$C,A249,Itens!$A:$A,C249)</f>
        <v>8</v>
      </c>
      <c r="G249" s="11" t="n">
        <f aca="false">SUMIFS(Itens!$J:$J,Itens!$C:$C,A249,Itens!$A:$A,C249)</f>
        <v>4</v>
      </c>
      <c r="H249" s="11" t="n">
        <f aca="false">SUMIFS(Itens!$K:$K,Itens!$C:$C,A249,Itens!$A:$A,C249)</f>
        <v>3</v>
      </c>
    </row>
    <row r="250" customFormat="false" ht="15" hidden="false" customHeight="false" outlineLevel="0" collapsed="false">
      <c r="A250" s="8" t="s">
        <v>393</v>
      </c>
      <c r="B250" s="8" t="n">
        <v>476065</v>
      </c>
      <c r="C250" s="8" t="s">
        <v>693</v>
      </c>
      <c r="D250" s="8" t="s">
        <v>694</v>
      </c>
      <c r="E250" s="8" t="n">
        <v>30</v>
      </c>
      <c r="F250" s="11" t="n">
        <f aca="false">SUMIFS(Itens!$I:$I,Itens!$C:$C,A250,Itens!$A:$A,C250)</f>
        <v>0</v>
      </c>
      <c r="G250" s="11" t="n">
        <f aca="false">SUMIFS(Itens!$J:$J,Itens!$C:$C,A250,Itens!$A:$A,C250)</f>
        <v>24</v>
      </c>
      <c r="H250" s="11" t="n">
        <f aca="false">SUMIFS(Itens!$K:$K,Itens!$C:$C,A250,Itens!$A:$A,C250)</f>
        <v>6</v>
      </c>
    </row>
    <row r="251" customFormat="false" ht="15" hidden="false" customHeight="false" outlineLevel="0" collapsed="false">
      <c r="A251" s="8" t="s">
        <v>395</v>
      </c>
      <c r="B251" s="8" t="n">
        <v>476065</v>
      </c>
      <c r="C251" s="8" t="s">
        <v>689</v>
      </c>
      <c r="D251" s="8" t="s">
        <v>690</v>
      </c>
      <c r="E251" s="8" t="n">
        <v>30</v>
      </c>
      <c r="F251" s="11" t="n">
        <f aca="false">SUMIFS(Itens!$I:$I,Itens!$C:$C,A251,Itens!$A:$A,C251)</f>
        <v>0</v>
      </c>
      <c r="G251" s="11" t="n">
        <f aca="false">SUMIFS(Itens!$J:$J,Itens!$C:$C,A251,Itens!$A:$A,C251)</f>
        <v>22</v>
      </c>
      <c r="H251" s="11" t="n">
        <f aca="false">SUMIFS(Itens!$K:$K,Itens!$C:$C,A251,Itens!$A:$A,C251)</f>
        <v>8</v>
      </c>
    </row>
    <row r="252" customFormat="false" ht="15" hidden="false" customHeight="false" outlineLevel="0" collapsed="false">
      <c r="A252" s="8" t="s">
        <v>398</v>
      </c>
      <c r="B252" s="8" t="n">
        <v>476065</v>
      </c>
      <c r="C252" s="8" t="s">
        <v>691</v>
      </c>
      <c r="D252" s="8" t="s">
        <v>692</v>
      </c>
      <c r="E252" s="8" t="n">
        <v>40</v>
      </c>
      <c r="F252" s="11" t="n">
        <f aca="false">SUMIFS(Itens!$I:$I,Itens!$C:$C,A252,Itens!$A:$A,C252)</f>
        <v>3</v>
      </c>
      <c r="G252" s="11" t="n">
        <f aca="false">SUMIFS(Itens!$J:$J,Itens!$C:$C,A252,Itens!$A:$A,C252)</f>
        <v>22</v>
      </c>
      <c r="H252" s="11" t="n">
        <f aca="false">SUMIFS(Itens!$K:$K,Itens!$C:$C,A252,Itens!$A:$A,C252)</f>
        <v>15</v>
      </c>
    </row>
    <row r="253" customFormat="false" ht="15" hidden="false" customHeight="false" outlineLevel="0" collapsed="false">
      <c r="A253" s="8" t="s">
        <v>403</v>
      </c>
      <c r="B253" s="8" t="n">
        <v>475799</v>
      </c>
      <c r="C253" s="8" t="s">
        <v>695</v>
      </c>
      <c r="D253" s="8" t="s">
        <v>696</v>
      </c>
      <c r="E253" s="8" t="n">
        <v>80</v>
      </c>
      <c r="F253" s="11" t="n">
        <f aca="false">SUMIFS(Itens!$I:$I,Itens!$C:$C,A253,Itens!$A:$A,C253)</f>
        <v>33</v>
      </c>
      <c r="G253" s="11" t="n">
        <f aca="false">SUMIFS(Itens!$J:$J,Itens!$C:$C,A253,Itens!$A:$A,C253)</f>
        <v>20</v>
      </c>
      <c r="H253" s="11" t="n">
        <f aca="false">SUMIFS(Itens!$K:$K,Itens!$C:$C,A253,Itens!$A:$A,C253)</f>
        <v>27</v>
      </c>
    </row>
    <row r="254" customFormat="false" ht="15" hidden="false" customHeight="false" outlineLevel="0" collapsed="false">
      <c r="A254" s="8" t="s">
        <v>403</v>
      </c>
      <c r="B254" s="8" t="n">
        <v>475799</v>
      </c>
      <c r="C254" s="8" t="s">
        <v>537</v>
      </c>
      <c r="D254" s="8" t="s">
        <v>538</v>
      </c>
      <c r="E254" s="8" t="n">
        <v>160</v>
      </c>
      <c r="F254" s="11" t="n">
        <f aca="false">SUMIFS(Itens!$I:$I,Itens!$C:$C,A254,Itens!$A:$A,C254)</f>
        <v>64</v>
      </c>
      <c r="G254" s="11" t="n">
        <f aca="false">SUMIFS(Itens!$J:$J,Itens!$C:$C,A254,Itens!$A:$A,C254)</f>
        <v>30</v>
      </c>
      <c r="H254" s="11" t="n">
        <f aca="false">SUMIFS(Itens!$K:$K,Itens!$C:$C,A254,Itens!$A:$A,C254)</f>
        <v>66</v>
      </c>
    </row>
    <row r="255" customFormat="false" ht="15" hidden="false" customHeight="false" outlineLevel="0" collapsed="false">
      <c r="A255" s="8" t="s">
        <v>403</v>
      </c>
      <c r="B255" s="8" t="n">
        <v>475799</v>
      </c>
      <c r="C255" s="8" t="s">
        <v>497</v>
      </c>
      <c r="D255" s="8" t="s">
        <v>498</v>
      </c>
      <c r="E255" s="8" t="n">
        <v>60</v>
      </c>
      <c r="F255" s="11" t="n">
        <f aca="false">SUMIFS(Itens!$I:$I,Itens!$C:$C,A255,Itens!$A:$A,C255)</f>
        <v>0</v>
      </c>
      <c r="G255" s="11" t="n">
        <f aca="false">SUMIFS(Itens!$J:$J,Itens!$C:$C,A255,Itens!$A:$A,C255)</f>
        <v>15</v>
      </c>
      <c r="H255" s="11" t="n">
        <f aca="false">SUMIFS(Itens!$K:$K,Itens!$C:$C,A255,Itens!$A:$A,C255)</f>
        <v>45</v>
      </c>
    </row>
    <row r="256" customFormat="false" ht="15" hidden="false" customHeight="false" outlineLevel="0" collapsed="false">
      <c r="A256" s="8" t="s">
        <v>403</v>
      </c>
      <c r="B256" s="8" t="n">
        <v>475799</v>
      </c>
      <c r="C256" s="8" t="s">
        <v>697</v>
      </c>
      <c r="D256" s="8" t="s">
        <v>698</v>
      </c>
      <c r="E256" s="8" t="n">
        <v>160</v>
      </c>
      <c r="F256" s="11" t="n">
        <f aca="false">SUMIFS(Itens!$I:$I,Itens!$C:$C,A256,Itens!$A:$A,C256)</f>
        <v>27</v>
      </c>
      <c r="G256" s="11" t="n">
        <f aca="false">SUMIFS(Itens!$J:$J,Itens!$C:$C,A256,Itens!$A:$A,C256)</f>
        <v>20</v>
      </c>
      <c r="H256" s="11" t="n">
        <f aca="false">SUMIFS(Itens!$K:$K,Itens!$C:$C,A256,Itens!$A:$A,C256)</f>
        <v>113</v>
      </c>
    </row>
    <row r="257" customFormat="false" ht="15" hidden="false" customHeight="false" outlineLevel="0" collapsed="false">
      <c r="A257" s="8" t="s">
        <v>403</v>
      </c>
      <c r="B257" s="8" t="n">
        <v>475799</v>
      </c>
      <c r="C257" s="8" t="s">
        <v>583</v>
      </c>
      <c r="D257" s="8" t="s">
        <v>584</v>
      </c>
      <c r="E257" s="8" t="n">
        <v>80</v>
      </c>
      <c r="F257" s="11" t="n">
        <f aca="false">SUMIFS(Itens!$I:$I,Itens!$C:$C,A257,Itens!$A:$A,C257)</f>
        <v>70</v>
      </c>
      <c r="G257" s="11" t="n">
        <f aca="false">SUMIFS(Itens!$J:$J,Itens!$C:$C,A257,Itens!$A:$A,C257)</f>
        <v>0</v>
      </c>
      <c r="H257" s="11" t="n">
        <f aca="false">SUMIFS(Itens!$K:$K,Itens!$C:$C,A257,Itens!$A:$A,C257)</f>
        <v>10</v>
      </c>
    </row>
    <row r="258" customFormat="false" ht="15" hidden="false" customHeight="false" outlineLevel="0" collapsed="false">
      <c r="A258" s="8" t="s">
        <v>403</v>
      </c>
      <c r="B258" s="8" t="n">
        <v>475799</v>
      </c>
      <c r="C258" s="8" t="s">
        <v>699</v>
      </c>
      <c r="D258" s="8" t="s">
        <v>700</v>
      </c>
      <c r="E258" s="8" t="n">
        <v>160</v>
      </c>
      <c r="F258" s="11" t="n">
        <f aca="false">SUMIFS(Itens!$I:$I,Itens!$C:$C,A258,Itens!$A:$A,C258)</f>
        <v>70</v>
      </c>
      <c r="G258" s="11" t="n">
        <f aca="false">SUMIFS(Itens!$J:$J,Itens!$C:$C,A258,Itens!$A:$A,C258)</f>
        <v>43</v>
      </c>
      <c r="H258" s="11" t="n">
        <f aca="false">SUMIFS(Itens!$K:$K,Itens!$C:$C,A258,Itens!$A:$A,C258)</f>
        <v>47</v>
      </c>
    </row>
    <row r="259" customFormat="false" ht="15" hidden="false" customHeight="false" outlineLevel="0" collapsed="false">
      <c r="A259" s="8" t="s">
        <v>403</v>
      </c>
      <c r="B259" s="8" t="n">
        <v>475799</v>
      </c>
      <c r="C259" s="8" t="s">
        <v>701</v>
      </c>
      <c r="D259" s="8" t="s">
        <v>702</v>
      </c>
      <c r="E259" s="8" t="n">
        <v>120</v>
      </c>
      <c r="F259" s="11" t="n">
        <f aca="false">SUMIFS(Itens!$I:$I,Itens!$C:$C,A259,Itens!$A:$A,C259)</f>
        <v>70</v>
      </c>
      <c r="G259" s="11" t="n">
        <f aca="false">SUMIFS(Itens!$J:$J,Itens!$C:$C,A259,Itens!$A:$A,C259)</f>
        <v>24</v>
      </c>
      <c r="H259" s="11" t="n">
        <f aca="false">SUMIFS(Itens!$K:$K,Itens!$C:$C,A259,Itens!$A:$A,C259)</f>
        <v>26</v>
      </c>
    </row>
    <row r="260" customFormat="false" ht="15" hidden="false" customHeight="false" outlineLevel="0" collapsed="false">
      <c r="A260" s="8" t="s">
        <v>403</v>
      </c>
      <c r="B260" s="8" t="n">
        <v>475799</v>
      </c>
      <c r="C260" s="8" t="s">
        <v>441</v>
      </c>
      <c r="D260" s="8" t="s">
        <v>442</v>
      </c>
      <c r="E260" s="8" t="n">
        <v>60</v>
      </c>
      <c r="F260" s="11" t="n">
        <f aca="false">SUMIFS(Itens!$I:$I,Itens!$C:$C,A260,Itens!$A:$A,C260)</f>
        <v>0</v>
      </c>
      <c r="G260" s="11" t="n">
        <f aca="false">SUMIFS(Itens!$J:$J,Itens!$C:$C,A260,Itens!$A:$A,C260)</f>
        <v>30</v>
      </c>
      <c r="H260" s="11" t="n">
        <f aca="false">SUMIFS(Itens!$K:$K,Itens!$C:$C,A260,Itens!$A:$A,C260)</f>
        <v>30</v>
      </c>
    </row>
    <row r="261" customFormat="false" ht="15" hidden="false" customHeight="false" outlineLevel="0" collapsed="false">
      <c r="A261" s="8" t="s">
        <v>403</v>
      </c>
      <c r="B261" s="8" t="n">
        <v>475799</v>
      </c>
      <c r="C261" s="8" t="s">
        <v>703</v>
      </c>
      <c r="D261" s="8" t="s">
        <v>704</v>
      </c>
      <c r="E261" s="8" t="n">
        <v>160</v>
      </c>
      <c r="F261" s="11" t="n">
        <f aca="false">SUMIFS(Itens!$I:$I,Itens!$C:$C,A261,Itens!$A:$A,C261)</f>
        <v>70</v>
      </c>
      <c r="G261" s="11" t="n">
        <f aca="false">SUMIFS(Itens!$J:$J,Itens!$C:$C,A261,Itens!$A:$A,C261)</f>
        <v>90</v>
      </c>
      <c r="H261" s="11" t="n">
        <f aca="false">SUMIFS(Itens!$K:$K,Itens!$C:$C,A261,Itens!$A:$A,C261)</f>
        <v>0</v>
      </c>
    </row>
    <row r="262" customFormat="false" ht="15" hidden="false" customHeight="false" outlineLevel="0" collapsed="false">
      <c r="A262" s="8" t="s">
        <v>403</v>
      </c>
      <c r="B262" s="8" t="n">
        <v>475799</v>
      </c>
      <c r="C262" s="8" t="s">
        <v>507</v>
      </c>
      <c r="D262" s="8" t="s">
        <v>508</v>
      </c>
      <c r="E262" s="8" t="n">
        <v>80</v>
      </c>
      <c r="F262" s="11" t="n">
        <f aca="false">SUMIFS(Itens!$I:$I,Itens!$C:$C,A262,Itens!$A:$A,C262)</f>
        <v>0</v>
      </c>
      <c r="G262" s="11" t="n">
        <f aca="false">SUMIFS(Itens!$J:$J,Itens!$C:$C,A262,Itens!$A:$A,C262)</f>
        <v>0</v>
      </c>
      <c r="H262" s="11" t="n">
        <f aca="false">SUMIFS(Itens!$K:$K,Itens!$C:$C,A262,Itens!$A:$A,C262)</f>
        <v>80</v>
      </c>
    </row>
    <row r="263" customFormat="false" ht="15" hidden="false" customHeight="false" outlineLevel="0" collapsed="false">
      <c r="A263" s="8" t="s">
        <v>403</v>
      </c>
      <c r="B263" s="8" t="n">
        <v>475799</v>
      </c>
      <c r="C263" s="8" t="s">
        <v>705</v>
      </c>
      <c r="D263" s="8" t="s">
        <v>706</v>
      </c>
      <c r="E263" s="8" t="n">
        <v>160</v>
      </c>
      <c r="F263" s="11" t="n">
        <f aca="false">SUMIFS(Itens!$I:$I,Itens!$C:$C,A263,Itens!$A:$A,C263)</f>
        <v>20</v>
      </c>
      <c r="G263" s="11" t="n">
        <f aca="false">SUMIFS(Itens!$J:$J,Itens!$C:$C,A263,Itens!$A:$A,C263)</f>
        <v>20</v>
      </c>
      <c r="H263" s="11" t="n">
        <f aca="false">SUMIFS(Itens!$K:$K,Itens!$C:$C,A263,Itens!$A:$A,C263)</f>
        <v>120</v>
      </c>
    </row>
    <row r="264" customFormat="false" ht="15" hidden="false" customHeight="false" outlineLevel="0" collapsed="false">
      <c r="A264" s="8" t="s">
        <v>403</v>
      </c>
      <c r="B264" s="8" t="n">
        <v>475799</v>
      </c>
      <c r="C264" s="8" t="s">
        <v>707</v>
      </c>
      <c r="D264" s="8" t="s">
        <v>708</v>
      </c>
      <c r="E264" s="8" t="n">
        <v>60</v>
      </c>
      <c r="F264" s="11" t="n">
        <f aca="false">SUMIFS(Itens!$I:$I,Itens!$C:$C,A264,Itens!$A:$A,C264)</f>
        <v>20</v>
      </c>
      <c r="G264" s="11" t="n">
        <f aca="false">SUMIFS(Itens!$J:$J,Itens!$C:$C,A264,Itens!$A:$A,C264)</f>
        <v>20</v>
      </c>
      <c r="H264" s="11" t="n">
        <f aca="false">SUMIFS(Itens!$K:$K,Itens!$C:$C,A264,Itens!$A:$A,C264)</f>
        <v>20</v>
      </c>
    </row>
    <row r="265" customFormat="false" ht="15" hidden="false" customHeight="false" outlineLevel="0" collapsed="false">
      <c r="A265" s="8" t="s">
        <v>403</v>
      </c>
      <c r="B265" s="8" t="n">
        <v>475799</v>
      </c>
      <c r="C265" s="8" t="s">
        <v>709</v>
      </c>
      <c r="D265" s="8" t="s">
        <v>710</v>
      </c>
      <c r="E265" s="8" t="n">
        <v>150</v>
      </c>
      <c r="F265" s="11" t="n">
        <f aca="false">SUMIFS(Itens!$I:$I,Itens!$C:$C,A265,Itens!$A:$A,C265)</f>
        <v>70</v>
      </c>
      <c r="G265" s="11" t="n">
        <f aca="false">SUMIFS(Itens!$J:$J,Itens!$C:$C,A265,Itens!$A:$A,C265)</f>
        <v>80</v>
      </c>
      <c r="H265" s="11" t="n">
        <f aca="false">SUMIFS(Itens!$K:$K,Itens!$C:$C,A265,Itens!$A:$A,C265)</f>
        <v>0</v>
      </c>
    </row>
    <row r="266" customFormat="false" ht="15" hidden="false" customHeight="false" outlineLevel="0" collapsed="false">
      <c r="A266" s="8" t="s">
        <v>403</v>
      </c>
      <c r="B266" s="8" t="n">
        <v>475799</v>
      </c>
      <c r="C266" s="8" t="s">
        <v>711</v>
      </c>
      <c r="D266" s="8" t="s">
        <v>712</v>
      </c>
      <c r="E266" s="8" t="n">
        <v>120</v>
      </c>
      <c r="F266" s="11" t="n">
        <f aca="false">SUMIFS(Itens!$I:$I,Itens!$C:$C,A266,Itens!$A:$A,C266)</f>
        <v>70</v>
      </c>
      <c r="G266" s="11" t="n">
        <f aca="false">SUMIFS(Itens!$J:$J,Itens!$C:$C,A266,Itens!$A:$A,C266)</f>
        <v>50</v>
      </c>
      <c r="H266" s="11" t="n">
        <f aca="false">SUMIFS(Itens!$K:$K,Itens!$C:$C,A266,Itens!$A:$A,C266)</f>
        <v>0</v>
      </c>
    </row>
    <row r="267" customFormat="false" ht="15" hidden="false" customHeight="false" outlineLevel="0" collapsed="false">
      <c r="A267" s="8" t="s">
        <v>403</v>
      </c>
      <c r="B267" s="8" t="n">
        <v>475799</v>
      </c>
      <c r="C267" s="8" t="s">
        <v>557</v>
      </c>
      <c r="D267" s="8" t="s">
        <v>558</v>
      </c>
      <c r="E267" s="8" t="n">
        <v>120</v>
      </c>
      <c r="F267" s="11" t="n">
        <f aca="false">SUMIFS(Itens!$I:$I,Itens!$C:$C,A267,Itens!$A:$A,C267)</f>
        <v>0</v>
      </c>
      <c r="G267" s="11" t="n">
        <f aca="false">SUMIFS(Itens!$J:$J,Itens!$C:$C,A267,Itens!$A:$A,C267)</f>
        <v>20</v>
      </c>
      <c r="H267" s="11" t="n">
        <f aca="false">SUMIFS(Itens!$K:$K,Itens!$C:$C,A267,Itens!$A:$A,C267)</f>
        <v>100</v>
      </c>
    </row>
    <row r="268" customFormat="false" ht="15" hidden="false" customHeight="false" outlineLevel="0" collapsed="false">
      <c r="A268" s="8" t="s">
        <v>403</v>
      </c>
      <c r="B268" s="8" t="n">
        <v>475799</v>
      </c>
      <c r="C268" s="8" t="s">
        <v>447</v>
      </c>
      <c r="D268" s="8" t="s">
        <v>448</v>
      </c>
      <c r="E268" s="8" t="n">
        <v>160</v>
      </c>
      <c r="F268" s="11" t="n">
        <f aca="false">SUMIFS(Itens!$I:$I,Itens!$C:$C,A268,Itens!$A:$A,C268)</f>
        <v>70</v>
      </c>
      <c r="G268" s="11" t="n">
        <f aca="false">SUMIFS(Itens!$J:$J,Itens!$C:$C,A268,Itens!$A:$A,C268)</f>
        <v>20</v>
      </c>
      <c r="H268" s="11" t="n">
        <f aca="false">SUMIFS(Itens!$K:$K,Itens!$C:$C,A268,Itens!$A:$A,C268)</f>
        <v>70</v>
      </c>
    </row>
    <row r="269" customFormat="false" ht="15" hidden="false" customHeight="false" outlineLevel="0" collapsed="false">
      <c r="A269" s="8" t="s">
        <v>403</v>
      </c>
      <c r="B269" s="8" t="n">
        <v>475799</v>
      </c>
      <c r="C269" s="8" t="s">
        <v>463</v>
      </c>
      <c r="D269" s="8" t="s">
        <v>464</v>
      </c>
      <c r="E269" s="8" t="n">
        <v>160</v>
      </c>
      <c r="F269" s="11" t="n">
        <f aca="false">SUMIFS(Itens!$I:$I,Itens!$C:$C,A269,Itens!$A:$A,C269)</f>
        <v>0</v>
      </c>
      <c r="G269" s="11" t="n">
        <f aca="false">SUMIFS(Itens!$J:$J,Itens!$C:$C,A269,Itens!$A:$A,C269)</f>
        <v>20</v>
      </c>
      <c r="H269" s="11" t="n">
        <f aca="false">SUMIFS(Itens!$K:$K,Itens!$C:$C,A269,Itens!$A:$A,C269)</f>
        <v>140</v>
      </c>
    </row>
    <row r="270" customFormat="false" ht="15" hidden="false" customHeight="false" outlineLevel="0" collapsed="false">
      <c r="A270" s="8" t="s">
        <v>403</v>
      </c>
      <c r="B270" s="8" t="n">
        <v>475799</v>
      </c>
      <c r="C270" s="8" t="s">
        <v>713</v>
      </c>
      <c r="D270" s="8" t="s">
        <v>714</v>
      </c>
      <c r="E270" s="8" t="n">
        <v>180</v>
      </c>
      <c r="F270" s="11" t="n">
        <f aca="false">SUMIFS(Itens!$I:$I,Itens!$C:$C,A270,Itens!$A:$A,C270)</f>
        <v>20</v>
      </c>
      <c r="G270" s="11" t="n">
        <f aca="false">SUMIFS(Itens!$J:$J,Itens!$C:$C,A270,Itens!$A:$A,C270)</f>
        <v>160</v>
      </c>
      <c r="H270" s="11" t="n">
        <f aca="false">SUMIFS(Itens!$K:$K,Itens!$C:$C,A270,Itens!$A:$A,C270)</f>
        <v>0</v>
      </c>
    </row>
    <row r="271" customFormat="false" ht="15" hidden="false" customHeight="false" outlineLevel="0" collapsed="false">
      <c r="A271" s="8" t="s">
        <v>403</v>
      </c>
      <c r="B271" s="8" t="n">
        <v>475799</v>
      </c>
      <c r="C271" s="8" t="s">
        <v>591</v>
      </c>
      <c r="D271" s="8" t="s">
        <v>592</v>
      </c>
      <c r="E271" s="8" t="n">
        <v>80</v>
      </c>
      <c r="F271" s="11" t="n">
        <f aca="false">SUMIFS(Itens!$I:$I,Itens!$C:$C,A271,Itens!$A:$A,C271)</f>
        <v>0</v>
      </c>
      <c r="G271" s="11" t="n">
        <f aca="false">SUMIFS(Itens!$J:$J,Itens!$C:$C,A271,Itens!$A:$A,C271)</f>
        <v>80</v>
      </c>
      <c r="H271" s="11" t="n">
        <f aca="false">SUMIFS(Itens!$K:$K,Itens!$C:$C,A271,Itens!$A:$A,C271)</f>
        <v>0</v>
      </c>
    </row>
    <row r="272" customFormat="false" ht="15" hidden="false" customHeight="false" outlineLevel="0" collapsed="false">
      <c r="A272" s="8" t="s">
        <v>403</v>
      </c>
      <c r="B272" s="8" t="n">
        <v>475799</v>
      </c>
      <c r="C272" s="8" t="s">
        <v>437</v>
      </c>
      <c r="D272" s="8" t="s">
        <v>438</v>
      </c>
      <c r="E272" s="8" t="n">
        <v>280</v>
      </c>
      <c r="F272" s="11" t="n">
        <f aca="false">SUMIFS(Itens!$I:$I,Itens!$C:$C,A272,Itens!$A:$A,C272)</f>
        <v>0</v>
      </c>
      <c r="G272" s="11" t="n">
        <f aca="false">SUMIFS(Itens!$J:$J,Itens!$C:$C,A272,Itens!$A:$A,C272)</f>
        <v>14</v>
      </c>
      <c r="H272" s="11" t="n">
        <f aca="false">SUMIFS(Itens!$K:$K,Itens!$C:$C,A272,Itens!$A:$A,C272)</f>
        <v>266</v>
      </c>
    </row>
    <row r="273" customFormat="false" ht="15" hidden="false" customHeight="false" outlineLevel="0" collapsed="false">
      <c r="A273" s="8" t="s">
        <v>403</v>
      </c>
      <c r="B273" s="8" t="n">
        <v>475799</v>
      </c>
      <c r="C273" s="8" t="s">
        <v>605</v>
      </c>
      <c r="D273" s="8" t="s">
        <v>606</v>
      </c>
      <c r="E273" s="8" t="n">
        <v>100</v>
      </c>
      <c r="F273" s="11" t="n">
        <f aca="false">SUMIFS(Itens!$I:$I,Itens!$C:$C,A273,Itens!$A:$A,C273)</f>
        <v>49</v>
      </c>
      <c r="G273" s="11" t="n">
        <f aca="false">SUMIFS(Itens!$J:$J,Itens!$C:$C,A273,Itens!$A:$A,C273)</f>
        <v>51</v>
      </c>
      <c r="H273" s="11" t="n">
        <f aca="false">SUMIFS(Itens!$K:$K,Itens!$C:$C,A273,Itens!$A:$A,C273)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2"/>
  </cols>
  <sheetData>
    <row r="1" customFormat="false" ht="31.5" hidden="false" customHeight="true" outlineLevel="0" collapsed="false">
      <c r="A1" s="7" t="s">
        <v>419</v>
      </c>
      <c r="B1" s="7" t="s">
        <v>719</v>
      </c>
      <c r="C1" s="7" t="s">
        <v>720</v>
      </c>
      <c r="D1" s="7" t="s">
        <v>721</v>
      </c>
      <c r="E1" s="7" t="s">
        <v>722</v>
      </c>
      <c r="F1" s="7" t="s">
        <v>723</v>
      </c>
      <c r="G1" s="7" t="s">
        <v>724</v>
      </c>
      <c r="H1" s="7" t="s">
        <v>725</v>
      </c>
      <c r="I1" s="7" t="s">
        <v>25</v>
      </c>
      <c r="J1" s="7" t="s">
        <v>18</v>
      </c>
      <c r="K1" s="7" t="s">
        <v>726</v>
      </c>
    </row>
    <row r="2" customFormat="false" ht="15" hidden="false" customHeight="false" outlineLevel="0" collapsed="false">
      <c r="A2" s="8" t="s">
        <v>587</v>
      </c>
      <c r="B2" s="8" t="s">
        <v>588</v>
      </c>
      <c r="C2" s="8" t="s">
        <v>727</v>
      </c>
      <c r="D2" s="8" t="s">
        <v>19</v>
      </c>
      <c r="E2" s="8" t="n">
        <v>300</v>
      </c>
      <c r="F2" s="11" t="n">
        <f aca="false">IF(D2="CBP",SUMIF(Itens!$A:$A,A2,Itens!$I:$I),SUMIF(Itens!$A:$A,A2,Itens!$J:$J))</f>
        <v>18</v>
      </c>
      <c r="G2" s="8" t="n">
        <f aca="false">MAX(0,E2-F2)</f>
        <v>282</v>
      </c>
      <c r="H2" s="14" t="n">
        <f aca="false">IF(E2=0,0,MIN(1,F2/E2))</f>
        <v>0.06</v>
      </c>
      <c r="I2" s="8" t="n">
        <f aca="false">MAX(0,F2-E2)</f>
        <v>0</v>
      </c>
      <c r="J2" s="8" t="n">
        <f aca="false">E2+I2</f>
        <v>300</v>
      </c>
      <c r="K2" s="8" t="str">
        <f aca="false">IF(I2=0,"OK",IF(D2="CBP","Complemento CBP","ERRO: excede CBTBE"))</f>
        <v>OK</v>
      </c>
    </row>
    <row r="3" customFormat="false" ht="15" hidden="false" customHeight="false" outlineLevel="0" collapsed="false">
      <c r="A3" s="8" t="s">
        <v>617</v>
      </c>
      <c r="B3" s="8" t="s">
        <v>618</v>
      </c>
      <c r="C3" s="8" t="s">
        <v>728</v>
      </c>
      <c r="D3" s="8" t="s">
        <v>19</v>
      </c>
      <c r="E3" s="8" t="n">
        <v>250</v>
      </c>
      <c r="F3" s="11" t="n">
        <f aca="false">IF(D3="CBP",SUMIF(Itens!$A:$A,A3,Itens!$I:$I),SUMIF(Itens!$A:$A,A3,Itens!$J:$J))</f>
        <v>8</v>
      </c>
      <c r="G3" s="8" t="n">
        <f aca="false">MAX(0,E3-F3)</f>
        <v>242</v>
      </c>
      <c r="H3" s="14" t="n">
        <f aca="false">IF(E3=0,0,MIN(1,F3/E3))</f>
        <v>0.032</v>
      </c>
      <c r="I3" s="8" t="n">
        <f aca="false">MAX(0,F3-E3)</f>
        <v>0</v>
      </c>
      <c r="J3" s="8" t="n">
        <f aca="false">E3+I3</f>
        <v>250</v>
      </c>
      <c r="K3" s="8" t="str">
        <f aca="false">IF(I3=0,"OK",IF(D3="CBP","Complemento CBP","ERRO: excede CBTBE"))</f>
        <v>OK</v>
      </c>
    </row>
    <row r="4" customFormat="false" ht="15" hidden="false" customHeight="false" outlineLevel="0" collapsed="false">
      <c r="A4" s="8" t="s">
        <v>649</v>
      </c>
      <c r="B4" s="8" t="s">
        <v>650</v>
      </c>
      <c r="C4" s="8" t="s">
        <v>729</v>
      </c>
      <c r="D4" s="8" t="s">
        <v>19</v>
      </c>
      <c r="E4" s="8" t="n">
        <v>250</v>
      </c>
      <c r="F4" s="11" t="n">
        <f aca="false">IF(D4="CBP",SUMIF(Itens!$A:$A,A4,Itens!$I:$I),SUMIF(Itens!$A:$A,A4,Itens!$J:$J))</f>
        <v>25</v>
      </c>
      <c r="G4" s="8" t="n">
        <f aca="false">MAX(0,E4-F4)</f>
        <v>225</v>
      </c>
      <c r="H4" s="14" t="n">
        <f aca="false">IF(E4=0,0,MIN(1,F4/E4))</f>
        <v>0.1</v>
      </c>
      <c r="I4" s="8" t="n">
        <f aca="false">MAX(0,F4-E4)</f>
        <v>0</v>
      </c>
      <c r="J4" s="8" t="n">
        <f aca="false">E4+I4</f>
        <v>250</v>
      </c>
      <c r="K4" s="8" t="str">
        <f aca="false">IF(I4=0,"OK",IF(D4="CBP","Complemento CBP","ERRO: excede CBTBE"))</f>
        <v>OK</v>
      </c>
    </row>
    <row r="5" customFormat="false" ht="15" hidden="false" customHeight="false" outlineLevel="0" collapsed="false">
      <c r="A5" s="8" t="s">
        <v>730</v>
      </c>
      <c r="B5" s="8" t="s">
        <v>731</v>
      </c>
      <c r="C5" s="8" t="s">
        <v>732</v>
      </c>
      <c r="D5" s="8" t="s">
        <v>19</v>
      </c>
      <c r="E5" s="8" t="n">
        <v>250</v>
      </c>
      <c r="F5" s="11" t="n">
        <f aca="false">IF(D5="CBP",SUMIF(Itens!$A:$A,A5,Itens!$I:$I),SUMIF(Itens!$A:$A,A5,Itens!$J:$J))</f>
        <v>0</v>
      </c>
      <c r="G5" s="8" t="n">
        <f aca="false">MAX(0,E5-F5)</f>
        <v>250</v>
      </c>
      <c r="H5" s="14" t="n">
        <f aca="false">IF(E5=0,0,MIN(1,F5/E5))</f>
        <v>0</v>
      </c>
      <c r="I5" s="8" t="n">
        <f aca="false">MAX(0,F5-E5)</f>
        <v>0</v>
      </c>
      <c r="J5" s="8" t="n">
        <f aca="false">E5+I5</f>
        <v>250</v>
      </c>
      <c r="K5" s="8" t="str">
        <f aca="false">IF(I5=0,"OK",IF(D5="CBP","Complemento CBP","ERRO: excede CBTBE"))</f>
        <v>OK</v>
      </c>
    </row>
    <row r="6" customFormat="false" ht="15" hidden="false" customHeight="false" outlineLevel="0" collapsed="false">
      <c r="A6" s="8" t="s">
        <v>551</v>
      </c>
      <c r="B6" s="8" t="s">
        <v>552</v>
      </c>
      <c r="C6" s="8" t="s">
        <v>733</v>
      </c>
      <c r="D6" s="8" t="s">
        <v>19</v>
      </c>
      <c r="E6" s="8" t="n">
        <v>250</v>
      </c>
      <c r="F6" s="11" t="n">
        <f aca="false">IF(D6="CBP",SUMIF(Itens!$A:$A,A6,Itens!$I:$I),SUMIF(Itens!$A:$A,A6,Itens!$J:$J))</f>
        <v>85</v>
      </c>
      <c r="G6" s="8" t="n">
        <f aca="false">MAX(0,E6-F6)</f>
        <v>165</v>
      </c>
      <c r="H6" s="14" t="n">
        <f aca="false">IF(E6=0,0,MIN(1,F6/E6))</f>
        <v>0.34</v>
      </c>
      <c r="I6" s="8" t="n">
        <f aca="false">MAX(0,F6-E6)</f>
        <v>0</v>
      </c>
      <c r="J6" s="8" t="n">
        <f aca="false">E6+I6</f>
        <v>250</v>
      </c>
      <c r="K6" s="8" t="str">
        <f aca="false">IF(I6=0,"OK",IF(D6="CBP","Complemento CBP","ERRO: excede CBTBE"))</f>
        <v>OK</v>
      </c>
    </row>
    <row r="7" customFormat="false" ht="15" hidden="false" customHeight="false" outlineLevel="0" collapsed="false">
      <c r="A7" s="8" t="s">
        <v>511</v>
      </c>
      <c r="B7" s="8" t="s">
        <v>512</v>
      </c>
      <c r="C7" s="8" t="s">
        <v>734</v>
      </c>
      <c r="D7" s="8" t="s">
        <v>19</v>
      </c>
      <c r="E7" s="8" t="n">
        <v>228</v>
      </c>
      <c r="F7" s="11" t="n">
        <f aca="false">IF(D7="CBP",SUMIF(Itens!$A:$A,A7,Itens!$I:$I),SUMIF(Itens!$A:$A,A7,Itens!$J:$J))</f>
        <v>70</v>
      </c>
      <c r="G7" s="8" t="n">
        <f aca="false">MAX(0,E7-F7)</f>
        <v>158</v>
      </c>
      <c r="H7" s="14" t="n">
        <f aca="false">IF(E7=0,0,MIN(1,F7/E7))</f>
        <v>0.307017543859649</v>
      </c>
      <c r="I7" s="8" t="n">
        <f aca="false">MAX(0,F7-E7)</f>
        <v>0</v>
      </c>
      <c r="J7" s="8" t="n">
        <f aca="false">E7+I7</f>
        <v>228</v>
      </c>
      <c r="K7" s="8" t="str">
        <f aca="false">IF(I7=0,"OK",IF(D7="CBP","Complemento CBP","ERRO: excede CBTBE"))</f>
        <v>OK</v>
      </c>
    </row>
    <row r="8" customFormat="false" ht="15" hidden="false" customHeight="false" outlineLevel="0" collapsed="false">
      <c r="A8" s="8" t="s">
        <v>547</v>
      </c>
      <c r="B8" s="8" t="s">
        <v>548</v>
      </c>
      <c r="C8" s="8" t="s">
        <v>735</v>
      </c>
      <c r="D8" s="8" t="s">
        <v>19</v>
      </c>
      <c r="E8" s="8" t="n">
        <v>200</v>
      </c>
      <c r="F8" s="11" t="n">
        <f aca="false">IF(D8="CBP",SUMIF(Itens!$A:$A,A8,Itens!$I:$I),SUMIF(Itens!$A:$A,A8,Itens!$J:$J))</f>
        <v>70</v>
      </c>
      <c r="G8" s="8" t="n">
        <f aca="false">MAX(0,E8-F8)</f>
        <v>130</v>
      </c>
      <c r="H8" s="14" t="n">
        <f aca="false">IF(E8=0,0,MIN(1,F8/E8))</f>
        <v>0.35</v>
      </c>
      <c r="I8" s="8" t="n">
        <f aca="false">MAX(0,F8-E8)</f>
        <v>0</v>
      </c>
      <c r="J8" s="8" t="n">
        <f aca="false">E8+I8</f>
        <v>200</v>
      </c>
      <c r="K8" s="8" t="str">
        <f aca="false">IF(I8=0,"OK",IF(D8="CBP","Complemento CBP","ERRO: excede CBTBE"))</f>
        <v>OK</v>
      </c>
    </row>
    <row r="9" customFormat="false" ht="15" hidden="false" customHeight="false" outlineLevel="0" collapsed="false">
      <c r="A9" s="8" t="s">
        <v>513</v>
      </c>
      <c r="B9" s="8" t="s">
        <v>514</v>
      </c>
      <c r="C9" s="8" t="s">
        <v>736</v>
      </c>
      <c r="D9" s="8" t="s">
        <v>19</v>
      </c>
      <c r="E9" s="8" t="n">
        <v>155</v>
      </c>
      <c r="F9" s="11" t="n">
        <f aca="false">IF(D9="CBP",SUMIF(Itens!$A:$A,A9,Itens!$I:$I),SUMIF(Itens!$A:$A,A9,Itens!$J:$J))</f>
        <v>70</v>
      </c>
      <c r="G9" s="8" t="n">
        <f aca="false">MAX(0,E9-F9)</f>
        <v>85</v>
      </c>
      <c r="H9" s="14" t="n">
        <f aca="false">IF(E9=0,0,MIN(1,F9/E9))</f>
        <v>0.451612903225806</v>
      </c>
      <c r="I9" s="8" t="n">
        <f aca="false">MAX(0,F9-E9)</f>
        <v>0</v>
      </c>
      <c r="J9" s="8" t="n">
        <f aca="false">E9+I9</f>
        <v>155</v>
      </c>
      <c r="K9" s="8" t="str">
        <f aca="false">IF(I9=0,"OK",IF(D9="CBP","Complemento CBP","ERRO: excede CBTBE"))</f>
        <v>OK</v>
      </c>
    </row>
    <row r="10" customFormat="false" ht="15" hidden="false" customHeight="false" outlineLevel="0" collapsed="false">
      <c r="A10" s="8" t="s">
        <v>737</v>
      </c>
      <c r="B10" s="8" t="s">
        <v>738</v>
      </c>
      <c r="C10" s="8" t="s">
        <v>739</v>
      </c>
      <c r="D10" s="8" t="s">
        <v>19</v>
      </c>
      <c r="E10" s="8" t="n">
        <v>140</v>
      </c>
      <c r="F10" s="11" t="n">
        <f aca="false">IF(D10="CBP",SUMIF(Itens!$A:$A,A10,Itens!$I:$I),SUMIF(Itens!$A:$A,A10,Itens!$J:$J))</f>
        <v>0</v>
      </c>
      <c r="G10" s="8" t="n">
        <f aca="false">MAX(0,E10-F10)</f>
        <v>140</v>
      </c>
      <c r="H10" s="14" t="n">
        <f aca="false">IF(E10=0,0,MIN(1,F10/E10))</f>
        <v>0</v>
      </c>
      <c r="I10" s="8" t="n">
        <f aca="false">MAX(0,F10-E10)</f>
        <v>0</v>
      </c>
      <c r="J10" s="8" t="n">
        <f aca="false">E10+I10</f>
        <v>140</v>
      </c>
      <c r="K10" s="8" t="str">
        <f aca="false">IF(I10=0,"OK",IF(D10="CBP","Complemento CBP","ERRO: excede CBTBE"))</f>
        <v>OK</v>
      </c>
    </row>
    <row r="11" customFormat="false" ht="15" hidden="false" customHeight="false" outlineLevel="0" collapsed="false">
      <c r="A11" s="8" t="s">
        <v>567</v>
      </c>
      <c r="B11" s="8" t="s">
        <v>568</v>
      </c>
      <c r="C11" s="8" t="s">
        <v>740</v>
      </c>
      <c r="D11" s="8" t="s">
        <v>19</v>
      </c>
      <c r="E11" s="8" t="n">
        <v>134</v>
      </c>
      <c r="F11" s="11" t="n">
        <f aca="false">IF(D11="CBP",SUMIF(Itens!$A:$A,A11,Itens!$I:$I),SUMIF(Itens!$A:$A,A11,Itens!$J:$J))</f>
        <v>56</v>
      </c>
      <c r="G11" s="8" t="n">
        <f aca="false">MAX(0,E11-F11)</f>
        <v>78</v>
      </c>
      <c r="H11" s="14" t="n">
        <f aca="false">IF(E11=0,0,MIN(1,F11/E11))</f>
        <v>0.417910447761194</v>
      </c>
      <c r="I11" s="8" t="n">
        <f aca="false">MAX(0,F11-E11)</f>
        <v>0</v>
      </c>
      <c r="J11" s="8" t="n">
        <f aca="false">E11+I11</f>
        <v>134</v>
      </c>
      <c r="K11" s="8" t="str">
        <f aca="false">IF(I11=0,"OK",IF(D11="CBP","Complemento CBP","ERRO: excede CBTBE"))</f>
        <v>OK</v>
      </c>
    </row>
    <row r="12" customFormat="false" ht="15" hidden="false" customHeight="false" outlineLevel="0" collapsed="false">
      <c r="A12" s="8" t="s">
        <v>741</v>
      </c>
      <c r="B12" s="8" t="s">
        <v>742</v>
      </c>
      <c r="C12" s="8" t="s">
        <v>743</v>
      </c>
      <c r="D12" s="8" t="s">
        <v>19</v>
      </c>
      <c r="E12" s="8" t="n">
        <v>128</v>
      </c>
      <c r="F12" s="11" t="n">
        <f aca="false">IF(D12="CBP",SUMIF(Itens!$A:$A,A12,Itens!$I:$I),SUMIF(Itens!$A:$A,A12,Itens!$J:$J))</f>
        <v>0</v>
      </c>
      <c r="G12" s="8" t="n">
        <f aca="false">MAX(0,E12-F12)</f>
        <v>128</v>
      </c>
      <c r="H12" s="14" t="n">
        <f aca="false">IF(E12=0,0,MIN(1,F12/E12))</f>
        <v>0</v>
      </c>
      <c r="I12" s="8" t="n">
        <f aca="false">MAX(0,F12-E12)</f>
        <v>0</v>
      </c>
      <c r="J12" s="8" t="n">
        <f aca="false">E12+I12</f>
        <v>128</v>
      </c>
      <c r="K12" s="8" t="str">
        <f aca="false">IF(I12=0,"OK",IF(D12="CBP","Complemento CBP","ERRO: excede CBTBE"))</f>
        <v>OK</v>
      </c>
    </row>
    <row r="13" customFormat="false" ht="15" hidden="false" customHeight="false" outlineLevel="0" collapsed="false">
      <c r="A13" s="8" t="s">
        <v>577</v>
      </c>
      <c r="B13" s="8" t="s">
        <v>578</v>
      </c>
      <c r="C13" s="8" t="s">
        <v>744</v>
      </c>
      <c r="D13" s="8" t="s">
        <v>19</v>
      </c>
      <c r="E13" s="8" t="n">
        <v>125</v>
      </c>
      <c r="F13" s="11" t="n">
        <f aca="false">IF(D13="CBP",SUMIF(Itens!$A:$A,A13,Itens!$I:$I),SUMIF(Itens!$A:$A,A13,Itens!$J:$J))</f>
        <v>104</v>
      </c>
      <c r="G13" s="8" t="n">
        <f aca="false">MAX(0,E13-F13)</f>
        <v>21</v>
      </c>
      <c r="H13" s="14" t="n">
        <f aca="false">IF(E13=0,0,MIN(1,F13/E13))</f>
        <v>0.832</v>
      </c>
      <c r="I13" s="8" t="n">
        <f aca="false">MAX(0,F13-E13)</f>
        <v>0</v>
      </c>
      <c r="J13" s="8" t="n">
        <f aca="false">E13+I13</f>
        <v>125</v>
      </c>
      <c r="K13" s="8" t="str">
        <f aca="false">IF(I13=0,"OK",IF(D13="CBP","Complemento CBP","ERRO: excede CBTBE"))</f>
        <v>OK</v>
      </c>
    </row>
    <row r="14" customFormat="false" ht="15" hidden="false" customHeight="false" outlineLevel="0" collapsed="false">
      <c r="A14" s="8" t="s">
        <v>677</v>
      </c>
      <c r="B14" s="8" t="s">
        <v>678</v>
      </c>
      <c r="C14" s="8" t="s">
        <v>745</v>
      </c>
      <c r="D14" s="8" t="s">
        <v>19</v>
      </c>
      <c r="E14" s="8" t="n">
        <v>120</v>
      </c>
      <c r="F14" s="11" t="n">
        <f aca="false">IF(D14="CBP",SUMIF(Itens!$A:$A,A14,Itens!$I:$I),SUMIF(Itens!$A:$A,A14,Itens!$J:$J))</f>
        <v>112</v>
      </c>
      <c r="G14" s="8" t="n">
        <f aca="false">MAX(0,E14-F14)</f>
        <v>8</v>
      </c>
      <c r="H14" s="14" t="n">
        <f aca="false">IF(E14=0,0,MIN(1,F14/E14))</f>
        <v>0.933333333333333</v>
      </c>
      <c r="I14" s="8" t="n">
        <f aca="false">MAX(0,F14-E14)</f>
        <v>0</v>
      </c>
      <c r="J14" s="8" t="n">
        <f aca="false">E14+I14</f>
        <v>120</v>
      </c>
      <c r="K14" s="8" t="str">
        <f aca="false">IF(I14=0,"OK",IF(D14="CBP","Complemento CBP","ERRO: excede CBTBE"))</f>
        <v>OK</v>
      </c>
    </row>
    <row r="15" customFormat="false" ht="15" hidden="false" customHeight="false" outlineLevel="0" collapsed="false">
      <c r="A15" s="8" t="s">
        <v>746</v>
      </c>
      <c r="B15" s="8" t="s">
        <v>747</v>
      </c>
      <c r="C15" s="8" t="s">
        <v>748</v>
      </c>
      <c r="D15" s="8" t="s">
        <v>19</v>
      </c>
      <c r="E15" s="8" t="n">
        <v>118</v>
      </c>
      <c r="F15" s="11" t="n">
        <f aca="false">IF(D15="CBP",SUMIF(Itens!$A:$A,A15,Itens!$I:$I),SUMIF(Itens!$A:$A,A15,Itens!$J:$J))</f>
        <v>0</v>
      </c>
      <c r="G15" s="8" t="n">
        <f aca="false">MAX(0,E15-F15)</f>
        <v>118</v>
      </c>
      <c r="H15" s="14" t="n">
        <f aca="false">IF(E15=0,0,MIN(1,F15/E15))</f>
        <v>0</v>
      </c>
      <c r="I15" s="8" t="n">
        <f aca="false">MAX(0,F15-E15)</f>
        <v>0</v>
      </c>
      <c r="J15" s="8" t="n">
        <f aca="false">E15+I15</f>
        <v>118</v>
      </c>
      <c r="K15" s="8" t="str">
        <f aca="false">IF(I15=0,"OK",IF(D15="CBP","Complemento CBP","ERRO: excede CBTBE"))</f>
        <v>OK</v>
      </c>
    </row>
    <row r="16" customFormat="false" ht="15" hidden="false" customHeight="false" outlineLevel="0" collapsed="false">
      <c r="A16" s="8" t="s">
        <v>503</v>
      </c>
      <c r="B16" s="8" t="s">
        <v>504</v>
      </c>
      <c r="C16" s="8" t="s">
        <v>749</v>
      </c>
      <c r="D16" s="8" t="s">
        <v>19</v>
      </c>
      <c r="E16" s="8" t="n">
        <v>115</v>
      </c>
      <c r="F16" s="11" t="n">
        <f aca="false">IF(D16="CBP",SUMIF(Itens!$A:$A,A16,Itens!$I:$I),SUMIF(Itens!$A:$A,A16,Itens!$J:$J))</f>
        <v>115</v>
      </c>
      <c r="G16" s="8" t="n">
        <f aca="false">MAX(0,E16-F16)</f>
        <v>0</v>
      </c>
      <c r="H16" s="14" t="n">
        <f aca="false">IF(E16=0,0,MIN(1,F16/E16))</f>
        <v>1</v>
      </c>
      <c r="I16" s="8" t="n">
        <f aca="false">MAX(0,F16-E16)</f>
        <v>0</v>
      </c>
      <c r="J16" s="8" t="n">
        <f aca="false">E16+I16</f>
        <v>115</v>
      </c>
      <c r="K16" s="8" t="str">
        <f aca="false">IF(I16=0,"OK",IF(D16="CBP","Complemento CBP","ERRO: excede CBTBE"))</f>
        <v>OK</v>
      </c>
    </row>
    <row r="17" customFormat="false" ht="15" hidden="false" customHeight="false" outlineLevel="0" collapsed="false">
      <c r="A17" s="8" t="s">
        <v>595</v>
      </c>
      <c r="B17" s="8" t="s">
        <v>596</v>
      </c>
      <c r="C17" s="8" t="s">
        <v>750</v>
      </c>
      <c r="D17" s="8" t="s">
        <v>19</v>
      </c>
      <c r="E17" s="8" t="n">
        <v>112</v>
      </c>
      <c r="F17" s="11" t="n">
        <f aca="false">IF(D17="CBP",SUMIF(Itens!$A:$A,A17,Itens!$I:$I),SUMIF(Itens!$A:$A,A17,Itens!$J:$J))</f>
        <v>51</v>
      </c>
      <c r="G17" s="8" t="n">
        <f aca="false">MAX(0,E17-F17)</f>
        <v>61</v>
      </c>
      <c r="H17" s="14" t="n">
        <f aca="false">IF(E17=0,0,MIN(1,F17/E17))</f>
        <v>0.455357142857143</v>
      </c>
      <c r="I17" s="8" t="n">
        <f aca="false">MAX(0,F17-E17)</f>
        <v>0</v>
      </c>
      <c r="J17" s="8" t="n">
        <f aca="false">E17+I17</f>
        <v>112</v>
      </c>
      <c r="K17" s="8" t="str">
        <f aca="false">IF(I17=0,"OK",IF(D17="CBP","Complemento CBP","ERRO: excede CBTBE"))</f>
        <v>OK</v>
      </c>
    </row>
    <row r="18" customFormat="false" ht="15" hidden="false" customHeight="false" outlineLevel="0" collapsed="false">
      <c r="A18" s="8" t="s">
        <v>487</v>
      </c>
      <c r="B18" s="8" t="s">
        <v>488</v>
      </c>
      <c r="C18" s="8" t="s">
        <v>751</v>
      </c>
      <c r="D18" s="8" t="s">
        <v>19</v>
      </c>
      <c r="E18" s="8" t="n">
        <v>100</v>
      </c>
      <c r="F18" s="11" t="n">
        <f aca="false">IF(D18="CBP",SUMIF(Itens!$A:$A,A18,Itens!$I:$I),SUMIF(Itens!$A:$A,A18,Itens!$J:$J))</f>
        <v>60</v>
      </c>
      <c r="G18" s="8" t="n">
        <f aca="false">MAX(0,E18-F18)</f>
        <v>40</v>
      </c>
      <c r="H18" s="14" t="n">
        <f aca="false">IF(E18=0,0,MIN(1,F18/E18))</f>
        <v>0.6</v>
      </c>
      <c r="I18" s="8" t="n">
        <f aca="false">MAX(0,F18-E18)</f>
        <v>0</v>
      </c>
      <c r="J18" s="8" t="n">
        <f aca="false">E18+I18</f>
        <v>100</v>
      </c>
      <c r="K18" s="8" t="str">
        <f aca="false">IF(I18=0,"OK",IF(D18="CBP","Complemento CBP","ERRO: excede CBTBE"))</f>
        <v>OK</v>
      </c>
    </row>
    <row r="19" customFormat="false" ht="15" hidden="false" customHeight="false" outlineLevel="0" collapsed="false">
      <c r="A19" s="8" t="s">
        <v>752</v>
      </c>
      <c r="B19" s="8" t="s">
        <v>753</v>
      </c>
      <c r="C19" s="8" t="s">
        <v>754</v>
      </c>
      <c r="D19" s="8" t="s">
        <v>19</v>
      </c>
      <c r="E19" s="8" t="n">
        <v>98</v>
      </c>
      <c r="F19" s="11" t="n">
        <f aca="false">IF(D19="CBP",SUMIF(Itens!$A:$A,A19,Itens!$I:$I),SUMIF(Itens!$A:$A,A19,Itens!$J:$J))</f>
        <v>0</v>
      </c>
      <c r="G19" s="8" t="n">
        <f aca="false">MAX(0,E19-F19)</f>
        <v>98</v>
      </c>
      <c r="H19" s="14" t="n">
        <f aca="false">IF(E19=0,0,MIN(1,F19/E19))</f>
        <v>0</v>
      </c>
      <c r="I19" s="8" t="n">
        <f aca="false">MAX(0,F19-E19)</f>
        <v>0</v>
      </c>
      <c r="J19" s="8" t="n">
        <f aca="false">E19+I19</f>
        <v>98</v>
      </c>
      <c r="K19" s="8" t="str">
        <f aca="false">IF(I19=0,"OK",IF(D19="CBP","Complemento CBP","ERRO: excede CBTBE"))</f>
        <v>OK</v>
      </c>
    </row>
    <row r="20" customFormat="false" ht="15" hidden="false" customHeight="false" outlineLevel="0" collapsed="false">
      <c r="A20" s="8" t="s">
        <v>755</v>
      </c>
      <c r="B20" s="8" t="s">
        <v>756</v>
      </c>
      <c r="C20" s="8" t="s">
        <v>757</v>
      </c>
      <c r="D20" s="8" t="s">
        <v>19</v>
      </c>
      <c r="E20" s="8" t="n">
        <v>96</v>
      </c>
      <c r="F20" s="11" t="n">
        <f aca="false">IF(D20="CBP",SUMIF(Itens!$A:$A,A20,Itens!$I:$I),SUMIF(Itens!$A:$A,A20,Itens!$J:$J))</f>
        <v>0</v>
      </c>
      <c r="G20" s="8" t="n">
        <f aca="false">MAX(0,E20-F20)</f>
        <v>96</v>
      </c>
      <c r="H20" s="14" t="n">
        <f aca="false">IF(E20=0,0,MIN(1,F20/E20))</f>
        <v>0</v>
      </c>
      <c r="I20" s="8" t="n">
        <f aca="false">MAX(0,F20-E20)</f>
        <v>0</v>
      </c>
      <c r="J20" s="8" t="n">
        <f aca="false">E20+I20</f>
        <v>96</v>
      </c>
      <c r="K20" s="8" t="str">
        <f aca="false">IF(I20=0,"OK",IF(D20="CBP","Complemento CBP","ERRO: excede CBTBE"))</f>
        <v>OK</v>
      </c>
    </row>
    <row r="21" customFormat="false" ht="15" hidden="false" customHeight="false" outlineLevel="0" collapsed="false">
      <c r="A21" s="8" t="s">
        <v>758</v>
      </c>
      <c r="B21" s="8" t="s">
        <v>759</v>
      </c>
      <c r="C21" s="8" t="s">
        <v>760</v>
      </c>
      <c r="D21" s="8" t="s">
        <v>19</v>
      </c>
      <c r="E21" s="8" t="n">
        <v>95</v>
      </c>
      <c r="F21" s="11" t="n">
        <f aca="false">IF(D21="CBP",SUMIF(Itens!$A:$A,A21,Itens!$I:$I),SUMIF(Itens!$A:$A,A21,Itens!$J:$J))</f>
        <v>0</v>
      </c>
      <c r="G21" s="8" t="n">
        <f aca="false">MAX(0,E21-F21)</f>
        <v>95</v>
      </c>
      <c r="H21" s="14" t="n">
        <f aca="false">IF(E21=0,0,MIN(1,F21/E21))</f>
        <v>0</v>
      </c>
      <c r="I21" s="8" t="n">
        <f aca="false">MAX(0,F21-E21)</f>
        <v>0</v>
      </c>
      <c r="J21" s="8" t="n">
        <f aca="false">E21+I21</f>
        <v>95</v>
      </c>
      <c r="K21" s="8" t="str">
        <f aca="false">IF(I21=0,"OK",IF(D21="CBP","Complemento CBP","ERRO: excede CBTBE"))</f>
        <v>OK</v>
      </c>
    </row>
    <row r="22" customFormat="false" ht="15" hidden="false" customHeight="false" outlineLevel="0" collapsed="false">
      <c r="A22" s="8" t="s">
        <v>471</v>
      </c>
      <c r="B22" s="8" t="s">
        <v>472</v>
      </c>
      <c r="C22" s="8" t="s">
        <v>761</v>
      </c>
      <c r="D22" s="8" t="s">
        <v>19</v>
      </c>
      <c r="E22" s="8" t="n">
        <v>93</v>
      </c>
      <c r="F22" s="11" t="n">
        <f aca="false">IF(D22="CBP",SUMIF(Itens!$A:$A,A22,Itens!$I:$I),SUMIF(Itens!$A:$A,A22,Itens!$J:$J))</f>
        <v>93</v>
      </c>
      <c r="G22" s="8" t="n">
        <f aca="false">MAX(0,E22-F22)</f>
        <v>0</v>
      </c>
      <c r="H22" s="14" t="n">
        <f aca="false">IF(E22=0,0,MIN(1,F22/E22))</f>
        <v>1</v>
      </c>
      <c r="I22" s="8" t="n">
        <f aca="false">MAX(0,F22-E22)</f>
        <v>0</v>
      </c>
      <c r="J22" s="8" t="n">
        <f aca="false">E22+I22</f>
        <v>93</v>
      </c>
      <c r="K22" s="8" t="str">
        <f aca="false">IF(I22=0,"OK",IF(D22="CBP","Complemento CBP","ERRO: excede CBTBE"))</f>
        <v>OK</v>
      </c>
    </row>
    <row r="23" customFormat="false" ht="15" hidden="false" customHeight="false" outlineLevel="0" collapsed="false">
      <c r="A23" s="8" t="s">
        <v>762</v>
      </c>
      <c r="B23" s="8" t="s">
        <v>763</v>
      </c>
      <c r="C23" s="8" t="s">
        <v>764</v>
      </c>
      <c r="D23" s="8" t="s">
        <v>19</v>
      </c>
      <c r="E23" s="8" t="n">
        <v>93</v>
      </c>
      <c r="F23" s="11" t="n">
        <f aca="false">IF(D23="CBP",SUMIF(Itens!$A:$A,A23,Itens!$I:$I),SUMIF(Itens!$A:$A,A23,Itens!$J:$J))</f>
        <v>0</v>
      </c>
      <c r="G23" s="8" t="n">
        <f aca="false">MAX(0,E23-F23)</f>
        <v>93</v>
      </c>
      <c r="H23" s="14" t="n">
        <f aca="false">IF(E23=0,0,MIN(1,F23/E23))</f>
        <v>0</v>
      </c>
      <c r="I23" s="8" t="n">
        <f aca="false">MAX(0,F23-E23)</f>
        <v>0</v>
      </c>
      <c r="J23" s="8" t="n">
        <f aca="false">E23+I23</f>
        <v>93</v>
      </c>
      <c r="K23" s="8" t="str">
        <f aca="false">IF(I23=0,"OK",IF(D23="CBP","Complemento CBP","ERRO: excede CBTBE"))</f>
        <v>OK</v>
      </c>
    </row>
    <row r="24" customFormat="false" ht="15" hidden="false" customHeight="false" outlineLevel="0" collapsed="false">
      <c r="A24" s="8" t="s">
        <v>765</v>
      </c>
      <c r="B24" s="8" t="s">
        <v>766</v>
      </c>
      <c r="C24" s="8" t="s">
        <v>767</v>
      </c>
      <c r="D24" s="8" t="s">
        <v>19</v>
      </c>
      <c r="E24" s="8" t="n">
        <v>83</v>
      </c>
      <c r="F24" s="11" t="n">
        <f aca="false">IF(D24="CBP",SUMIF(Itens!$A:$A,A24,Itens!$I:$I),SUMIF(Itens!$A:$A,A24,Itens!$J:$J))</f>
        <v>0</v>
      </c>
      <c r="G24" s="8" t="n">
        <f aca="false">MAX(0,E24-F24)</f>
        <v>83</v>
      </c>
      <c r="H24" s="14" t="n">
        <f aca="false">IF(E24=0,0,MIN(1,F24/E24))</f>
        <v>0</v>
      </c>
      <c r="I24" s="8" t="n">
        <f aca="false">MAX(0,F24-E24)</f>
        <v>0</v>
      </c>
      <c r="J24" s="8" t="n">
        <f aca="false">E24+I24</f>
        <v>83</v>
      </c>
      <c r="K24" s="8" t="str">
        <f aca="false">IF(I24=0,"OK",IF(D24="CBP","Complemento CBP","ERRO: excede CBTBE"))</f>
        <v>OK</v>
      </c>
    </row>
    <row r="25" customFormat="false" ht="15" hidden="false" customHeight="false" outlineLevel="0" collapsed="false">
      <c r="A25" s="8" t="s">
        <v>768</v>
      </c>
      <c r="B25" s="8" t="s">
        <v>769</v>
      </c>
      <c r="C25" s="8" t="s">
        <v>770</v>
      </c>
      <c r="D25" s="8" t="s">
        <v>19</v>
      </c>
      <c r="E25" s="8" t="n">
        <v>80</v>
      </c>
      <c r="F25" s="11" t="n">
        <f aca="false">IF(D25="CBP",SUMIF(Itens!$A:$A,A25,Itens!$I:$I),SUMIF(Itens!$A:$A,A25,Itens!$J:$J))</f>
        <v>0</v>
      </c>
      <c r="G25" s="8" t="n">
        <f aca="false">MAX(0,E25-F25)</f>
        <v>80</v>
      </c>
      <c r="H25" s="14" t="n">
        <f aca="false">IF(E25=0,0,MIN(1,F25/E25))</f>
        <v>0</v>
      </c>
      <c r="I25" s="8" t="n">
        <f aca="false">MAX(0,F25-E25)</f>
        <v>0</v>
      </c>
      <c r="J25" s="8" t="n">
        <f aca="false">E25+I25</f>
        <v>80</v>
      </c>
      <c r="K25" s="8" t="str">
        <f aca="false">IF(I25=0,"OK",IF(D25="CBP","Complemento CBP","ERRO: excede CBTBE"))</f>
        <v>OK</v>
      </c>
    </row>
    <row r="26" customFormat="false" ht="15" hidden="false" customHeight="false" outlineLevel="0" collapsed="false">
      <c r="A26" s="8" t="s">
        <v>445</v>
      </c>
      <c r="B26" s="8" t="s">
        <v>446</v>
      </c>
      <c r="C26" s="8" t="s">
        <v>771</v>
      </c>
      <c r="D26" s="8" t="s">
        <v>19</v>
      </c>
      <c r="E26" s="8" t="n">
        <v>80</v>
      </c>
      <c r="F26" s="11" t="n">
        <f aca="false">IF(D26="CBP",SUMIF(Itens!$A:$A,A26,Itens!$I:$I),SUMIF(Itens!$A:$A,A26,Itens!$J:$J))</f>
        <v>72</v>
      </c>
      <c r="G26" s="8" t="n">
        <f aca="false">MAX(0,E26-F26)</f>
        <v>8</v>
      </c>
      <c r="H26" s="14" t="n">
        <f aca="false">IF(E26=0,0,MIN(1,F26/E26))</f>
        <v>0.9</v>
      </c>
      <c r="I26" s="8" t="n">
        <f aca="false">MAX(0,F26-E26)</f>
        <v>0</v>
      </c>
      <c r="J26" s="8" t="n">
        <f aca="false">E26+I26</f>
        <v>80</v>
      </c>
      <c r="K26" s="8" t="str">
        <f aca="false">IF(I26=0,"OK",IF(D26="CBP","Complemento CBP","ERRO: excede CBTBE"))</f>
        <v>OK</v>
      </c>
    </row>
    <row r="27" customFormat="false" ht="15" hidden="false" customHeight="false" outlineLevel="0" collapsed="false">
      <c r="A27" s="8" t="s">
        <v>593</v>
      </c>
      <c r="B27" s="8" t="s">
        <v>594</v>
      </c>
      <c r="C27" s="8" t="s">
        <v>772</v>
      </c>
      <c r="D27" s="8" t="s">
        <v>19</v>
      </c>
      <c r="E27" s="8" t="n">
        <v>80</v>
      </c>
      <c r="F27" s="11" t="n">
        <f aca="false">IF(D27="CBP",SUMIF(Itens!$A:$A,A27,Itens!$I:$I),SUMIF(Itens!$A:$A,A27,Itens!$J:$J))</f>
        <v>52</v>
      </c>
      <c r="G27" s="8" t="n">
        <f aca="false">MAX(0,E27-F27)</f>
        <v>28</v>
      </c>
      <c r="H27" s="14" t="n">
        <f aca="false">IF(E27=0,0,MIN(1,F27/E27))</f>
        <v>0.65</v>
      </c>
      <c r="I27" s="8" t="n">
        <f aca="false">MAX(0,F27-E27)</f>
        <v>0</v>
      </c>
      <c r="J27" s="8" t="n">
        <f aca="false">E27+I27</f>
        <v>80</v>
      </c>
      <c r="K27" s="8" t="str">
        <f aca="false">IF(I27=0,"OK",IF(D27="CBP","Complemento CBP","ERRO: excede CBTBE"))</f>
        <v>OK</v>
      </c>
    </row>
    <row r="28" customFormat="false" ht="15" hidden="false" customHeight="false" outlineLevel="0" collapsed="false">
      <c r="A28" s="8" t="s">
        <v>505</v>
      </c>
      <c r="B28" s="8" t="s">
        <v>506</v>
      </c>
      <c r="C28" s="8" t="s">
        <v>771</v>
      </c>
      <c r="D28" s="8" t="s">
        <v>19</v>
      </c>
      <c r="E28" s="8" t="n">
        <v>80</v>
      </c>
      <c r="F28" s="11" t="n">
        <f aca="false">IF(D28="CBP",SUMIF(Itens!$A:$A,A28,Itens!$I:$I),SUMIF(Itens!$A:$A,A28,Itens!$J:$J))</f>
        <v>80</v>
      </c>
      <c r="G28" s="8" t="n">
        <f aca="false">MAX(0,E28-F28)</f>
        <v>0</v>
      </c>
      <c r="H28" s="14" t="n">
        <f aca="false">IF(E28=0,0,MIN(1,F28/E28))</f>
        <v>1</v>
      </c>
      <c r="I28" s="8" t="n">
        <f aca="false">MAX(0,F28-E28)</f>
        <v>0</v>
      </c>
      <c r="J28" s="8" t="n">
        <f aca="false">E28+I28</f>
        <v>80</v>
      </c>
      <c r="K28" s="8" t="str">
        <f aca="false">IF(I28=0,"OK",IF(D28="CBP","Complemento CBP","ERRO: excede CBTBE"))</f>
        <v>OK</v>
      </c>
    </row>
    <row r="29" customFormat="false" ht="15" hidden="false" customHeight="false" outlineLevel="0" collapsed="false">
      <c r="A29" s="8" t="s">
        <v>623</v>
      </c>
      <c r="B29" s="8" t="s">
        <v>624</v>
      </c>
      <c r="C29" s="8" t="s">
        <v>773</v>
      </c>
      <c r="D29" s="8" t="s">
        <v>19</v>
      </c>
      <c r="E29" s="8" t="n">
        <v>80</v>
      </c>
      <c r="F29" s="11" t="n">
        <f aca="false">IF(D29="CBP",SUMIF(Itens!$A:$A,A29,Itens!$I:$I),SUMIF(Itens!$A:$A,A29,Itens!$J:$J))</f>
        <v>80</v>
      </c>
      <c r="G29" s="8" t="n">
        <f aca="false">MAX(0,E29-F29)</f>
        <v>0</v>
      </c>
      <c r="H29" s="14" t="n">
        <f aca="false">IF(E29=0,0,MIN(1,F29/E29))</f>
        <v>1</v>
      </c>
      <c r="I29" s="8" t="n">
        <f aca="false">MAX(0,F29-E29)</f>
        <v>0</v>
      </c>
      <c r="J29" s="8" t="n">
        <f aca="false">E29+I29</f>
        <v>80</v>
      </c>
      <c r="K29" s="8" t="str">
        <f aca="false">IF(I29=0,"OK",IF(D29="CBP","Complemento CBP","ERRO: excede CBTBE"))</f>
        <v>OK</v>
      </c>
    </row>
    <row r="30" customFormat="false" ht="15" hidden="false" customHeight="false" outlineLevel="0" collapsed="false">
      <c r="A30" s="8" t="s">
        <v>459</v>
      </c>
      <c r="B30" s="8" t="s">
        <v>460</v>
      </c>
      <c r="C30" s="8" t="s">
        <v>774</v>
      </c>
      <c r="D30" s="8" t="s">
        <v>19</v>
      </c>
      <c r="E30" s="8" t="n">
        <v>80</v>
      </c>
      <c r="F30" s="11" t="n">
        <f aca="false">IF(D30="CBP",SUMIF(Itens!$A:$A,A30,Itens!$I:$I),SUMIF(Itens!$A:$A,A30,Itens!$J:$J))</f>
        <v>80</v>
      </c>
      <c r="G30" s="8" t="n">
        <f aca="false">MAX(0,E30-F30)</f>
        <v>0</v>
      </c>
      <c r="H30" s="14" t="n">
        <f aca="false">IF(E30=0,0,MIN(1,F30/E30))</f>
        <v>1</v>
      </c>
      <c r="I30" s="8" t="n">
        <f aca="false">MAX(0,F30-E30)</f>
        <v>0</v>
      </c>
      <c r="J30" s="8" t="n">
        <f aca="false">E30+I30</f>
        <v>80</v>
      </c>
      <c r="K30" s="8" t="str">
        <f aca="false">IF(I30=0,"OK",IF(D30="CBP","Complemento CBP","ERRO: excede CBTBE"))</f>
        <v>OK</v>
      </c>
    </row>
    <row r="31" customFormat="false" ht="15" hidden="false" customHeight="false" outlineLevel="0" collapsed="false">
      <c r="A31" s="8" t="s">
        <v>455</v>
      </c>
      <c r="B31" s="8" t="s">
        <v>456</v>
      </c>
      <c r="C31" s="8" t="s">
        <v>775</v>
      </c>
      <c r="D31" s="8" t="s">
        <v>19</v>
      </c>
      <c r="E31" s="8" t="n">
        <v>80</v>
      </c>
      <c r="F31" s="11" t="n">
        <f aca="false">IF(D31="CBP",SUMIF(Itens!$A:$A,A31,Itens!$I:$I),SUMIF(Itens!$A:$A,A31,Itens!$J:$J))</f>
        <v>80</v>
      </c>
      <c r="G31" s="8" t="n">
        <f aca="false">MAX(0,E31-F31)</f>
        <v>0</v>
      </c>
      <c r="H31" s="14" t="n">
        <f aca="false">IF(E31=0,0,MIN(1,F31/E31))</f>
        <v>1</v>
      </c>
      <c r="I31" s="8" t="n">
        <f aca="false">MAX(0,F31-E31)</f>
        <v>0</v>
      </c>
      <c r="J31" s="8" t="n">
        <f aca="false">E31+I31</f>
        <v>80</v>
      </c>
      <c r="K31" s="8" t="str">
        <f aca="false">IF(I31=0,"OK",IF(D31="CBP","Complemento CBP","ERRO: excede CBTBE"))</f>
        <v>OK</v>
      </c>
    </row>
    <row r="32" customFormat="false" ht="15" hidden="false" customHeight="false" outlineLevel="0" collapsed="false">
      <c r="A32" s="8" t="s">
        <v>663</v>
      </c>
      <c r="B32" s="8" t="s">
        <v>664</v>
      </c>
      <c r="C32" s="8" t="s">
        <v>776</v>
      </c>
      <c r="D32" s="8" t="s">
        <v>19</v>
      </c>
      <c r="E32" s="8" t="n">
        <v>80</v>
      </c>
      <c r="F32" s="11" t="n">
        <f aca="false">IF(D32="CBP",SUMIF(Itens!$A:$A,A32,Itens!$I:$I),SUMIF(Itens!$A:$A,A32,Itens!$J:$J))</f>
        <v>31</v>
      </c>
      <c r="G32" s="8" t="n">
        <f aca="false">MAX(0,E32-F32)</f>
        <v>49</v>
      </c>
      <c r="H32" s="14" t="n">
        <f aca="false">IF(E32=0,0,MIN(1,F32/E32))</f>
        <v>0.3875</v>
      </c>
      <c r="I32" s="8" t="n">
        <f aca="false">MAX(0,F32-E32)</f>
        <v>0</v>
      </c>
      <c r="J32" s="8" t="n">
        <f aca="false">E32+I32</f>
        <v>80</v>
      </c>
      <c r="K32" s="8" t="str">
        <f aca="false">IF(I32=0,"OK",IF(D32="CBP","Complemento CBP","ERRO: excede CBTBE"))</f>
        <v>OK</v>
      </c>
    </row>
    <row r="33" customFormat="false" ht="15" hidden="false" customHeight="false" outlineLevel="0" collapsed="false">
      <c r="A33" s="8" t="s">
        <v>439</v>
      </c>
      <c r="B33" s="8" t="s">
        <v>440</v>
      </c>
      <c r="C33" s="8" t="s">
        <v>777</v>
      </c>
      <c r="D33" s="8" t="s">
        <v>19</v>
      </c>
      <c r="E33" s="8" t="n">
        <v>80</v>
      </c>
      <c r="F33" s="11" t="n">
        <f aca="false">IF(D33="CBP",SUMIF(Itens!$A:$A,A33,Itens!$I:$I),SUMIF(Itens!$A:$A,A33,Itens!$J:$J))</f>
        <v>84</v>
      </c>
      <c r="G33" s="8" t="n">
        <f aca="false">MAX(0,E33-F33)</f>
        <v>0</v>
      </c>
      <c r="H33" s="14" t="n">
        <f aca="false">IF(E33=0,0,MIN(1,F33/E33))</f>
        <v>1</v>
      </c>
      <c r="I33" s="8" t="n">
        <f aca="false">MAX(0,F33-E33)</f>
        <v>4</v>
      </c>
      <c r="J33" s="8" t="n">
        <f aca="false">E33+I33</f>
        <v>84</v>
      </c>
      <c r="K33" s="8" t="str">
        <f aca="false">IF(I33=0,"OK",IF(D33="CBP","Complemento CBP","ERRO: excede CBTBE"))</f>
        <v>Complemento CBP</v>
      </c>
    </row>
    <row r="34" customFormat="false" ht="15" hidden="false" customHeight="false" outlineLevel="0" collapsed="false">
      <c r="A34" s="8" t="s">
        <v>537</v>
      </c>
      <c r="B34" s="8" t="s">
        <v>538</v>
      </c>
      <c r="C34" s="8" t="s">
        <v>778</v>
      </c>
      <c r="D34" s="8" t="s">
        <v>19</v>
      </c>
      <c r="E34" s="8" t="n">
        <v>80</v>
      </c>
      <c r="F34" s="11" t="n">
        <f aca="false">IF(D34="CBP",SUMIF(Itens!$A:$A,A34,Itens!$I:$I),SUMIF(Itens!$A:$A,A34,Itens!$J:$J))</f>
        <v>80</v>
      </c>
      <c r="G34" s="8" t="n">
        <f aca="false">MAX(0,E34-F34)</f>
        <v>0</v>
      </c>
      <c r="H34" s="14" t="n">
        <f aca="false">IF(E34=0,0,MIN(1,F34/E34))</f>
        <v>1</v>
      </c>
      <c r="I34" s="8" t="n">
        <f aca="false">MAX(0,F34-E34)</f>
        <v>0</v>
      </c>
      <c r="J34" s="8" t="n">
        <f aca="false">E34+I34</f>
        <v>80</v>
      </c>
      <c r="K34" s="8" t="str">
        <f aca="false">IF(I34=0,"OK",IF(D34="CBP","Complemento CBP","ERRO: excede CBTBE"))</f>
        <v>OK</v>
      </c>
    </row>
    <row r="35" customFormat="false" ht="15" hidden="false" customHeight="false" outlineLevel="0" collapsed="false">
      <c r="A35" s="8" t="s">
        <v>779</v>
      </c>
      <c r="B35" s="8" t="s">
        <v>780</v>
      </c>
      <c r="C35" s="8" t="s">
        <v>781</v>
      </c>
      <c r="D35" s="8" t="s">
        <v>19</v>
      </c>
      <c r="E35" s="8" t="n">
        <v>78</v>
      </c>
      <c r="F35" s="11" t="n">
        <f aca="false">IF(D35="CBP",SUMIF(Itens!$A:$A,A35,Itens!$I:$I),SUMIF(Itens!$A:$A,A35,Itens!$J:$J))</f>
        <v>0</v>
      </c>
      <c r="G35" s="8" t="n">
        <f aca="false">MAX(0,E35-F35)</f>
        <v>78</v>
      </c>
      <c r="H35" s="14" t="n">
        <f aca="false">IF(E35=0,0,MIN(1,F35/E35))</f>
        <v>0</v>
      </c>
      <c r="I35" s="8" t="n">
        <f aca="false">MAX(0,F35-E35)</f>
        <v>0</v>
      </c>
      <c r="J35" s="8" t="n">
        <f aca="false">E35+I35</f>
        <v>78</v>
      </c>
      <c r="K35" s="8" t="str">
        <f aca="false">IF(I35=0,"OK",IF(D35="CBP","Complemento CBP","ERRO: excede CBTBE"))</f>
        <v>OK</v>
      </c>
    </row>
    <row r="36" customFormat="false" ht="15" hidden="false" customHeight="false" outlineLevel="0" collapsed="false">
      <c r="A36" s="8" t="s">
        <v>667</v>
      </c>
      <c r="B36" s="8" t="s">
        <v>668</v>
      </c>
      <c r="C36" s="8" t="s">
        <v>782</v>
      </c>
      <c r="D36" s="8" t="s">
        <v>19</v>
      </c>
      <c r="E36" s="8" t="n">
        <v>77</v>
      </c>
      <c r="F36" s="11" t="n">
        <f aca="false">IF(D36="CBP",SUMIF(Itens!$A:$A,A36,Itens!$I:$I),SUMIF(Itens!$A:$A,A36,Itens!$J:$J))</f>
        <v>0</v>
      </c>
      <c r="G36" s="8" t="n">
        <f aca="false">MAX(0,E36-F36)</f>
        <v>77</v>
      </c>
      <c r="H36" s="14" t="n">
        <f aca="false">IF(E36=0,0,MIN(1,F36/E36))</f>
        <v>0</v>
      </c>
      <c r="I36" s="8" t="n">
        <f aca="false">MAX(0,F36-E36)</f>
        <v>0</v>
      </c>
      <c r="J36" s="8" t="n">
        <f aca="false">E36+I36</f>
        <v>77</v>
      </c>
      <c r="K36" s="8" t="str">
        <f aca="false">IF(I36=0,"OK",IF(D36="CBP","Complemento CBP","ERRO: excede CBTBE"))</f>
        <v>OK</v>
      </c>
    </row>
    <row r="37" customFormat="false" ht="15" hidden="false" customHeight="false" outlineLevel="0" collapsed="false">
      <c r="A37" s="8" t="s">
        <v>783</v>
      </c>
      <c r="B37" s="8" t="s">
        <v>784</v>
      </c>
      <c r="C37" s="8" t="s">
        <v>785</v>
      </c>
      <c r="D37" s="8" t="s">
        <v>19</v>
      </c>
      <c r="E37" s="8" t="n">
        <v>73</v>
      </c>
      <c r="F37" s="11" t="n">
        <f aca="false">IF(D37="CBP",SUMIF(Itens!$A:$A,A37,Itens!$I:$I),SUMIF(Itens!$A:$A,A37,Itens!$J:$J))</f>
        <v>0</v>
      </c>
      <c r="G37" s="8" t="n">
        <f aca="false">MAX(0,E37-F37)</f>
        <v>73</v>
      </c>
      <c r="H37" s="14" t="n">
        <f aca="false">IF(E37=0,0,MIN(1,F37/E37))</f>
        <v>0</v>
      </c>
      <c r="I37" s="8" t="n">
        <f aca="false">MAX(0,F37-E37)</f>
        <v>0</v>
      </c>
      <c r="J37" s="8" t="n">
        <f aca="false">E37+I37</f>
        <v>73</v>
      </c>
      <c r="K37" s="8" t="str">
        <f aca="false">IF(I37=0,"OK",IF(D37="CBP","Complemento CBP","ERRO: excede CBTBE"))</f>
        <v>OK</v>
      </c>
    </row>
    <row r="38" customFormat="false" ht="15" hidden="false" customHeight="false" outlineLevel="0" collapsed="false">
      <c r="A38" s="8" t="s">
        <v>463</v>
      </c>
      <c r="B38" s="8" t="s">
        <v>464</v>
      </c>
      <c r="C38" s="8" t="s">
        <v>786</v>
      </c>
      <c r="D38" s="8" t="s">
        <v>19</v>
      </c>
      <c r="E38" s="8" t="n">
        <v>70</v>
      </c>
      <c r="F38" s="11" t="n">
        <f aca="false">IF(D38="CBP",SUMIF(Itens!$A:$A,A38,Itens!$I:$I),SUMIF(Itens!$A:$A,A38,Itens!$J:$J))</f>
        <v>70</v>
      </c>
      <c r="G38" s="8" t="n">
        <f aca="false">MAX(0,E38-F38)</f>
        <v>0</v>
      </c>
      <c r="H38" s="14" t="n">
        <f aca="false">IF(E38=0,0,MIN(1,F38/E38))</f>
        <v>1</v>
      </c>
      <c r="I38" s="8" t="n">
        <f aca="false">MAX(0,F38-E38)</f>
        <v>0</v>
      </c>
      <c r="J38" s="8" t="n">
        <f aca="false">E38+I38</f>
        <v>70</v>
      </c>
      <c r="K38" s="8" t="str">
        <f aca="false">IF(I38=0,"OK",IF(D38="CBP","Complemento CBP","ERRO: excede CBTBE"))</f>
        <v>OK</v>
      </c>
    </row>
    <row r="39" customFormat="false" ht="15" hidden="false" customHeight="false" outlineLevel="0" collapsed="false">
      <c r="A39" s="8" t="s">
        <v>447</v>
      </c>
      <c r="B39" s="8" t="s">
        <v>448</v>
      </c>
      <c r="C39" s="8" t="s">
        <v>787</v>
      </c>
      <c r="D39" s="8" t="s">
        <v>19</v>
      </c>
      <c r="E39" s="8" t="n">
        <v>70</v>
      </c>
      <c r="F39" s="11" t="n">
        <f aca="false">IF(D39="CBP",SUMIF(Itens!$A:$A,A39,Itens!$I:$I),SUMIF(Itens!$A:$A,A39,Itens!$J:$J))</f>
        <v>70</v>
      </c>
      <c r="G39" s="8" t="n">
        <f aca="false">MAX(0,E39-F39)</f>
        <v>0</v>
      </c>
      <c r="H39" s="14" t="n">
        <f aca="false">IF(E39=0,0,MIN(1,F39/E39))</f>
        <v>1</v>
      </c>
      <c r="I39" s="8" t="n">
        <f aca="false">MAX(0,F39-E39)</f>
        <v>0</v>
      </c>
      <c r="J39" s="8" t="n">
        <f aca="false">E39+I39</f>
        <v>70</v>
      </c>
      <c r="K39" s="8" t="str">
        <f aca="false">IF(I39=0,"OK",IF(D39="CBP","Complemento CBP","ERRO: excede CBTBE"))</f>
        <v>OK</v>
      </c>
    </row>
    <row r="40" customFormat="false" ht="15" hidden="false" customHeight="false" outlineLevel="0" collapsed="false">
      <c r="A40" s="8" t="s">
        <v>499</v>
      </c>
      <c r="B40" s="8" t="s">
        <v>500</v>
      </c>
      <c r="C40" s="8" t="s">
        <v>788</v>
      </c>
      <c r="D40" s="8" t="s">
        <v>19</v>
      </c>
      <c r="E40" s="8" t="n">
        <v>70</v>
      </c>
      <c r="F40" s="11" t="n">
        <f aca="false">IF(D40="CBP",SUMIF(Itens!$A:$A,A40,Itens!$I:$I),SUMIF(Itens!$A:$A,A40,Itens!$J:$J))</f>
        <v>70</v>
      </c>
      <c r="G40" s="8" t="n">
        <f aca="false">MAX(0,E40-F40)</f>
        <v>0</v>
      </c>
      <c r="H40" s="14" t="n">
        <f aca="false">IF(E40=0,0,MIN(1,F40/E40))</f>
        <v>1</v>
      </c>
      <c r="I40" s="8" t="n">
        <f aca="false">MAX(0,F40-E40)</f>
        <v>0</v>
      </c>
      <c r="J40" s="8" t="n">
        <f aca="false">E40+I40</f>
        <v>70</v>
      </c>
      <c r="K40" s="8" t="str">
        <f aca="false">IF(I40=0,"OK",IF(D40="CBP","Complemento CBP","ERRO: excede CBTBE"))</f>
        <v>OK</v>
      </c>
    </row>
    <row r="41" customFormat="false" ht="15" hidden="false" customHeight="false" outlineLevel="0" collapsed="false">
      <c r="A41" s="8" t="s">
        <v>709</v>
      </c>
      <c r="B41" s="8" t="s">
        <v>710</v>
      </c>
      <c r="C41" s="8" t="s">
        <v>789</v>
      </c>
      <c r="D41" s="8" t="s">
        <v>19</v>
      </c>
      <c r="E41" s="8" t="n">
        <v>70</v>
      </c>
      <c r="F41" s="11" t="n">
        <f aca="false">IF(D41="CBP",SUMIF(Itens!$A:$A,A41,Itens!$I:$I),SUMIF(Itens!$A:$A,A41,Itens!$J:$J))</f>
        <v>70</v>
      </c>
      <c r="G41" s="8" t="n">
        <f aca="false">MAX(0,E41-F41)</f>
        <v>0</v>
      </c>
      <c r="H41" s="14" t="n">
        <f aca="false">IF(E41=0,0,MIN(1,F41/E41))</f>
        <v>1</v>
      </c>
      <c r="I41" s="8" t="n">
        <f aca="false">MAX(0,F41-E41)</f>
        <v>0</v>
      </c>
      <c r="J41" s="8" t="n">
        <f aca="false">E41+I41</f>
        <v>70</v>
      </c>
      <c r="K41" s="8" t="str">
        <f aca="false">IF(I41=0,"OK",IF(D41="CBP","Complemento CBP","ERRO: excede CBTBE"))</f>
        <v>OK</v>
      </c>
    </row>
    <row r="42" customFormat="false" ht="15" hidden="false" customHeight="false" outlineLevel="0" collapsed="false">
      <c r="A42" s="8" t="s">
        <v>583</v>
      </c>
      <c r="B42" s="8" t="s">
        <v>584</v>
      </c>
      <c r="C42" s="8" t="s">
        <v>790</v>
      </c>
      <c r="D42" s="8" t="s">
        <v>19</v>
      </c>
      <c r="E42" s="8" t="n">
        <v>70</v>
      </c>
      <c r="F42" s="11" t="n">
        <f aca="false">IF(D42="CBP",SUMIF(Itens!$A:$A,A42,Itens!$I:$I),SUMIF(Itens!$A:$A,A42,Itens!$J:$J))</f>
        <v>70</v>
      </c>
      <c r="G42" s="8" t="n">
        <f aca="false">MAX(0,E42-F42)</f>
        <v>0</v>
      </c>
      <c r="H42" s="14" t="n">
        <f aca="false">IF(E42=0,0,MIN(1,F42/E42))</f>
        <v>1</v>
      </c>
      <c r="I42" s="8" t="n">
        <f aca="false">MAX(0,F42-E42)</f>
        <v>0</v>
      </c>
      <c r="J42" s="8" t="n">
        <f aca="false">E42+I42</f>
        <v>70</v>
      </c>
      <c r="K42" s="8" t="str">
        <f aca="false">IF(I42=0,"OK",IF(D42="CBP","Complemento CBP","ERRO: excede CBTBE"))</f>
        <v>OK</v>
      </c>
    </row>
    <row r="43" customFormat="false" ht="15" hidden="false" customHeight="false" outlineLevel="0" collapsed="false">
      <c r="A43" s="8" t="s">
        <v>507</v>
      </c>
      <c r="B43" s="8" t="s">
        <v>508</v>
      </c>
      <c r="C43" s="8" t="s">
        <v>791</v>
      </c>
      <c r="D43" s="8" t="s">
        <v>19</v>
      </c>
      <c r="E43" s="8" t="n">
        <v>70</v>
      </c>
      <c r="F43" s="11" t="n">
        <f aca="false">IF(D43="CBP",SUMIF(Itens!$A:$A,A43,Itens!$I:$I),SUMIF(Itens!$A:$A,A43,Itens!$J:$J))</f>
        <v>70</v>
      </c>
      <c r="G43" s="8" t="n">
        <f aca="false">MAX(0,E43-F43)</f>
        <v>0</v>
      </c>
      <c r="H43" s="14" t="n">
        <f aca="false">IF(E43=0,0,MIN(1,F43/E43))</f>
        <v>1</v>
      </c>
      <c r="I43" s="8" t="n">
        <f aca="false">MAX(0,F43-E43)</f>
        <v>0</v>
      </c>
      <c r="J43" s="8" t="n">
        <f aca="false">E43+I43</f>
        <v>70</v>
      </c>
      <c r="K43" s="8" t="str">
        <f aca="false">IF(I43=0,"OK",IF(D43="CBP","Complemento CBP","ERRO: excede CBTBE"))</f>
        <v>OK</v>
      </c>
    </row>
    <row r="44" customFormat="false" ht="15" hidden="false" customHeight="false" outlineLevel="0" collapsed="false">
      <c r="A44" s="8" t="s">
        <v>557</v>
      </c>
      <c r="B44" s="8" t="s">
        <v>558</v>
      </c>
      <c r="C44" s="8" t="s">
        <v>792</v>
      </c>
      <c r="D44" s="8" t="s">
        <v>19</v>
      </c>
      <c r="E44" s="8" t="n">
        <v>70</v>
      </c>
      <c r="F44" s="11" t="n">
        <f aca="false">IF(D44="CBP",SUMIF(Itens!$A:$A,A44,Itens!$I:$I),SUMIF(Itens!$A:$A,A44,Itens!$J:$J))</f>
        <v>140</v>
      </c>
      <c r="G44" s="8" t="n">
        <f aca="false">MAX(0,E44-F44)</f>
        <v>0</v>
      </c>
      <c r="H44" s="14" t="n">
        <f aca="false">IF(E44=0,0,MIN(1,F44/E44))</f>
        <v>1</v>
      </c>
      <c r="I44" s="8" t="n">
        <f aca="false">MAX(0,F44-E44)</f>
        <v>70</v>
      </c>
      <c r="J44" s="8" t="n">
        <f aca="false">E44+I44</f>
        <v>140</v>
      </c>
      <c r="K44" s="8" t="str">
        <f aca="false">IF(I44=0,"OK",IF(D44="CBP","Complemento CBP","ERRO: excede CBTBE"))</f>
        <v>Complemento CBP</v>
      </c>
    </row>
    <row r="45" customFormat="false" ht="15" hidden="false" customHeight="false" outlineLevel="0" collapsed="false">
      <c r="A45" s="8" t="s">
        <v>701</v>
      </c>
      <c r="B45" s="8" t="s">
        <v>702</v>
      </c>
      <c r="C45" s="8" t="s">
        <v>793</v>
      </c>
      <c r="D45" s="8" t="s">
        <v>19</v>
      </c>
      <c r="E45" s="8" t="n">
        <v>70</v>
      </c>
      <c r="F45" s="11" t="n">
        <f aca="false">IF(D45="CBP",SUMIF(Itens!$A:$A,A45,Itens!$I:$I),SUMIF(Itens!$A:$A,A45,Itens!$J:$J))</f>
        <v>70</v>
      </c>
      <c r="G45" s="8" t="n">
        <f aca="false">MAX(0,E45-F45)</f>
        <v>0</v>
      </c>
      <c r="H45" s="14" t="n">
        <f aca="false">IF(E45=0,0,MIN(1,F45/E45))</f>
        <v>1</v>
      </c>
      <c r="I45" s="8" t="n">
        <f aca="false">MAX(0,F45-E45)</f>
        <v>0</v>
      </c>
      <c r="J45" s="8" t="n">
        <f aca="false">E45+I45</f>
        <v>70</v>
      </c>
      <c r="K45" s="8" t="str">
        <f aca="false">IF(I45=0,"OK",IF(D45="CBP","Complemento CBP","ERRO: excede CBTBE"))</f>
        <v>OK</v>
      </c>
    </row>
    <row r="46" customFormat="false" ht="15" hidden="false" customHeight="false" outlineLevel="0" collapsed="false">
      <c r="A46" s="8" t="s">
        <v>441</v>
      </c>
      <c r="B46" s="8" t="s">
        <v>442</v>
      </c>
      <c r="C46" s="8" t="s">
        <v>794</v>
      </c>
      <c r="D46" s="8" t="s">
        <v>19</v>
      </c>
      <c r="E46" s="8" t="n">
        <v>70</v>
      </c>
      <c r="F46" s="11" t="n">
        <f aca="false">IF(D46="CBP",SUMIF(Itens!$A:$A,A46,Itens!$I:$I),SUMIF(Itens!$A:$A,A46,Itens!$J:$J))</f>
        <v>70</v>
      </c>
      <c r="G46" s="8" t="n">
        <f aca="false">MAX(0,E46-F46)</f>
        <v>0</v>
      </c>
      <c r="H46" s="14" t="n">
        <f aca="false">IF(E46=0,0,MIN(1,F46/E46))</f>
        <v>1</v>
      </c>
      <c r="I46" s="8" t="n">
        <f aca="false">MAX(0,F46-E46)</f>
        <v>0</v>
      </c>
      <c r="J46" s="8" t="n">
        <f aca="false">E46+I46</f>
        <v>70</v>
      </c>
      <c r="K46" s="8" t="str">
        <f aca="false">IF(I46=0,"OK",IF(D46="CBP","Complemento CBP","ERRO: excede CBTBE"))</f>
        <v>OK</v>
      </c>
    </row>
    <row r="47" customFormat="false" ht="15" hidden="false" customHeight="false" outlineLevel="0" collapsed="false">
      <c r="A47" s="8" t="s">
        <v>699</v>
      </c>
      <c r="B47" s="8" t="s">
        <v>700</v>
      </c>
      <c r="C47" s="8" t="s">
        <v>795</v>
      </c>
      <c r="D47" s="8" t="s">
        <v>19</v>
      </c>
      <c r="E47" s="8" t="n">
        <v>70</v>
      </c>
      <c r="F47" s="11" t="n">
        <f aca="false">IF(D47="CBP",SUMIF(Itens!$A:$A,A47,Itens!$I:$I),SUMIF(Itens!$A:$A,A47,Itens!$J:$J))</f>
        <v>70</v>
      </c>
      <c r="G47" s="8" t="n">
        <f aca="false">MAX(0,E47-F47)</f>
        <v>0</v>
      </c>
      <c r="H47" s="14" t="n">
        <f aca="false">IF(E47=0,0,MIN(1,F47/E47))</f>
        <v>1</v>
      </c>
      <c r="I47" s="8" t="n">
        <f aca="false">MAX(0,F47-E47)</f>
        <v>0</v>
      </c>
      <c r="J47" s="8" t="n">
        <f aca="false">E47+I47</f>
        <v>70</v>
      </c>
      <c r="K47" s="8" t="str">
        <f aca="false">IF(I47=0,"OK",IF(D47="CBP","Complemento CBP","ERRO: excede CBTBE"))</f>
        <v>OK</v>
      </c>
    </row>
    <row r="48" customFormat="false" ht="15" hidden="false" customHeight="false" outlineLevel="0" collapsed="false">
      <c r="A48" s="8" t="s">
        <v>591</v>
      </c>
      <c r="B48" s="8" t="s">
        <v>592</v>
      </c>
      <c r="C48" s="8" t="s">
        <v>796</v>
      </c>
      <c r="D48" s="8" t="s">
        <v>19</v>
      </c>
      <c r="E48" s="8" t="n">
        <v>70</v>
      </c>
      <c r="F48" s="11" t="n">
        <f aca="false">IF(D48="CBP",SUMIF(Itens!$A:$A,A48,Itens!$I:$I),SUMIF(Itens!$A:$A,A48,Itens!$J:$J))</f>
        <v>45</v>
      </c>
      <c r="G48" s="8" t="n">
        <f aca="false">MAX(0,E48-F48)</f>
        <v>25</v>
      </c>
      <c r="H48" s="14" t="n">
        <f aca="false">IF(E48=0,0,MIN(1,F48/E48))</f>
        <v>0.642857142857143</v>
      </c>
      <c r="I48" s="8" t="n">
        <f aca="false">MAX(0,F48-E48)</f>
        <v>0</v>
      </c>
      <c r="J48" s="8" t="n">
        <f aca="false">E48+I48</f>
        <v>70</v>
      </c>
      <c r="K48" s="8" t="str">
        <f aca="false">IF(I48=0,"OK",IF(D48="CBP","Complemento CBP","ERRO: excede CBTBE"))</f>
        <v>OK</v>
      </c>
    </row>
    <row r="49" customFormat="false" ht="15" hidden="false" customHeight="false" outlineLevel="0" collapsed="false">
      <c r="A49" s="8" t="s">
        <v>695</v>
      </c>
      <c r="B49" s="8" t="s">
        <v>696</v>
      </c>
      <c r="C49" s="8" t="s">
        <v>797</v>
      </c>
      <c r="D49" s="8" t="s">
        <v>19</v>
      </c>
      <c r="E49" s="8" t="n">
        <v>70</v>
      </c>
      <c r="F49" s="11" t="n">
        <f aca="false">IF(D49="CBP",SUMIF(Itens!$A:$A,A49,Itens!$I:$I),SUMIF(Itens!$A:$A,A49,Itens!$J:$J))</f>
        <v>70</v>
      </c>
      <c r="G49" s="8" t="n">
        <f aca="false">MAX(0,E49-F49)</f>
        <v>0</v>
      </c>
      <c r="H49" s="14" t="n">
        <f aca="false">IF(E49=0,0,MIN(1,F49/E49))</f>
        <v>1</v>
      </c>
      <c r="I49" s="8" t="n">
        <f aca="false">MAX(0,F49-E49)</f>
        <v>0</v>
      </c>
      <c r="J49" s="8" t="n">
        <f aca="false">E49+I49</f>
        <v>70</v>
      </c>
      <c r="K49" s="8" t="str">
        <f aca="false">IF(I49=0,"OK",IF(D49="CBP","Complemento CBP","ERRO: excede CBTBE"))</f>
        <v>OK</v>
      </c>
    </row>
    <row r="50" customFormat="false" ht="15" hidden="false" customHeight="false" outlineLevel="0" collapsed="false">
      <c r="A50" s="8" t="s">
        <v>798</v>
      </c>
      <c r="B50" s="8" t="s">
        <v>799</v>
      </c>
      <c r="C50" s="8" t="s">
        <v>800</v>
      </c>
      <c r="D50" s="8" t="s">
        <v>19</v>
      </c>
      <c r="E50" s="8" t="n">
        <v>70</v>
      </c>
      <c r="F50" s="11" t="n">
        <f aca="false">IF(D50="CBP",SUMIF(Itens!$A:$A,A50,Itens!$I:$I),SUMIF(Itens!$A:$A,A50,Itens!$J:$J))</f>
        <v>0</v>
      </c>
      <c r="G50" s="8" t="n">
        <f aca="false">MAX(0,E50-F50)</f>
        <v>70</v>
      </c>
      <c r="H50" s="14" t="n">
        <f aca="false">IF(E50=0,0,MIN(1,F50/E50))</f>
        <v>0</v>
      </c>
      <c r="I50" s="8" t="n">
        <f aca="false">MAX(0,F50-E50)</f>
        <v>0</v>
      </c>
      <c r="J50" s="8" t="n">
        <f aca="false">E50+I50</f>
        <v>70</v>
      </c>
      <c r="K50" s="8" t="str">
        <f aca="false">IF(I50=0,"OK",IF(D50="CBP","Complemento CBP","ERRO: excede CBTBE"))</f>
        <v>OK</v>
      </c>
    </row>
    <row r="51" customFormat="false" ht="15" hidden="false" customHeight="false" outlineLevel="0" collapsed="false">
      <c r="A51" s="8" t="s">
        <v>703</v>
      </c>
      <c r="B51" s="8" t="s">
        <v>704</v>
      </c>
      <c r="C51" s="8" t="s">
        <v>801</v>
      </c>
      <c r="D51" s="8" t="s">
        <v>19</v>
      </c>
      <c r="E51" s="8" t="n">
        <v>70</v>
      </c>
      <c r="F51" s="11" t="n">
        <f aca="false">IF(D51="CBP",SUMIF(Itens!$A:$A,A51,Itens!$I:$I),SUMIF(Itens!$A:$A,A51,Itens!$J:$J))</f>
        <v>70</v>
      </c>
      <c r="G51" s="8" t="n">
        <f aca="false">MAX(0,E51-F51)</f>
        <v>0</v>
      </c>
      <c r="H51" s="14" t="n">
        <f aca="false">IF(E51=0,0,MIN(1,F51/E51))</f>
        <v>1</v>
      </c>
      <c r="I51" s="8" t="n">
        <f aca="false">MAX(0,F51-E51)</f>
        <v>0</v>
      </c>
      <c r="J51" s="8" t="n">
        <f aca="false">E51+I51</f>
        <v>70</v>
      </c>
      <c r="K51" s="8" t="str">
        <f aca="false">IF(I51=0,"OK",IF(D51="CBP","Complemento CBP","ERRO: excede CBTBE"))</f>
        <v>OK</v>
      </c>
    </row>
    <row r="52" customFormat="false" ht="15" hidden="false" customHeight="false" outlineLevel="0" collapsed="false">
      <c r="A52" s="8" t="s">
        <v>605</v>
      </c>
      <c r="B52" s="8" t="s">
        <v>606</v>
      </c>
      <c r="C52" s="8" t="s">
        <v>802</v>
      </c>
      <c r="D52" s="8" t="s">
        <v>19</v>
      </c>
      <c r="E52" s="8" t="n">
        <v>70</v>
      </c>
      <c r="F52" s="11" t="n">
        <f aca="false">IF(D52="CBP",SUMIF(Itens!$A:$A,A52,Itens!$I:$I),SUMIF(Itens!$A:$A,A52,Itens!$J:$J))</f>
        <v>70</v>
      </c>
      <c r="G52" s="8" t="n">
        <f aca="false">MAX(0,E52-F52)</f>
        <v>0</v>
      </c>
      <c r="H52" s="14" t="n">
        <f aca="false">IF(E52=0,0,MIN(1,F52/E52))</f>
        <v>1</v>
      </c>
      <c r="I52" s="8" t="n">
        <f aca="false">MAX(0,F52-E52)</f>
        <v>0</v>
      </c>
      <c r="J52" s="8" t="n">
        <f aca="false">E52+I52</f>
        <v>70</v>
      </c>
      <c r="K52" s="8" t="str">
        <f aca="false">IF(I52=0,"OK",IF(D52="CBP","Complemento CBP","ERRO: excede CBTBE"))</f>
        <v>OK</v>
      </c>
    </row>
    <row r="53" customFormat="false" ht="15" hidden="false" customHeight="false" outlineLevel="0" collapsed="false">
      <c r="A53" s="8" t="s">
        <v>637</v>
      </c>
      <c r="B53" s="8" t="s">
        <v>638</v>
      </c>
      <c r="C53" s="8" t="s">
        <v>803</v>
      </c>
      <c r="D53" s="8" t="s">
        <v>19</v>
      </c>
      <c r="E53" s="8" t="n">
        <v>70</v>
      </c>
      <c r="F53" s="11" t="n">
        <f aca="false">IF(D53="CBP",SUMIF(Itens!$A:$A,A53,Itens!$I:$I),SUMIF(Itens!$A:$A,A53,Itens!$J:$J))</f>
        <v>9</v>
      </c>
      <c r="G53" s="8" t="n">
        <f aca="false">MAX(0,E53-F53)</f>
        <v>61</v>
      </c>
      <c r="H53" s="14" t="n">
        <f aca="false">IF(E53=0,0,MIN(1,F53/E53))</f>
        <v>0.128571428571429</v>
      </c>
      <c r="I53" s="8" t="n">
        <f aca="false">MAX(0,F53-E53)</f>
        <v>0</v>
      </c>
      <c r="J53" s="8" t="n">
        <f aca="false">E53+I53</f>
        <v>70</v>
      </c>
      <c r="K53" s="8" t="str">
        <f aca="false">IF(I53=0,"OK",IF(D53="CBP","Complemento CBP","ERRO: excede CBTBE"))</f>
        <v>OK</v>
      </c>
    </row>
    <row r="54" customFormat="false" ht="15" hidden="false" customHeight="false" outlineLevel="0" collapsed="false">
      <c r="A54" s="8" t="s">
        <v>711</v>
      </c>
      <c r="B54" s="8" t="s">
        <v>712</v>
      </c>
      <c r="C54" s="8" t="s">
        <v>804</v>
      </c>
      <c r="D54" s="8" t="s">
        <v>19</v>
      </c>
      <c r="E54" s="8" t="n">
        <v>70</v>
      </c>
      <c r="F54" s="11" t="n">
        <f aca="false">IF(D54="CBP",SUMIF(Itens!$A:$A,A54,Itens!$I:$I),SUMIF(Itens!$A:$A,A54,Itens!$J:$J))</f>
        <v>70</v>
      </c>
      <c r="G54" s="8" t="n">
        <f aca="false">MAX(0,E54-F54)</f>
        <v>0</v>
      </c>
      <c r="H54" s="14" t="n">
        <f aca="false">IF(E54=0,0,MIN(1,F54/E54))</f>
        <v>1</v>
      </c>
      <c r="I54" s="8" t="n">
        <f aca="false">MAX(0,F54-E54)</f>
        <v>0</v>
      </c>
      <c r="J54" s="8" t="n">
        <f aca="false">E54+I54</f>
        <v>70</v>
      </c>
      <c r="K54" s="8" t="str">
        <f aca="false">IF(I54=0,"OK",IF(D54="CBP","Complemento CBP","ERRO: excede CBTBE"))</f>
        <v>OK</v>
      </c>
    </row>
    <row r="55" customFormat="false" ht="15" hidden="false" customHeight="false" outlineLevel="0" collapsed="false">
      <c r="A55" s="8" t="s">
        <v>541</v>
      </c>
      <c r="B55" s="8" t="s">
        <v>542</v>
      </c>
      <c r="C55" s="8" t="s">
        <v>777</v>
      </c>
      <c r="D55" s="8" t="s">
        <v>19</v>
      </c>
      <c r="E55" s="8" t="n">
        <v>70</v>
      </c>
      <c r="F55" s="11" t="n">
        <f aca="false">IF(D55="CBP",SUMIF(Itens!$A:$A,A55,Itens!$I:$I),SUMIF(Itens!$A:$A,A55,Itens!$J:$J))</f>
        <v>70</v>
      </c>
      <c r="G55" s="8" t="n">
        <f aca="false">MAX(0,E55-F55)</f>
        <v>0</v>
      </c>
      <c r="H55" s="14" t="n">
        <f aca="false">IF(E55=0,0,MIN(1,F55/E55))</f>
        <v>1</v>
      </c>
      <c r="I55" s="8" t="n">
        <f aca="false">MAX(0,F55-E55)</f>
        <v>0</v>
      </c>
      <c r="J55" s="8" t="n">
        <f aca="false">E55+I55</f>
        <v>70</v>
      </c>
      <c r="K55" s="8" t="str">
        <f aca="false">IF(I55=0,"OK",IF(D55="CBP","Complemento CBP","ERRO: excede CBTBE"))</f>
        <v>OK</v>
      </c>
    </row>
    <row r="56" customFormat="false" ht="15" hidden="false" customHeight="false" outlineLevel="0" collapsed="false">
      <c r="A56" s="8" t="s">
        <v>681</v>
      </c>
      <c r="B56" s="8" t="s">
        <v>682</v>
      </c>
      <c r="C56" s="8" t="s">
        <v>805</v>
      </c>
      <c r="D56" s="8" t="s">
        <v>19</v>
      </c>
      <c r="E56" s="8" t="n">
        <v>70</v>
      </c>
      <c r="F56" s="11" t="n">
        <f aca="false">IF(D56="CBP",SUMIF(Itens!$A:$A,A56,Itens!$I:$I),SUMIF(Itens!$A:$A,A56,Itens!$J:$J))</f>
        <v>72</v>
      </c>
      <c r="G56" s="8" t="n">
        <f aca="false">MAX(0,E56-F56)</f>
        <v>0</v>
      </c>
      <c r="H56" s="14" t="n">
        <f aca="false">IF(E56=0,0,MIN(1,F56/E56))</f>
        <v>1</v>
      </c>
      <c r="I56" s="8" t="n">
        <f aca="false">MAX(0,F56-E56)</f>
        <v>2</v>
      </c>
      <c r="J56" s="8" t="n">
        <f aca="false">E56+I56</f>
        <v>72</v>
      </c>
      <c r="K56" s="8" t="str">
        <f aca="false">IF(I56=0,"OK",IF(D56="CBP","Complemento CBP","ERRO: excede CBTBE"))</f>
        <v>Complemento CBP</v>
      </c>
    </row>
    <row r="57" customFormat="false" ht="15" hidden="false" customHeight="false" outlineLevel="0" collapsed="false">
      <c r="A57" s="8" t="s">
        <v>643</v>
      </c>
      <c r="B57" s="8" t="s">
        <v>644</v>
      </c>
      <c r="C57" s="8" t="s">
        <v>806</v>
      </c>
      <c r="D57" s="8" t="s">
        <v>19</v>
      </c>
      <c r="E57" s="8" t="n">
        <v>70</v>
      </c>
      <c r="F57" s="11" t="n">
        <f aca="false">IF(D57="CBP",SUMIF(Itens!$A:$A,A57,Itens!$I:$I),SUMIF(Itens!$A:$A,A57,Itens!$J:$J))</f>
        <v>70</v>
      </c>
      <c r="G57" s="8" t="n">
        <f aca="false">MAX(0,E57-F57)</f>
        <v>0</v>
      </c>
      <c r="H57" s="14" t="n">
        <f aca="false">IF(E57=0,0,MIN(1,F57/E57))</f>
        <v>1</v>
      </c>
      <c r="I57" s="8" t="n">
        <f aca="false">MAX(0,F57-E57)</f>
        <v>0</v>
      </c>
      <c r="J57" s="8" t="n">
        <f aca="false">E57+I57</f>
        <v>70</v>
      </c>
      <c r="K57" s="8" t="str">
        <f aca="false">IF(I57=0,"OK",IF(D57="CBP","Complemento CBP","ERRO: excede CBTBE"))</f>
        <v>OK</v>
      </c>
    </row>
    <row r="58" customFormat="false" ht="15" hidden="false" customHeight="false" outlineLevel="0" collapsed="false">
      <c r="A58" s="8" t="s">
        <v>807</v>
      </c>
      <c r="B58" s="8" t="s">
        <v>808</v>
      </c>
      <c r="C58" s="8" t="s">
        <v>809</v>
      </c>
      <c r="D58" s="8" t="s">
        <v>19</v>
      </c>
      <c r="E58" s="8" t="n">
        <v>69</v>
      </c>
      <c r="F58" s="11" t="n">
        <f aca="false">IF(D58="CBP",SUMIF(Itens!$A:$A,A58,Itens!$I:$I),SUMIF(Itens!$A:$A,A58,Itens!$J:$J))</f>
        <v>0</v>
      </c>
      <c r="G58" s="8" t="n">
        <f aca="false">MAX(0,E58-F58)</f>
        <v>69</v>
      </c>
      <c r="H58" s="14" t="n">
        <f aca="false">IF(E58=0,0,MIN(1,F58/E58))</f>
        <v>0</v>
      </c>
      <c r="I58" s="8" t="n">
        <f aca="false">MAX(0,F58-E58)</f>
        <v>0</v>
      </c>
      <c r="J58" s="8" t="n">
        <f aca="false">E58+I58</f>
        <v>69</v>
      </c>
      <c r="K58" s="8" t="str">
        <f aca="false">IF(I58=0,"OK",IF(D58="CBP","Complemento CBP","ERRO: excede CBTBE"))</f>
        <v>OK</v>
      </c>
    </row>
    <row r="59" customFormat="false" ht="15" hidden="false" customHeight="false" outlineLevel="0" collapsed="false">
      <c r="A59" s="8" t="s">
        <v>585</v>
      </c>
      <c r="B59" s="8" t="s">
        <v>586</v>
      </c>
      <c r="C59" s="8" t="s">
        <v>810</v>
      </c>
      <c r="D59" s="8" t="s">
        <v>19</v>
      </c>
      <c r="E59" s="8" t="n">
        <v>68</v>
      </c>
      <c r="F59" s="11" t="n">
        <f aca="false">IF(D59="CBP",SUMIF(Itens!$A:$A,A59,Itens!$I:$I),SUMIF(Itens!$A:$A,A59,Itens!$J:$J))</f>
        <v>90</v>
      </c>
      <c r="G59" s="8" t="n">
        <f aca="false">MAX(0,E59-F59)</f>
        <v>0</v>
      </c>
      <c r="H59" s="14" t="n">
        <f aca="false">IF(E59=0,0,MIN(1,F59/E59))</f>
        <v>1</v>
      </c>
      <c r="I59" s="8" t="n">
        <f aca="false">MAX(0,F59-E59)</f>
        <v>22</v>
      </c>
      <c r="J59" s="8" t="n">
        <f aca="false">E59+I59</f>
        <v>90</v>
      </c>
      <c r="K59" s="8" t="str">
        <f aca="false">IF(I59=0,"OK",IF(D59="CBP","Complemento CBP","ERRO: excede CBTBE"))</f>
        <v>Complemento CBP</v>
      </c>
    </row>
    <row r="60" customFormat="false" ht="15" hidden="false" customHeight="false" outlineLevel="0" collapsed="false">
      <c r="A60" s="8" t="s">
        <v>597</v>
      </c>
      <c r="B60" s="8" t="s">
        <v>598</v>
      </c>
      <c r="C60" s="8" t="s">
        <v>811</v>
      </c>
      <c r="D60" s="8" t="s">
        <v>19</v>
      </c>
      <c r="E60" s="8" t="n">
        <v>68</v>
      </c>
      <c r="F60" s="11" t="n">
        <f aca="false">IF(D60="CBP",SUMIF(Itens!$A:$A,A60,Itens!$I:$I),SUMIF(Itens!$A:$A,A60,Itens!$J:$J))</f>
        <v>92</v>
      </c>
      <c r="G60" s="8" t="n">
        <f aca="false">MAX(0,E60-F60)</f>
        <v>0</v>
      </c>
      <c r="H60" s="14" t="n">
        <f aca="false">IF(E60=0,0,MIN(1,F60/E60))</f>
        <v>1</v>
      </c>
      <c r="I60" s="8" t="n">
        <f aca="false">MAX(0,F60-E60)</f>
        <v>24</v>
      </c>
      <c r="J60" s="8" t="n">
        <f aca="false">E60+I60</f>
        <v>92</v>
      </c>
      <c r="K60" s="8" t="str">
        <f aca="false">IF(I60=0,"OK",IF(D60="CBP","Complemento CBP","ERRO: excede CBTBE"))</f>
        <v>Complemento CBP</v>
      </c>
    </row>
    <row r="61" customFormat="false" ht="15" hidden="false" customHeight="false" outlineLevel="0" collapsed="false">
      <c r="A61" s="8" t="s">
        <v>812</v>
      </c>
      <c r="B61" s="8" t="s">
        <v>813</v>
      </c>
      <c r="C61" s="8" t="s">
        <v>814</v>
      </c>
      <c r="D61" s="8" t="s">
        <v>19</v>
      </c>
      <c r="E61" s="8" t="n">
        <v>65</v>
      </c>
      <c r="F61" s="11" t="n">
        <f aca="false">IF(D61="CBP",SUMIF(Itens!$A:$A,A61,Itens!$I:$I),SUMIF(Itens!$A:$A,A61,Itens!$J:$J))</f>
        <v>0</v>
      </c>
      <c r="G61" s="8" t="n">
        <f aca="false">MAX(0,E61-F61)</f>
        <v>65</v>
      </c>
      <c r="H61" s="14" t="n">
        <f aca="false">IF(E61=0,0,MIN(1,F61/E61))</f>
        <v>0</v>
      </c>
      <c r="I61" s="8" t="n">
        <f aca="false">MAX(0,F61-E61)</f>
        <v>0</v>
      </c>
      <c r="J61" s="8" t="n">
        <f aca="false">E61+I61</f>
        <v>65</v>
      </c>
      <c r="K61" s="8" t="str">
        <f aca="false">IF(I61=0,"OK",IF(D61="CBP","Complemento CBP","ERRO: excede CBTBE"))</f>
        <v>OK</v>
      </c>
    </row>
    <row r="62" customFormat="false" ht="15" hidden="false" customHeight="false" outlineLevel="0" collapsed="false">
      <c r="A62" s="8" t="s">
        <v>639</v>
      </c>
      <c r="B62" s="8" t="s">
        <v>640</v>
      </c>
      <c r="C62" s="8" t="s">
        <v>815</v>
      </c>
      <c r="D62" s="8" t="s">
        <v>19</v>
      </c>
      <c r="E62" s="8" t="n">
        <v>65</v>
      </c>
      <c r="F62" s="11" t="n">
        <f aca="false">IF(D62="CBP",SUMIF(Itens!$A:$A,A62,Itens!$I:$I),SUMIF(Itens!$A:$A,A62,Itens!$J:$J))</f>
        <v>65</v>
      </c>
      <c r="G62" s="8" t="n">
        <f aca="false">MAX(0,E62-F62)</f>
        <v>0</v>
      </c>
      <c r="H62" s="14" t="n">
        <f aca="false">IF(E62=0,0,MIN(1,F62/E62))</f>
        <v>1</v>
      </c>
      <c r="I62" s="8" t="n">
        <f aca="false">MAX(0,F62-E62)</f>
        <v>0</v>
      </c>
      <c r="J62" s="8" t="n">
        <f aca="false">E62+I62</f>
        <v>65</v>
      </c>
      <c r="K62" s="8" t="str">
        <f aca="false">IF(I62=0,"OK",IF(D62="CBP","Complemento CBP","ERRO: excede CBTBE"))</f>
        <v>OK</v>
      </c>
    </row>
    <row r="63" customFormat="false" ht="15" hidden="false" customHeight="false" outlineLevel="0" collapsed="false">
      <c r="A63" s="8" t="s">
        <v>599</v>
      </c>
      <c r="B63" s="8" t="s">
        <v>600</v>
      </c>
      <c r="C63" s="8" t="s">
        <v>816</v>
      </c>
      <c r="D63" s="8" t="s">
        <v>19</v>
      </c>
      <c r="E63" s="8" t="n">
        <v>65</v>
      </c>
      <c r="F63" s="11" t="n">
        <f aca="false">IF(D63="CBP",SUMIF(Itens!$A:$A,A63,Itens!$I:$I),SUMIF(Itens!$A:$A,A63,Itens!$J:$J))</f>
        <v>68</v>
      </c>
      <c r="G63" s="8" t="n">
        <f aca="false">MAX(0,E63-F63)</f>
        <v>0</v>
      </c>
      <c r="H63" s="14" t="n">
        <f aca="false">IF(E63=0,0,MIN(1,F63/E63))</f>
        <v>1</v>
      </c>
      <c r="I63" s="8" t="n">
        <f aca="false">MAX(0,F63-E63)</f>
        <v>3</v>
      </c>
      <c r="J63" s="8" t="n">
        <f aca="false">E63+I63</f>
        <v>68</v>
      </c>
      <c r="K63" s="8" t="str">
        <f aca="false">IF(I63=0,"OK",IF(D63="CBP","Complemento CBP","ERRO: excede CBTBE"))</f>
        <v>Complemento CBP</v>
      </c>
    </row>
    <row r="64" customFormat="false" ht="15" hidden="false" customHeight="false" outlineLevel="0" collapsed="false">
      <c r="A64" s="8" t="s">
        <v>563</v>
      </c>
      <c r="B64" s="8" t="s">
        <v>564</v>
      </c>
      <c r="C64" s="8" t="s">
        <v>817</v>
      </c>
      <c r="D64" s="8" t="s">
        <v>19</v>
      </c>
      <c r="E64" s="8" t="n">
        <v>65</v>
      </c>
      <c r="F64" s="11" t="n">
        <f aca="false">IF(D64="CBP",SUMIF(Itens!$A:$A,A64,Itens!$I:$I),SUMIF(Itens!$A:$A,A64,Itens!$J:$J))</f>
        <v>142</v>
      </c>
      <c r="G64" s="8" t="n">
        <f aca="false">MAX(0,E64-F64)</f>
        <v>0</v>
      </c>
      <c r="H64" s="14" t="n">
        <f aca="false">IF(E64=0,0,MIN(1,F64/E64))</f>
        <v>1</v>
      </c>
      <c r="I64" s="8" t="n">
        <f aca="false">MAX(0,F64-E64)</f>
        <v>77</v>
      </c>
      <c r="J64" s="8" t="n">
        <f aca="false">E64+I64</f>
        <v>142</v>
      </c>
      <c r="K64" s="8" t="str">
        <f aca="false">IF(I64=0,"OK",IF(D64="CBP","Complemento CBP","ERRO: excede CBTBE"))</f>
        <v>Complemento CBP</v>
      </c>
    </row>
    <row r="65" customFormat="false" ht="15" hidden="false" customHeight="false" outlineLevel="0" collapsed="false">
      <c r="A65" s="8" t="s">
        <v>489</v>
      </c>
      <c r="B65" s="8" t="s">
        <v>490</v>
      </c>
      <c r="C65" s="8" t="s">
        <v>818</v>
      </c>
      <c r="D65" s="8" t="s">
        <v>19</v>
      </c>
      <c r="E65" s="8" t="n">
        <v>65</v>
      </c>
      <c r="F65" s="11" t="n">
        <f aca="false">IF(D65="CBP",SUMIF(Itens!$A:$A,A65,Itens!$I:$I),SUMIF(Itens!$A:$A,A65,Itens!$J:$J))</f>
        <v>70</v>
      </c>
      <c r="G65" s="8" t="n">
        <f aca="false">MAX(0,E65-F65)</f>
        <v>0</v>
      </c>
      <c r="H65" s="14" t="n">
        <f aca="false">IF(E65=0,0,MIN(1,F65/E65))</f>
        <v>1</v>
      </c>
      <c r="I65" s="8" t="n">
        <f aca="false">MAX(0,F65-E65)</f>
        <v>5</v>
      </c>
      <c r="J65" s="8" t="n">
        <f aca="false">E65+I65</f>
        <v>70</v>
      </c>
      <c r="K65" s="8" t="str">
        <f aca="false">IF(I65=0,"OK",IF(D65="CBP","Complemento CBP","ERRO: excede CBTBE"))</f>
        <v>Complemento CBP</v>
      </c>
    </row>
    <row r="66" customFormat="false" ht="15" hidden="false" customHeight="false" outlineLevel="0" collapsed="false">
      <c r="A66" s="8" t="s">
        <v>819</v>
      </c>
      <c r="B66" s="8" t="s">
        <v>820</v>
      </c>
      <c r="C66" s="8" t="s">
        <v>821</v>
      </c>
      <c r="D66" s="8" t="s">
        <v>19</v>
      </c>
      <c r="E66" s="8" t="n">
        <v>60</v>
      </c>
      <c r="F66" s="11" t="n">
        <f aca="false">IF(D66="CBP",SUMIF(Itens!$A:$A,A66,Itens!$I:$I),SUMIF(Itens!$A:$A,A66,Itens!$J:$J))</f>
        <v>0</v>
      </c>
      <c r="G66" s="8" t="n">
        <f aca="false">MAX(0,E66-F66)</f>
        <v>60</v>
      </c>
      <c r="H66" s="14" t="n">
        <f aca="false">IF(E66=0,0,MIN(1,F66/E66))</f>
        <v>0</v>
      </c>
      <c r="I66" s="8" t="n">
        <f aca="false">MAX(0,F66-E66)</f>
        <v>0</v>
      </c>
      <c r="J66" s="8" t="n">
        <f aca="false">E66+I66</f>
        <v>60</v>
      </c>
      <c r="K66" s="8" t="str">
        <f aca="false">IF(I66=0,"OK",IF(D66="CBP","Complemento CBP","ERRO: excede CBTBE"))</f>
        <v>OK</v>
      </c>
    </row>
    <row r="67" customFormat="false" ht="15" hidden="false" customHeight="false" outlineLevel="0" collapsed="false">
      <c r="A67" s="8" t="s">
        <v>573</v>
      </c>
      <c r="B67" s="8" t="s">
        <v>574</v>
      </c>
      <c r="C67" s="8" t="s">
        <v>822</v>
      </c>
      <c r="D67" s="8" t="s">
        <v>19</v>
      </c>
      <c r="E67" s="8" t="n">
        <v>55</v>
      </c>
      <c r="F67" s="11" t="n">
        <f aca="false">IF(D67="CBP",SUMIF(Itens!$A:$A,A67,Itens!$I:$I),SUMIF(Itens!$A:$A,A67,Itens!$J:$J))</f>
        <v>55</v>
      </c>
      <c r="G67" s="8" t="n">
        <f aca="false">MAX(0,E67-F67)</f>
        <v>0</v>
      </c>
      <c r="H67" s="14" t="n">
        <f aca="false">IF(E67=0,0,MIN(1,F67/E67))</f>
        <v>1</v>
      </c>
      <c r="I67" s="8" t="n">
        <f aca="false">MAX(0,F67-E67)</f>
        <v>0</v>
      </c>
      <c r="J67" s="8" t="n">
        <f aca="false">E67+I67</f>
        <v>55</v>
      </c>
      <c r="K67" s="8" t="str">
        <f aca="false">IF(I67=0,"OK",IF(D67="CBP","Complemento CBP","ERRO: excede CBTBE"))</f>
        <v>OK</v>
      </c>
    </row>
    <row r="68" customFormat="false" ht="15" hidden="false" customHeight="false" outlineLevel="0" collapsed="false">
      <c r="A68" s="8" t="s">
        <v>517</v>
      </c>
      <c r="B68" s="8" t="s">
        <v>518</v>
      </c>
      <c r="C68" s="8" t="s">
        <v>729</v>
      </c>
      <c r="D68" s="8" t="s">
        <v>19</v>
      </c>
      <c r="E68" s="8" t="n">
        <v>54</v>
      </c>
      <c r="F68" s="11" t="n">
        <f aca="false">IF(D68="CBP",SUMIF(Itens!$A:$A,A68,Itens!$I:$I),SUMIF(Itens!$A:$A,A68,Itens!$J:$J))</f>
        <v>54</v>
      </c>
      <c r="G68" s="8" t="n">
        <f aca="false">MAX(0,E68-F68)</f>
        <v>0</v>
      </c>
      <c r="H68" s="14" t="n">
        <f aca="false">IF(E68=0,0,MIN(1,F68/E68))</f>
        <v>1</v>
      </c>
      <c r="I68" s="8" t="n">
        <f aca="false">MAX(0,F68-E68)</f>
        <v>0</v>
      </c>
      <c r="J68" s="8" t="n">
        <f aca="false">E68+I68</f>
        <v>54</v>
      </c>
      <c r="K68" s="8" t="str">
        <f aca="false">IF(I68=0,"OK",IF(D68="CBP","Complemento CBP","ERRO: excede CBTBE"))</f>
        <v>OK</v>
      </c>
    </row>
    <row r="69" customFormat="false" ht="15" hidden="false" customHeight="false" outlineLevel="0" collapsed="false">
      <c r="A69" s="8" t="s">
        <v>823</v>
      </c>
      <c r="B69" s="8" t="s">
        <v>824</v>
      </c>
      <c r="C69" s="8" t="s">
        <v>825</v>
      </c>
      <c r="D69" s="8" t="s">
        <v>19</v>
      </c>
      <c r="E69" s="8" t="n">
        <v>54</v>
      </c>
      <c r="F69" s="11" t="n">
        <f aca="false">IF(D69="CBP",SUMIF(Itens!$A:$A,A69,Itens!$I:$I),SUMIF(Itens!$A:$A,A69,Itens!$J:$J))</f>
        <v>0</v>
      </c>
      <c r="G69" s="8" t="n">
        <f aca="false">MAX(0,E69-F69)</f>
        <v>54</v>
      </c>
      <c r="H69" s="14" t="n">
        <f aca="false">IF(E69=0,0,MIN(1,F69/E69))</f>
        <v>0</v>
      </c>
      <c r="I69" s="8" t="n">
        <f aca="false">MAX(0,F69-E69)</f>
        <v>0</v>
      </c>
      <c r="J69" s="8" t="n">
        <f aca="false">E69+I69</f>
        <v>54</v>
      </c>
      <c r="K69" s="8" t="str">
        <f aca="false">IF(I69=0,"OK",IF(D69="CBP","Complemento CBP","ERRO: excede CBTBE"))</f>
        <v>OK</v>
      </c>
    </row>
    <row r="70" customFormat="false" ht="15" hidden="false" customHeight="false" outlineLevel="0" collapsed="false">
      <c r="A70" s="8" t="s">
        <v>493</v>
      </c>
      <c r="B70" s="8" t="s">
        <v>494</v>
      </c>
      <c r="C70" s="8" t="s">
        <v>826</v>
      </c>
      <c r="D70" s="8" t="s">
        <v>19</v>
      </c>
      <c r="E70" s="8" t="n">
        <v>54</v>
      </c>
      <c r="F70" s="11" t="n">
        <f aca="false">IF(D70="CBP",SUMIF(Itens!$A:$A,A70,Itens!$I:$I),SUMIF(Itens!$A:$A,A70,Itens!$J:$J))</f>
        <v>73</v>
      </c>
      <c r="G70" s="8" t="n">
        <f aca="false">MAX(0,E70-F70)</f>
        <v>0</v>
      </c>
      <c r="H70" s="14" t="n">
        <f aca="false">IF(E70=0,0,MIN(1,F70/E70))</f>
        <v>1</v>
      </c>
      <c r="I70" s="8" t="n">
        <f aca="false">MAX(0,F70-E70)</f>
        <v>19</v>
      </c>
      <c r="J70" s="8" t="n">
        <f aca="false">E70+I70</f>
        <v>73</v>
      </c>
      <c r="K70" s="8" t="str">
        <f aca="false">IF(I70=0,"OK",IF(D70="CBP","Complemento CBP","ERRO: excede CBTBE"))</f>
        <v>Complemento CBP</v>
      </c>
    </row>
    <row r="71" customFormat="false" ht="15" hidden="false" customHeight="false" outlineLevel="0" collapsed="false">
      <c r="A71" s="8" t="s">
        <v>661</v>
      </c>
      <c r="B71" s="8" t="s">
        <v>662</v>
      </c>
      <c r="C71" s="8" t="s">
        <v>827</v>
      </c>
      <c r="D71" s="8" t="s">
        <v>19</v>
      </c>
      <c r="E71" s="8" t="n">
        <v>54</v>
      </c>
      <c r="F71" s="11" t="n">
        <f aca="false">IF(D71="CBP",SUMIF(Itens!$A:$A,A71,Itens!$I:$I),SUMIF(Itens!$A:$A,A71,Itens!$J:$J))</f>
        <v>54</v>
      </c>
      <c r="G71" s="8" t="n">
        <f aca="false">MAX(0,E71-F71)</f>
        <v>0</v>
      </c>
      <c r="H71" s="14" t="n">
        <f aca="false">IF(E71=0,0,MIN(1,F71/E71))</f>
        <v>1</v>
      </c>
      <c r="I71" s="8" t="n">
        <f aca="false">MAX(0,F71-E71)</f>
        <v>0</v>
      </c>
      <c r="J71" s="8" t="n">
        <f aca="false">E71+I71</f>
        <v>54</v>
      </c>
      <c r="K71" s="8" t="str">
        <f aca="false">IF(I71=0,"OK",IF(D71="CBP","Complemento CBP","ERRO: excede CBTBE"))</f>
        <v>OK</v>
      </c>
    </row>
    <row r="72" customFormat="false" ht="15" hidden="false" customHeight="false" outlineLevel="0" collapsed="false">
      <c r="A72" s="8" t="s">
        <v>611</v>
      </c>
      <c r="B72" s="8" t="s">
        <v>612</v>
      </c>
      <c r="C72" s="8" t="s">
        <v>828</v>
      </c>
      <c r="D72" s="8" t="s">
        <v>19</v>
      </c>
      <c r="E72" s="8" t="n">
        <v>53</v>
      </c>
      <c r="F72" s="11" t="n">
        <f aca="false">IF(D72="CBP",SUMIF(Itens!$A:$A,A72,Itens!$I:$I),SUMIF(Itens!$A:$A,A72,Itens!$J:$J))</f>
        <v>53</v>
      </c>
      <c r="G72" s="8" t="n">
        <f aca="false">MAX(0,E72-F72)</f>
        <v>0</v>
      </c>
      <c r="H72" s="14" t="n">
        <f aca="false">IF(E72=0,0,MIN(1,F72/E72))</f>
        <v>1</v>
      </c>
      <c r="I72" s="8" t="n">
        <f aca="false">MAX(0,F72-E72)</f>
        <v>0</v>
      </c>
      <c r="J72" s="8" t="n">
        <f aca="false">E72+I72</f>
        <v>53</v>
      </c>
      <c r="K72" s="8" t="str">
        <f aca="false">IF(I72=0,"OK",IF(D72="CBP","Complemento CBP","ERRO: excede CBTBE"))</f>
        <v>OK</v>
      </c>
    </row>
    <row r="73" customFormat="false" ht="15" hidden="false" customHeight="false" outlineLevel="0" collapsed="false">
      <c r="A73" s="8" t="s">
        <v>451</v>
      </c>
      <c r="B73" s="8" t="s">
        <v>452</v>
      </c>
      <c r="C73" s="8" t="s">
        <v>802</v>
      </c>
      <c r="D73" s="8" t="s">
        <v>19</v>
      </c>
      <c r="E73" s="8" t="n">
        <v>53</v>
      </c>
      <c r="F73" s="11" t="n">
        <f aca="false">IF(D73="CBP",SUMIF(Itens!$A:$A,A73,Itens!$I:$I),SUMIF(Itens!$A:$A,A73,Itens!$J:$J))</f>
        <v>48</v>
      </c>
      <c r="G73" s="8" t="n">
        <f aca="false">MAX(0,E73-F73)</f>
        <v>5</v>
      </c>
      <c r="H73" s="14" t="n">
        <f aca="false">IF(E73=0,0,MIN(1,F73/E73))</f>
        <v>0.905660377358491</v>
      </c>
      <c r="I73" s="8" t="n">
        <f aca="false">MAX(0,F73-E73)</f>
        <v>0</v>
      </c>
      <c r="J73" s="8" t="n">
        <f aca="false">E73+I73</f>
        <v>53</v>
      </c>
      <c r="K73" s="8" t="str">
        <f aca="false">IF(I73=0,"OK",IF(D73="CBP","Complemento CBP","ERRO: excede CBTBE"))</f>
        <v>OK</v>
      </c>
    </row>
    <row r="74" customFormat="false" ht="15" hidden="false" customHeight="false" outlineLevel="0" collapsed="false">
      <c r="A74" s="8" t="s">
        <v>579</v>
      </c>
      <c r="B74" s="8" t="s">
        <v>580</v>
      </c>
      <c r="C74" s="8" t="s">
        <v>781</v>
      </c>
      <c r="D74" s="8" t="s">
        <v>19</v>
      </c>
      <c r="E74" s="8" t="n">
        <v>50</v>
      </c>
      <c r="F74" s="11" t="n">
        <f aca="false">IF(D74="CBP",SUMIF(Itens!$A:$A,A74,Itens!$I:$I),SUMIF(Itens!$A:$A,A74,Itens!$J:$J))</f>
        <v>56</v>
      </c>
      <c r="G74" s="8" t="n">
        <f aca="false">MAX(0,E74-F74)</f>
        <v>0</v>
      </c>
      <c r="H74" s="14" t="n">
        <f aca="false">IF(E74=0,0,MIN(1,F74/E74))</f>
        <v>1</v>
      </c>
      <c r="I74" s="8" t="n">
        <f aca="false">MAX(0,F74-E74)</f>
        <v>6</v>
      </c>
      <c r="J74" s="8" t="n">
        <f aca="false">E74+I74</f>
        <v>56</v>
      </c>
      <c r="K74" s="8" t="str">
        <f aca="false">IF(I74=0,"OK",IF(D74="CBP","Complemento CBP","ERRO: excede CBTBE"))</f>
        <v>Complemento CBP</v>
      </c>
    </row>
    <row r="75" customFormat="false" ht="15" hidden="false" customHeight="false" outlineLevel="0" collapsed="false">
      <c r="A75" s="8" t="s">
        <v>479</v>
      </c>
      <c r="B75" s="8" t="s">
        <v>480</v>
      </c>
      <c r="C75" s="8" t="s">
        <v>829</v>
      </c>
      <c r="D75" s="8" t="s">
        <v>19</v>
      </c>
      <c r="E75" s="8" t="n">
        <v>50</v>
      </c>
      <c r="F75" s="11" t="n">
        <f aca="false">IF(D75="CBP",SUMIF(Itens!$A:$A,A75,Itens!$I:$I),SUMIF(Itens!$A:$A,A75,Itens!$J:$J))</f>
        <v>67</v>
      </c>
      <c r="G75" s="8" t="n">
        <f aca="false">MAX(0,E75-F75)</f>
        <v>0</v>
      </c>
      <c r="H75" s="14" t="n">
        <f aca="false">IF(E75=0,0,MIN(1,F75/E75))</f>
        <v>1</v>
      </c>
      <c r="I75" s="8" t="n">
        <f aca="false">MAX(0,F75-E75)</f>
        <v>17</v>
      </c>
      <c r="J75" s="8" t="n">
        <f aca="false">E75+I75</f>
        <v>67</v>
      </c>
      <c r="K75" s="8" t="str">
        <f aca="false">IF(I75=0,"OK",IF(D75="CBP","Complemento CBP","ERRO: excede CBTBE"))</f>
        <v>Complemento CBP</v>
      </c>
    </row>
    <row r="76" customFormat="false" ht="15" hidden="false" customHeight="false" outlineLevel="0" collapsed="false">
      <c r="A76" s="8" t="s">
        <v>431</v>
      </c>
      <c r="B76" s="8" t="s">
        <v>432</v>
      </c>
      <c r="C76" s="8" t="s">
        <v>830</v>
      </c>
      <c r="D76" s="8" t="s">
        <v>19</v>
      </c>
      <c r="E76" s="8" t="n">
        <v>50</v>
      </c>
      <c r="F76" s="11" t="n">
        <f aca="false">IF(D76="CBP",SUMIF(Itens!$A:$A,A76,Itens!$I:$I),SUMIF(Itens!$A:$A,A76,Itens!$J:$J))</f>
        <v>50</v>
      </c>
      <c r="G76" s="8" t="n">
        <f aca="false">MAX(0,E76-F76)</f>
        <v>0</v>
      </c>
      <c r="H76" s="14" t="n">
        <f aca="false">IF(E76=0,0,MIN(1,F76/E76))</f>
        <v>1</v>
      </c>
      <c r="I76" s="8" t="n">
        <f aca="false">MAX(0,F76-E76)</f>
        <v>0</v>
      </c>
      <c r="J76" s="8" t="n">
        <f aca="false">E76+I76</f>
        <v>50</v>
      </c>
      <c r="K76" s="8" t="str">
        <f aca="false">IF(I76=0,"OK",IF(D76="CBP","Complemento CBP","ERRO: excede CBTBE"))</f>
        <v>OK</v>
      </c>
    </row>
    <row r="77" customFormat="false" ht="15" hidden="false" customHeight="false" outlineLevel="0" collapsed="false">
      <c r="A77" s="8" t="s">
        <v>831</v>
      </c>
      <c r="B77" s="8" t="s">
        <v>832</v>
      </c>
      <c r="C77" s="8" t="s">
        <v>833</v>
      </c>
      <c r="D77" s="8" t="s">
        <v>19</v>
      </c>
      <c r="E77" s="8" t="n">
        <v>50</v>
      </c>
      <c r="F77" s="11" t="n">
        <f aca="false">IF(D77="CBP",SUMIF(Itens!$A:$A,A77,Itens!$I:$I),SUMIF(Itens!$A:$A,A77,Itens!$J:$J))</f>
        <v>0</v>
      </c>
      <c r="G77" s="8" t="n">
        <f aca="false">MAX(0,E77-F77)</f>
        <v>50</v>
      </c>
      <c r="H77" s="14" t="n">
        <f aca="false">IF(E77=0,0,MIN(1,F77/E77))</f>
        <v>0</v>
      </c>
      <c r="I77" s="8" t="n">
        <f aca="false">MAX(0,F77-E77)</f>
        <v>0</v>
      </c>
      <c r="J77" s="8" t="n">
        <f aca="false">E77+I77</f>
        <v>50</v>
      </c>
      <c r="K77" s="8" t="str">
        <f aca="false">IF(I77=0,"OK",IF(D77="CBP","Complemento CBP","ERRO: excede CBTBE"))</f>
        <v>OK</v>
      </c>
    </row>
    <row r="78" customFormat="false" ht="15" hidden="false" customHeight="false" outlineLevel="0" collapsed="false">
      <c r="A78" s="8" t="s">
        <v>834</v>
      </c>
      <c r="B78" s="8" t="s">
        <v>835</v>
      </c>
      <c r="C78" s="8" t="s">
        <v>836</v>
      </c>
      <c r="D78" s="8" t="s">
        <v>19</v>
      </c>
      <c r="E78" s="8" t="n">
        <v>48</v>
      </c>
      <c r="F78" s="11" t="n">
        <f aca="false">IF(D78="CBP",SUMIF(Itens!$A:$A,A78,Itens!$I:$I),SUMIF(Itens!$A:$A,A78,Itens!$J:$J))</f>
        <v>0</v>
      </c>
      <c r="G78" s="8" t="n">
        <f aca="false">MAX(0,E78-F78)</f>
        <v>48</v>
      </c>
      <c r="H78" s="14" t="n">
        <f aca="false">IF(E78=0,0,MIN(1,F78/E78))</f>
        <v>0</v>
      </c>
      <c r="I78" s="8" t="n">
        <f aca="false">MAX(0,F78-E78)</f>
        <v>0</v>
      </c>
      <c r="J78" s="8" t="n">
        <f aca="false">E78+I78</f>
        <v>48</v>
      </c>
      <c r="K78" s="8" t="str">
        <f aca="false">IF(I78=0,"OK",IF(D78="CBP","Complemento CBP","ERRO: excede CBTBE"))</f>
        <v>OK</v>
      </c>
    </row>
    <row r="79" customFormat="false" ht="15" hidden="false" customHeight="false" outlineLevel="0" collapsed="false">
      <c r="A79" s="8" t="s">
        <v>629</v>
      </c>
      <c r="B79" s="8" t="s">
        <v>630</v>
      </c>
      <c r="C79" s="8" t="s">
        <v>837</v>
      </c>
      <c r="D79" s="8" t="s">
        <v>19</v>
      </c>
      <c r="E79" s="8" t="n">
        <v>48</v>
      </c>
      <c r="F79" s="11" t="n">
        <f aca="false">IF(D79="CBP",SUMIF(Itens!$A:$A,A79,Itens!$I:$I),SUMIF(Itens!$A:$A,A79,Itens!$J:$J))</f>
        <v>48</v>
      </c>
      <c r="G79" s="8" t="n">
        <f aca="false">MAX(0,E79-F79)</f>
        <v>0</v>
      </c>
      <c r="H79" s="14" t="n">
        <f aca="false">IF(E79=0,0,MIN(1,F79/E79))</f>
        <v>1</v>
      </c>
      <c r="I79" s="8" t="n">
        <f aca="false">MAX(0,F79-E79)</f>
        <v>0</v>
      </c>
      <c r="J79" s="8" t="n">
        <f aca="false">E79+I79</f>
        <v>48</v>
      </c>
      <c r="K79" s="8" t="str">
        <f aca="false">IF(I79=0,"OK",IF(D79="CBP","Complemento CBP","ERRO: excede CBTBE"))</f>
        <v>OK</v>
      </c>
    </row>
    <row r="80" customFormat="false" ht="15" hidden="false" customHeight="false" outlineLevel="0" collapsed="false">
      <c r="A80" s="8" t="s">
        <v>671</v>
      </c>
      <c r="B80" s="8" t="s">
        <v>672</v>
      </c>
      <c r="C80" s="8" t="s">
        <v>805</v>
      </c>
      <c r="D80" s="8" t="s">
        <v>19</v>
      </c>
      <c r="E80" s="8" t="n">
        <v>48</v>
      </c>
      <c r="F80" s="11" t="n">
        <f aca="false">IF(D80="CBP",SUMIF(Itens!$A:$A,A80,Itens!$I:$I),SUMIF(Itens!$A:$A,A80,Itens!$J:$J))</f>
        <v>48</v>
      </c>
      <c r="G80" s="8" t="n">
        <f aca="false">MAX(0,E80-F80)</f>
        <v>0</v>
      </c>
      <c r="H80" s="14" t="n">
        <f aca="false">IF(E80=0,0,MIN(1,F80/E80))</f>
        <v>1</v>
      </c>
      <c r="I80" s="8" t="n">
        <f aca="false">MAX(0,F80-E80)</f>
        <v>0</v>
      </c>
      <c r="J80" s="8" t="n">
        <f aca="false">E80+I80</f>
        <v>48</v>
      </c>
      <c r="K80" s="8" t="str">
        <f aca="false">IF(I80=0,"OK",IF(D80="CBP","Complemento CBP","ERRO: excede CBTBE"))</f>
        <v>OK</v>
      </c>
    </row>
    <row r="81" customFormat="false" ht="15" hidden="false" customHeight="false" outlineLevel="0" collapsed="false">
      <c r="A81" s="8" t="s">
        <v>838</v>
      </c>
      <c r="B81" s="8" t="s">
        <v>839</v>
      </c>
      <c r="C81" s="8" t="s">
        <v>785</v>
      </c>
      <c r="D81" s="8" t="s">
        <v>19</v>
      </c>
      <c r="E81" s="8" t="n">
        <v>45</v>
      </c>
      <c r="F81" s="11" t="n">
        <f aca="false">IF(D81="CBP",SUMIF(Itens!$A:$A,A81,Itens!$I:$I),SUMIF(Itens!$A:$A,A81,Itens!$J:$J))</f>
        <v>0</v>
      </c>
      <c r="G81" s="8" t="n">
        <f aca="false">MAX(0,E81-F81)</f>
        <v>45</v>
      </c>
      <c r="H81" s="14" t="n">
        <f aca="false">IF(E81=0,0,MIN(1,F81/E81))</f>
        <v>0</v>
      </c>
      <c r="I81" s="8" t="n">
        <f aca="false">MAX(0,F81-E81)</f>
        <v>0</v>
      </c>
      <c r="J81" s="8" t="n">
        <f aca="false">E81+I81</f>
        <v>45</v>
      </c>
      <c r="K81" s="8" t="str">
        <f aca="false">IF(I81=0,"OK",IF(D81="CBP","Complemento CBP","ERRO: excede CBTBE"))</f>
        <v>OK</v>
      </c>
    </row>
    <row r="82" customFormat="false" ht="15" hidden="false" customHeight="false" outlineLevel="0" collapsed="false">
      <c r="A82" s="8" t="s">
        <v>609</v>
      </c>
      <c r="B82" s="8" t="s">
        <v>610</v>
      </c>
      <c r="C82" s="8" t="s">
        <v>771</v>
      </c>
      <c r="D82" s="8" t="s">
        <v>19</v>
      </c>
      <c r="E82" s="8" t="n">
        <v>45</v>
      </c>
      <c r="F82" s="11" t="n">
        <f aca="false">IF(D82="CBP",SUMIF(Itens!$A:$A,A82,Itens!$I:$I),SUMIF(Itens!$A:$A,A82,Itens!$J:$J))</f>
        <v>8</v>
      </c>
      <c r="G82" s="8" t="n">
        <f aca="false">MAX(0,E82-F82)</f>
        <v>37</v>
      </c>
      <c r="H82" s="14" t="n">
        <f aca="false">IF(E82=0,0,MIN(1,F82/E82))</f>
        <v>0.177777777777778</v>
      </c>
      <c r="I82" s="8" t="n">
        <f aca="false">MAX(0,F82-E82)</f>
        <v>0</v>
      </c>
      <c r="J82" s="8" t="n">
        <f aca="false">E82+I82</f>
        <v>45</v>
      </c>
      <c r="K82" s="8" t="str">
        <f aca="false">IF(I82=0,"OK",IF(D82="CBP","Complemento CBP","ERRO: excede CBTBE"))</f>
        <v>OK</v>
      </c>
    </row>
    <row r="83" customFormat="false" ht="15" hidden="false" customHeight="false" outlineLevel="0" collapsed="false">
      <c r="A83" s="8" t="s">
        <v>840</v>
      </c>
      <c r="B83" s="8" t="s">
        <v>841</v>
      </c>
      <c r="C83" s="8" t="s">
        <v>842</v>
      </c>
      <c r="D83" s="8" t="s">
        <v>19</v>
      </c>
      <c r="E83" s="8" t="n">
        <v>43</v>
      </c>
      <c r="F83" s="11" t="n">
        <f aca="false">IF(D83="CBP",SUMIF(Itens!$A:$A,A83,Itens!$I:$I),SUMIF(Itens!$A:$A,A83,Itens!$J:$J))</f>
        <v>0</v>
      </c>
      <c r="G83" s="8" t="n">
        <f aca="false">MAX(0,E83-F83)</f>
        <v>43</v>
      </c>
      <c r="H83" s="14" t="n">
        <f aca="false">IF(E83=0,0,MIN(1,F83/E83))</f>
        <v>0</v>
      </c>
      <c r="I83" s="8" t="n">
        <f aca="false">MAX(0,F83-E83)</f>
        <v>0</v>
      </c>
      <c r="J83" s="8" t="n">
        <f aca="false">E83+I83</f>
        <v>43</v>
      </c>
      <c r="K83" s="8" t="str">
        <f aca="false">IF(I83=0,"OK",IF(D83="CBP","Complemento CBP","ERRO: excede CBTBE"))</f>
        <v>OK</v>
      </c>
    </row>
    <row r="84" customFormat="false" ht="15" hidden="false" customHeight="false" outlineLevel="0" collapsed="false">
      <c r="A84" s="8" t="s">
        <v>843</v>
      </c>
      <c r="B84" s="8" t="s">
        <v>844</v>
      </c>
      <c r="C84" s="8" t="s">
        <v>845</v>
      </c>
      <c r="D84" s="8" t="s">
        <v>19</v>
      </c>
      <c r="E84" s="8" t="n">
        <v>43</v>
      </c>
      <c r="F84" s="11" t="n">
        <f aca="false">IF(D84="CBP",SUMIF(Itens!$A:$A,A84,Itens!$I:$I),SUMIF(Itens!$A:$A,A84,Itens!$J:$J))</f>
        <v>0</v>
      </c>
      <c r="G84" s="8" t="n">
        <f aca="false">MAX(0,E84-F84)</f>
        <v>43</v>
      </c>
      <c r="H84" s="14" t="n">
        <f aca="false">IF(E84=0,0,MIN(1,F84/E84))</f>
        <v>0</v>
      </c>
      <c r="I84" s="8" t="n">
        <f aca="false">MAX(0,F84-E84)</f>
        <v>0</v>
      </c>
      <c r="J84" s="8" t="n">
        <f aca="false">E84+I84</f>
        <v>43</v>
      </c>
      <c r="K84" s="8" t="str">
        <f aca="false">IF(I84=0,"OK",IF(D84="CBP","Complemento CBP","ERRO: excede CBTBE"))</f>
        <v>OK</v>
      </c>
    </row>
    <row r="85" customFormat="false" ht="15" hidden="false" customHeight="false" outlineLevel="0" collapsed="false">
      <c r="A85" s="8" t="s">
        <v>549</v>
      </c>
      <c r="B85" s="8" t="s">
        <v>550</v>
      </c>
      <c r="C85" s="8" t="s">
        <v>846</v>
      </c>
      <c r="D85" s="8" t="s">
        <v>19</v>
      </c>
      <c r="E85" s="8" t="n">
        <v>43</v>
      </c>
      <c r="F85" s="11" t="n">
        <f aca="false">IF(D85="CBP",SUMIF(Itens!$A:$A,A85,Itens!$I:$I),SUMIF(Itens!$A:$A,A85,Itens!$J:$J))</f>
        <v>43</v>
      </c>
      <c r="G85" s="8" t="n">
        <f aca="false">MAX(0,E85-F85)</f>
        <v>0</v>
      </c>
      <c r="H85" s="14" t="n">
        <f aca="false">IF(E85=0,0,MIN(1,F85/E85))</f>
        <v>1</v>
      </c>
      <c r="I85" s="8" t="n">
        <f aca="false">MAX(0,F85-E85)</f>
        <v>0</v>
      </c>
      <c r="J85" s="8" t="n">
        <f aca="false">E85+I85</f>
        <v>43</v>
      </c>
      <c r="K85" s="8" t="str">
        <f aca="false">IF(I85=0,"OK",IF(D85="CBP","Complemento CBP","ERRO: excede CBTBE"))</f>
        <v>OK</v>
      </c>
    </row>
    <row r="86" customFormat="false" ht="15" hidden="false" customHeight="false" outlineLevel="0" collapsed="false">
      <c r="A86" s="8" t="s">
        <v>655</v>
      </c>
      <c r="B86" s="8" t="s">
        <v>656</v>
      </c>
      <c r="C86" s="8" t="s">
        <v>847</v>
      </c>
      <c r="D86" s="8" t="s">
        <v>19</v>
      </c>
      <c r="E86" s="8" t="n">
        <v>42</v>
      </c>
      <c r="F86" s="11" t="n">
        <f aca="false">IF(D86="CBP",SUMIF(Itens!$A:$A,A86,Itens!$I:$I),SUMIF(Itens!$A:$A,A86,Itens!$J:$J))</f>
        <v>42</v>
      </c>
      <c r="G86" s="8" t="n">
        <f aca="false">MAX(0,E86-F86)</f>
        <v>0</v>
      </c>
      <c r="H86" s="14" t="n">
        <f aca="false">IF(E86=0,0,MIN(1,F86/E86))</f>
        <v>1</v>
      </c>
      <c r="I86" s="8" t="n">
        <f aca="false">MAX(0,F86-E86)</f>
        <v>0</v>
      </c>
      <c r="J86" s="8" t="n">
        <f aca="false">E86+I86</f>
        <v>42</v>
      </c>
      <c r="K86" s="8" t="str">
        <f aca="false">IF(I86=0,"OK",IF(D86="CBP","Complemento CBP","ERRO: excede CBTBE"))</f>
        <v>OK</v>
      </c>
    </row>
    <row r="87" customFormat="false" ht="15" hidden="false" customHeight="false" outlineLevel="0" collapsed="false">
      <c r="A87" s="8" t="s">
        <v>848</v>
      </c>
      <c r="B87" s="8" t="s">
        <v>849</v>
      </c>
      <c r="C87" s="8" t="s">
        <v>850</v>
      </c>
      <c r="D87" s="8" t="s">
        <v>19</v>
      </c>
      <c r="E87" s="8" t="n">
        <v>40</v>
      </c>
      <c r="F87" s="11" t="n">
        <f aca="false">IF(D87="CBP",SUMIF(Itens!$A:$A,A87,Itens!$I:$I),SUMIF(Itens!$A:$A,A87,Itens!$J:$J))</f>
        <v>0</v>
      </c>
      <c r="G87" s="8" t="n">
        <f aca="false">MAX(0,E87-F87)</f>
        <v>40</v>
      </c>
      <c r="H87" s="14" t="n">
        <f aca="false">IF(E87=0,0,MIN(1,F87/E87))</f>
        <v>0</v>
      </c>
      <c r="I87" s="8" t="n">
        <f aca="false">MAX(0,F87-E87)</f>
        <v>0</v>
      </c>
      <c r="J87" s="8" t="n">
        <f aca="false">E87+I87</f>
        <v>40</v>
      </c>
      <c r="K87" s="8" t="str">
        <f aca="false">IF(I87=0,"OK",IF(D87="CBP","Complemento CBP","ERRO: excede CBTBE"))</f>
        <v>OK</v>
      </c>
    </row>
    <row r="88" customFormat="false" ht="15" hidden="false" customHeight="false" outlineLevel="0" collapsed="false">
      <c r="A88" s="8" t="s">
        <v>691</v>
      </c>
      <c r="B88" s="8" t="s">
        <v>692</v>
      </c>
      <c r="C88" s="8" t="s">
        <v>851</v>
      </c>
      <c r="D88" s="8" t="s">
        <v>19</v>
      </c>
      <c r="E88" s="8" t="n">
        <v>40</v>
      </c>
      <c r="F88" s="11" t="n">
        <f aca="false">IF(D88="CBP",SUMIF(Itens!$A:$A,A88,Itens!$I:$I),SUMIF(Itens!$A:$A,A88,Itens!$J:$J))</f>
        <v>40</v>
      </c>
      <c r="G88" s="8" t="n">
        <f aca="false">MAX(0,E88-F88)</f>
        <v>0</v>
      </c>
      <c r="H88" s="14" t="n">
        <f aca="false">IF(E88=0,0,MIN(1,F88/E88))</f>
        <v>1</v>
      </c>
      <c r="I88" s="8" t="n">
        <f aca="false">MAX(0,F88-E88)</f>
        <v>0</v>
      </c>
      <c r="J88" s="8" t="n">
        <f aca="false">E88+I88</f>
        <v>40</v>
      </c>
      <c r="K88" s="8" t="str">
        <f aca="false">IF(I88=0,"OK",IF(D88="CBP","Complemento CBP","ERRO: excede CBTBE"))</f>
        <v>OK</v>
      </c>
    </row>
    <row r="89" customFormat="false" ht="15" hidden="false" customHeight="false" outlineLevel="0" collapsed="false">
      <c r="A89" s="8" t="s">
        <v>475</v>
      </c>
      <c r="B89" s="8" t="s">
        <v>476</v>
      </c>
      <c r="C89" s="8" t="s">
        <v>852</v>
      </c>
      <c r="D89" s="8" t="s">
        <v>19</v>
      </c>
      <c r="E89" s="8" t="n">
        <v>40</v>
      </c>
      <c r="F89" s="11" t="n">
        <f aca="false">IF(D89="CBP",SUMIF(Itens!$A:$A,A89,Itens!$I:$I),SUMIF(Itens!$A:$A,A89,Itens!$J:$J))</f>
        <v>40</v>
      </c>
      <c r="G89" s="8" t="n">
        <f aca="false">MAX(0,E89-F89)</f>
        <v>0</v>
      </c>
      <c r="H89" s="14" t="n">
        <f aca="false">IF(E89=0,0,MIN(1,F89/E89))</f>
        <v>1</v>
      </c>
      <c r="I89" s="8" t="n">
        <f aca="false">MAX(0,F89-E89)</f>
        <v>0</v>
      </c>
      <c r="J89" s="8" t="n">
        <f aca="false">E89+I89</f>
        <v>40</v>
      </c>
      <c r="K89" s="8" t="str">
        <f aca="false">IF(I89=0,"OK",IF(D89="CBP","Complemento CBP","ERRO: excede CBTBE"))</f>
        <v>OK</v>
      </c>
    </row>
    <row r="90" customFormat="false" ht="15" hidden="false" customHeight="false" outlineLevel="0" collapsed="false">
      <c r="A90" s="8" t="s">
        <v>429</v>
      </c>
      <c r="B90" s="8" t="s">
        <v>430</v>
      </c>
      <c r="C90" s="8" t="s">
        <v>853</v>
      </c>
      <c r="D90" s="8" t="s">
        <v>19</v>
      </c>
      <c r="E90" s="8" t="n">
        <v>40</v>
      </c>
      <c r="F90" s="11" t="n">
        <f aca="false">IF(D90="CBP",SUMIF(Itens!$A:$A,A90,Itens!$I:$I),SUMIF(Itens!$A:$A,A90,Itens!$J:$J))</f>
        <v>40</v>
      </c>
      <c r="G90" s="8" t="n">
        <f aca="false">MAX(0,E90-F90)</f>
        <v>0</v>
      </c>
      <c r="H90" s="14" t="n">
        <f aca="false">IF(E90=0,0,MIN(1,F90/E90))</f>
        <v>1</v>
      </c>
      <c r="I90" s="8" t="n">
        <f aca="false">MAX(0,F90-E90)</f>
        <v>0</v>
      </c>
      <c r="J90" s="8" t="n">
        <f aca="false">E90+I90</f>
        <v>40</v>
      </c>
      <c r="K90" s="8" t="str">
        <f aca="false">IF(I90=0,"OK",IF(D90="CBP","Complemento CBP","ERRO: excede CBTBE"))</f>
        <v>OK</v>
      </c>
    </row>
    <row r="91" customFormat="false" ht="15" hidden="false" customHeight="false" outlineLevel="0" collapsed="false">
      <c r="A91" s="8" t="s">
        <v>529</v>
      </c>
      <c r="B91" s="8" t="s">
        <v>530</v>
      </c>
      <c r="C91" s="8" t="s">
        <v>854</v>
      </c>
      <c r="D91" s="8" t="s">
        <v>19</v>
      </c>
      <c r="E91" s="8" t="n">
        <v>40</v>
      </c>
      <c r="F91" s="11" t="n">
        <f aca="false">IF(D91="CBP",SUMIF(Itens!$A:$A,A91,Itens!$I:$I),SUMIF(Itens!$A:$A,A91,Itens!$J:$J))</f>
        <v>40</v>
      </c>
      <c r="G91" s="8" t="n">
        <f aca="false">MAX(0,E91-F91)</f>
        <v>0</v>
      </c>
      <c r="H91" s="14" t="n">
        <f aca="false">IF(E91=0,0,MIN(1,F91/E91))</f>
        <v>1</v>
      </c>
      <c r="I91" s="8" t="n">
        <f aca="false">MAX(0,F91-E91)</f>
        <v>0</v>
      </c>
      <c r="J91" s="8" t="n">
        <f aca="false">E91+I91</f>
        <v>40</v>
      </c>
      <c r="K91" s="8" t="str">
        <f aca="false">IF(I91=0,"OK",IF(D91="CBP","Complemento CBP","ERRO: excede CBTBE"))</f>
        <v>OK</v>
      </c>
    </row>
    <row r="92" customFormat="false" ht="15" hidden="false" customHeight="false" outlineLevel="0" collapsed="false">
      <c r="A92" s="8" t="s">
        <v>855</v>
      </c>
      <c r="B92" s="8" t="s">
        <v>856</v>
      </c>
      <c r="C92" s="8" t="s">
        <v>857</v>
      </c>
      <c r="D92" s="8" t="s">
        <v>19</v>
      </c>
      <c r="E92" s="8" t="n">
        <v>38</v>
      </c>
      <c r="F92" s="11" t="n">
        <f aca="false">IF(D92="CBP",SUMIF(Itens!$A:$A,A92,Itens!$I:$I),SUMIF(Itens!$A:$A,A92,Itens!$J:$J))</f>
        <v>0</v>
      </c>
      <c r="G92" s="8" t="n">
        <f aca="false">MAX(0,E92-F92)</f>
        <v>38</v>
      </c>
      <c r="H92" s="14" t="n">
        <f aca="false">IF(E92=0,0,MIN(1,F92/E92))</f>
        <v>0</v>
      </c>
      <c r="I92" s="8" t="n">
        <f aca="false">MAX(0,F92-E92)</f>
        <v>0</v>
      </c>
      <c r="J92" s="8" t="n">
        <f aca="false">E92+I92</f>
        <v>38</v>
      </c>
      <c r="K92" s="8" t="str">
        <f aca="false">IF(I92=0,"OK",IF(D92="CBP","Complemento CBP","ERRO: excede CBTBE"))</f>
        <v>OK</v>
      </c>
    </row>
    <row r="93" customFormat="false" ht="15" hidden="false" customHeight="false" outlineLevel="0" collapsed="false">
      <c r="A93" s="8" t="s">
        <v>858</v>
      </c>
      <c r="B93" s="8" t="s">
        <v>859</v>
      </c>
      <c r="C93" s="8" t="s">
        <v>825</v>
      </c>
      <c r="D93" s="8" t="s">
        <v>19</v>
      </c>
      <c r="E93" s="8" t="n">
        <v>36</v>
      </c>
      <c r="F93" s="11" t="n">
        <f aca="false">IF(D93="CBP",SUMIF(Itens!$A:$A,A93,Itens!$I:$I),SUMIF(Itens!$A:$A,A93,Itens!$J:$J))</f>
        <v>0</v>
      </c>
      <c r="G93" s="8" t="n">
        <f aca="false">MAX(0,E93-F93)</f>
        <v>36</v>
      </c>
      <c r="H93" s="14" t="n">
        <f aca="false">IF(E93=0,0,MIN(1,F93/E93))</f>
        <v>0</v>
      </c>
      <c r="I93" s="8" t="n">
        <f aca="false">MAX(0,F93-E93)</f>
        <v>0</v>
      </c>
      <c r="J93" s="8" t="n">
        <f aca="false">E93+I93</f>
        <v>36</v>
      </c>
      <c r="K93" s="8" t="str">
        <f aca="false">IF(I93=0,"OK",IF(D93="CBP","Complemento CBP","ERRO: excede CBTBE"))</f>
        <v>OK</v>
      </c>
    </row>
    <row r="94" customFormat="false" ht="15" hidden="false" customHeight="false" outlineLevel="0" collapsed="false">
      <c r="A94" s="8" t="s">
        <v>860</v>
      </c>
      <c r="B94" s="8" t="s">
        <v>861</v>
      </c>
      <c r="C94" s="8" t="s">
        <v>862</v>
      </c>
      <c r="D94" s="8" t="s">
        <v>19</v>
      </c>
      <c r="E94" s="8" t="n">
        <v>35</v>
      </c>
      <c r="F94" s="11" t="n">
        <f aca="false">IF(D94="CBP",SUMIF(Itens!$A:$A,A94,Itens!$I:$I),SUMIF(Itens!$A:$A,A94,Itens!$J:$J))</f>
        <v>0</v>
      </c>
      <c r="G94" s="8" t="n">
        <f aca="false">MAX(0,E94-F94)</f>
        <v>35</v>
      </c>
      <c r="H94" s="14" t="n">
        <f aca="false">IF(E94=0,0,MIN(1,F94/E94))</f>
        <v>0</v>
      </c>
      <c r="I94" s="8" t="n">
        <f aca="false">MAX(0,F94-E94)</f>
        <v>0</v>
      </c>
      <c r="J94" s="8" t="n">
        <f aca="false">E94+I94</f>
        <v>35</v>
      </c>
      <c r="K94" s="8" t="str">
        <f aca="false">IF(I94=0,"OK",IF(D94="CBP","Complemento CBP","ERRO: excede CBTBE"))</f>
        <v>OK</v>
      </c>
    </row>
    <row r="95" customFormat="false" ht="15" hidden="false" customHeight="false" outlineLevel="0" collapsed="false">
      <c r="A95" s="8" t="s">
        <v>615</v>
      </c>
      <c r="B95" s="8" t="s">
        <v>616</v>
      </c>
      <c r="C95" s="8" t="s">
        <v>863</v>
      </c>
      <c r="D95" s="8" t="s">
        <v>19</v>
      </c>
      <c r="E95" s="8" t="n">
        <v>35</v>
      </c>
      <c r="F95" s="11" t="n">
        <f aca="false">IF(D95="CBP",SUMIF(Itens!$A:$A,A95,Itens!$I:$I),SUMIF(Itens!$A:$A,A95,Itens!$J:$J))</f>
        <v>35</v>
      </c>
      <c r="G95" s="8" t="n">
        <f aca="false">MAX(0,E95-F95)</f>
        <v>0</v>
      </c>
      <c r="H95" s="14" t="n">
        <f aca="false">IF(E95=0,0,MIN(1,F95/E95))</f>
        <v>1</v>
      </c>
      <c r="I95" s="8" t="n">
        <f aca="false">MAX(0,F95-E95)</f>
        <v>0</v>
      </c>
      <c r="J95" s="8" t="n">
        <f aca="false">E95+I95</f>
        <v>35</v>
      </c>
      <c r="K95" s="8" t="str">
        <f aca="false">IF(I95=0,"OK",IF(D95="CBP","Complemento CBP","ERRO: excede CBTBE"))</f>
        <v>OK</v>
      </c>
    </row>
    <row r="96" customFormat="false" ht="15" hidden="false" customHeight="false" outlineLevel="0" collapsed="false">
      <c r="A96" s="8" t="s">
        <v>515</v>
      </c>
      <c r="B96" s="8" t="s">
        <v>516</v>
      </c>
      <c r="C96" s="8" t="s">
        <v>864</v>
      </c>
      <c r="D96" s="8" t="s">
        <v>19</v>
      </c>
      <c r="E96" s="8" t="n">
        <v>35</v>
      </c>
      <c r="F96" s="11" t="n">
        <f aca="false">IF(D96="CBP",SUMIF(Itens!$A:$A,A96,Itens!$I:$I),SUMIF(Itens!$A:$A,A96,Itens!$J:$J))</f>
        <v>36</v>
      </c>
      <c r="G96" s="8" t="n">
        <f aca="false">MAX(0,E96-F96)</f>
        <v>0</v>
      </c>
      <c r="H96" s="14" t="n">
        <f aca="false">IF(E96=0,0,MIN(1,F96/E96))</f>
        <v>1</v>
      </c>
      <c r="I96" s="8" t="n">
        <f aca="false">MAX(0,F96-E96)</f>
        <v>1</v>
      </c>
      <c r="J96" s="8" t="n">
        <f aca="false">E96+I96</f>
        <v>36</v>
      </c>
      <c r="K96" s="8" t="str">
        <f aca="false">IF(I96=0,"OK",IF(D96="CBP","Complemento CBP","ERRO: excede CBTBE"))</f>
        <v>Complemento CBP</v>
      </c>
    </row>
    <row r="97" customFormat="false" ht="15" hidden="false" customHeight="false" outlineLevel="0" collapsed="false">
      <c r="A97" s="8" t="s">
        <v>531</v>
      </c>
      <c r="B97" s="8" t="s">
        <v>532</v>
      </c>
      <c r="C97" s="8" t="s">
        <v>806</v>
      </c>
      <c r="D97" s="8" t="s">
        <v>19</v>
      </c>
      <c r="E97" s="8" t="n">
        <v>35</v>
      </c>
      <c r="F97" s="11" t="n">
        <f aca="false">IF(D97="CBP",SUMIF(Itens!$A:$A,A97,Itens!$I:$I),SUMIF(Itens!$A:$A,A97,Itens!$J:$J))</f>
        <v>35</v>
      </c>
      <c r="G97" s="8" t="n">
        <f aca="false">MAX(0,E97-F97)</f>
        <v>0</v>
      </c>
      <c r="H97" s="14" t="n">
        <f aca="false">IF(E97=0,0,MIN(1,F97/E97))</f>
        <v>1</v>
      </c>
      <c r="I97" s="8" t="n">
        <f aca="false">MAX(0,F97-E97)</f>
        <v>0</v>
      </c>
      <c r="J97" s="8" t="n">
        <f aca="false">E97+I97</f>
        <v>35</v>
      </c>
      <c r="K97" s="8" t="str">
        <f aca="false">IF(I97=0,"OK",IF(D97="CBP","Complemento CBP","ERRO: excede CBTBE"))</f>
        <v>OK</v>
      </c>
    </row>
    <row r="98" customFormat="false" ht="15" hidden="false" customHeight="false" outlineLevel="0" collapsed="false">
      <c r="A98" s="8" t="s">
        <v>865</v>
      </c>
      <c r="B98" s="8" t="s">
        <v>866</v>
      </c>
      <c r="C98" s="8" t="s">
        <v>743</v>
      </c>
      <c r="D98" s="8" t="s">
        <v>19</v>
      </c>
      <c r="E98" s="8" t="n">
        <v>33</v>
      </c>
      <c r="F98" s="11" t="n">
        <f aca="false">IF(D98="CBP",SUMIF(Itens!$A:$A,A98,Itens!$I:$I),SUMIF(Itens!$A:$A,A98,Itens!$J:$J))</f>
        <v>0</v>
      </c>
      <c r="G98" s="8" t="n">
        <f aca="false">MAX(0,E98-F98)</f>
        <v>33</v>
      </c>
      <c r="H98" s="14" t="n">
        <f aca="false">IF(E98=0,0,MIN(1,F98/E98))</f>
        <v>0</v>
      </c>
      <c r="I98" s="8" t="n">
        <f aca="false">MAX(0,F98-E98)</f>
        <v>0</v>
      </c>
      <c r="J98" s="8" t="n">
        <f aca="false">E98+I98</f>
        <v>33</v>
      </c>
      <c r="K98" s="8" t="str">
        <f aca="false">IF(I98=0,"OK",IF(D98="CBP","Complemento CBP","ERRO: excede CBTBE"))</f>
        <v>OK</v>
      </c>
    </row>
    <row r="99" customFormat="false" ht="15" hidden="false" customHeight="false" outlineLevel="0" collapsed="false">
      <c r="A99" s="8" t="s">
        <v>461</v>
      </c>
      <c r="B99" s="8" t="s">
        <v>462</v>
      </c>
      <c r="C99" s="8" t="s">
        <v>867</v>
      </c>
      <c r="D99" s="8" t="s">
        <v>19</v>
      </c>
      <c r="E99" s="8" t="n">
        <v>33</v>
      </c>
      <c r="F99" s="11" t="n">
        <f aca="false">IF(D99="CBP",SUMIF(Itens!$A:$A,A99,Itens!$I:$I),SUMIF(Itens!$A:$A,A99,Itens!$J:$J))</f>
        <v>26</v>
      </c>
      <c r="G99" s="8" t="n">
        <f aca="false">MAX(0,E99-F99)</f>
        <v>7</v>
      </c>
      <c r="H99" s="14" t="n">
        <f aca="false">IF(E99=0,0,MIN(1,F99/E99))</f>
        <v>0.787878787878788</v>
      </c>
      <c r="I99" s="8" t="n">
        <f aca="false">MAX(0,F99-E99)</f>
        <v>0</v>
      </c>
      <c r="J99" s="8" t="n">
        <f aca="false">E99+I99</f>
        <v>33</v>
      </c>
      <c r="K99" s="8" t="str">
        <f aca="false">IF(I99=0,"OK",IF(D99="CBP","Complemento CBP","ERRO: excede CBTBE"))</f>
        <v>OK</v>
      </c>
    </row>
    <row r="100" customFormat="false" ht="15" hidden="false" customHeight="false" outlineLevel="0" collapsed="false">
      <c r="A100" s="8" t="s">
        <v>687</v>
      </c>
      <c r="B100" s="8" t="s">
        <v>688</v>
      </c>
      <c r="C100" s="8" t="s">
        <v>806</v>
      </c>
      <c r="D100" s="8" t="s">
        <v>19</v>
      </c>
      <c r="E100" s="8" t="n">
        <v>32</v>
      </c>
      <c r="F100" s="11" t="n">
        <f aca="false">IF(D100="CBP",SUMIF(Itens!$A:$A,A100,Itens!$I:$I),SUMIF(Itens!$A:$A,A100,Itens!$J:$J))</f>
        <v>32</v>
      </c>
      <c r="G100" s="8" t="n">
        <f aca="false">MAX(0,E100-F100)</f>
        <v>0</v>
      </c>
      <c r="H100" s="14" t="n">
        <f aca="false">IF(E100=0,0,MIN(1,F100/E100))</f>
        <v>1</v>
      </c>
      <c r="I100" s="8" t="n">
        <f aca="false">MAX(0,F100-E100)</f>
        <v>0</v>
      </c>
      <c r="J100" s="8" t="n">
        <f aca="false">E100+I100</f>
        <v>32</v>
      </c>
      <c r="K100" s="8" t="str">
        <f aca="false">IF(I100=0,"OK",IF(D100="CBP","Complemento CBP","ERRO: excede CBTBE"))</f>
        <v>OK</v>
      </c>
    </row>
    <row r="101" customFormat="false" ht="15" hidden="false" customHeight="false" outlineLevel="0" collapsed="false">
      <c r="A101" s="8" t="s">
        <v>868</v>
      </c>
      <c r="B101" s="8" t="s">
        <v>869</v>
      </c>
      <c r="C101" s="8" t="s">
        <v>870</v>
      </c>
      <c r="D101" s="8" t="s">
        <v>19</v>
      </c>
      <c r="E101" s="8" t="n">
        <v>30</v>
      </c>
      <c r="F101" s="11" t="n">
        <f aca="false">IF(D101="CBP",SUMIF(Itens!$A:$A,A101,Itens!$I:$I),SUMIF(Itens!$A:$A,A101,Itens!$J:$J))</f>
        <v>0</v>
      </c>
      <c r="G101" s="8" t="n">
        <f aca="false">MAX(0,E101-F101)</f>
        <v>30</v>
      </c>
      <c r="H101" s="14" t="n">
        <f aca="false">IF(E101=0,0,MIN(1,F101/E101))</f>
        <v>0</v>
      </c>
      <c r="I101" s="8" t="n">
        <f aca="false">MAX(0,F101-E101)</f>
        <v>0</v>
      </c>
      <c r="J101" s="8" t="n">
        <f aca="false">E101+I101</f>
        <v>30</v>
      </c>
      <c r="K101" s="8" t="str">
        <f aca="false">IF(I101=0,"OK",IF(D101="CBP","Complemento CBP","ERRO: excede CBTBE"))</f>
        <v>OK</v>
      </c>
    </row>
    <row r="102" customFormat="false" ht="15" hidden="false" customHeight="false" outlineLevel="0" collapsed="false">
      <c r="A102" s="8" t="s">
        <v>871</v>
      </c>
      <c r="B102" s="8" t="s">
        <v>872</v>
      </c>
      <c r="C102" s="8" t="s">
        <v>873</v>
      </c>
      <c r="D102" s="8" t="s">
        <v>19</v>
      </c>
      <c r="E102" s="8" t="n">
        <v>30</v>
      </c>
      <c r="F102" s="11" t="n">
        <f aca="false">IF(D102="CBP",SUMIF(Itens!$A:$A,A102,Itens!$I:$I),SUMIF(Itens!$A:$A,A102,Itens!$J:$J))</f>
        <v>0</v>
      </c>
      <c r="G102" s="8" t="n">
        <f aca="false">MAX(0,E102-F102)</f>
        <v>30</v>
      </c>
      <c r="H102" s="14" t="n">
        <f aca="false">IF(E102=0,0,MIN(1,F102/E102))</f>
        <v>0</v>
      </c>
      <c r="I102" s="8" t="n">
        <f aca="false">MAX(0,F102-E102)</f>
        <v>0</v>
      </c>
      <c r="J102" s="8" t="n">
        <f aca="false">E102+I102</f>
        <v>30</v>
      </c>
      <c r="K102" s="8" t="str">
        <f aca="false">IF(I102=0,"OK",IF(D102="CBP","Complemento CBP","ERRO: excede CBTBE"))</f>
        <v>OK</v>
      </c>
    </row>
    <row r="103" customFormat="false" ht="15" hidden="false" customHeight="false" outlineLevel="0" collapsed="false">
      <c r="A103" s="8" t="s">
        <v>874</v>
      </c>
      <c r="B103" s="8" t="s">
        <v>875</v>
      </c>
      <c r="C103" s="8" t="s">
        <v>876</v>
      </c>
      <c r="D103" s="8" t="s">
        <v>19</v>
      </c>
      <c r="E103" s="8" t="n">
        <v>30</v>
      </c>
      <c r="F103" s="11" t="n">
        <f aca="false">IF(D103="CBP",SUMIF(Itens!$A:$A,A103,Itens!$I:$I),SUMIF(Itens!$A:$A,A103,Itens!$J:$J))</f>
        <v>0</v>
      </c>
      <c r="G103" s="8" t="n">
        <f aca="false">MAX(0,E103-F103)</f>
        <v>30</v>
      </c>
      <c r="H103" s="14" t="n">
        <f aca="false">IF(E103=0,0,MIN(1,F103/E103))</f>
        <v>0</v>
      </c>
      <c r="I103" s="8" t="n">
        <f aca="false">MAX(0,F103-E103)</f>
        <v>0</v>
      </c>
      <c r="J103" s="8" t="n">
        <f aca="false">E103+I103</f>
        <v>30</v>
      </c>
      <c r="K103" s="8" t="str">
        <f aca="false">IF(I103=0,"OK",IF(D103="CBP","Complemento CBP","ERRO: excede CBTBE"))</f>
        <v>OK</v>
      </c>
    </row>
    <row r="104" customFormat="false" ht="15" hidden="false" customHeight="false" outlineLevel="0" collapsed="false">
      <c r="A104" s="8" t="s">
        <v>877</v>
      </c>
      <c r="B104" s="8" t="s">
        <v>878</v>
      </c>
      <c r="C104" s="8" t="s">
        <v>792</v>
      </c>
      <c r="D104" s="8" t="s">
        <v>19</v>
      </c>
      <c r="E104" s="8" t="n">
        <v>30</v>
      </c>
      <c r="F104" s="11" t="n">
        <f aca="false">IF(D104="CBP",SUMIF(Itens!$A:$A,A104,Itens!$I:$I),SUMIF(Itens!$A:$A,A104,Itens!$J:$J))</f>
        <v>0</v>
      </c>
      <c r="G104" s="8" t="n">
        <f aca="false">MAX(0,E104-F104)</f>
        <v>30</v>
      </c>
      <c r="H104" s="14" t="n">
        <f aca="false">IF(E104=0,0,MIN(1,F104/E104))</f>
        <v>0</v>
      </c>
      <c r="I104" s="8" t="n">
        <f aca="false">MAX(0,F104-E104)</f>
        <v>0</v>
      </c>
      <c r="J104" s="8" t="n">
        <f aca="false">E104+I104</f>
        <v>30</v>
      </c>
      <c r="K104" s="8" t="str">
        <f aca="false">IF(I104=0,"OK",IF(D104="CBP","Complemento CBP","ERRO: excede CBTBE"))</f>
        <v>OK</v>
      </c>
    </row>
    <row r="105" customFormat="false" ht="15" hidden="false" customHeight="false" outlineLevel="0" collapsed="false">
      <c r="A105" s="8" t="s">
        <v>879</v>
      </c>
      <c r="B105" s="8" t="s">
        <v>880</v>
      </c>
      <c r="C105" s="8" t="s">
        <v>881</v>
      </c>
      <c r="D105" s="8" t="s">
        <v>19</v>
      </c>
      <c r="E105" s="8" t="n">
        <v>28</v>
      </c>
      <c r="F105" s="11" t="n">
        <f aca="false">IF(D105="CBP",SUMIF(Itens!$A:$A,A105,Itens!$I:$I),SUMIF(Itens!$A:$A,A105,Itens!$J:$J))</f>
        <v>0</v>
      </c>
      <c r="G105" s="8" t="n">
        <f aca="false">MAX(0,E105-F105)</f>
        <v>28</v>
      </c>
      <c r="H105" s="14" t="n">
        <f aca="false">IF(E105=0,0,MIN(1,F105/E105))</f>
        <v>0</v>
      </c>
      <c r="I105" s="8" t="n">
        <f aca="false">MAX(0,F105-E105)</f>
        <v>0</v>
      </c>
      <c r="J105" s="8" t="n">
        <f aca="false">E105+I105</f>
        <v>28</v>
      </c>
      <c r="K105" s="8" t="str">
        <f aca="false">IF(I105=0,"OK",IF(D105="CBP","Complemento CBP","ERRO: excede CBTBE"))</f>
        <v>OK</v>
      </c>
    </row>
    <row r="106" customFormat="false" ht="15" hidden="false" customHeight="false" outlineLevel="0" collapsed="false">
      <c r="A106" s="8" t="s">
        <v>882</v>
      </c>
      <c r="B106" s="8" t="s">
        <v>883</v>
      </c>
      <c r="C106" s="8" t="s">
        <v>884</v>
      </c>
      <c r="D106" s="8" t="s">
        <v>19</v>
      </c>
      <c r="E106" s="8" t="n">
        <v>28</v>
      </c>
      <c r="F106" s="11" t="n">
        <f aca="false">IF(D106="CBP",SUMIF(Itens!$A:$A,A106,Itens!$I:$I),SUMIF(Itens!$A:$A,A106,Itens!$J:$J))</f>
        <v>0</v>
      </c>
      <c r="G106" s="8" t="n">
        <f aca="false">MAX(0,E106-F106)</f>
        <v>28</v>
      </c>
      <c r="H106" s="14" t="n">
        <f aca="false">IF(E106=0,0,MIN(1,F106/E106))</f>
        <v>0</v>
      </c>
      <c r="I106" s="8" t="n">
        <f aca="false">MAX(0,F106-E106)</f>
        <v>0</v>
      </c>
      <c r="J106" s="8" t="n">
        <f aca="false">E106+I106</f>
        <v>28</v>
      </c>
      <c r="K106" s="8" t="str">
        <f aca="false">IF(I106=0,"OK",IF(D106="CBP","Complemento CBP","ERRO: excede CBTBE"))</f>
        <v>OK</v>
      </c>
    </row>
    <row r="107" customFormat="false" ht="15" hidden="false" customHeight="false" outlineLevel="0" collapsed="false">
      <c r="A107" s="8" t="s">
        <v>627</v>
      </c>
      <c r="B107" s="8" t="s">
        <v>628</v>
      </c>
      <c r="C107" s="8" t="s">
        <v>885</v>
      </c>
      <c r="D107" s="8" t="s">
        <v>19</v>
      </c>
      <c r="E107" s="8" t="n">
        <v>28</v>
      </c>
      <c r="F107" s="11" t="n">
        <f aca="false">IF(D107="CBP",SUMIF(Itens!$A:$A,A107,Itens!$I:$I),SUMIF(Itens!$A:$A,A107,Itens!$J:$J))</f>
        <v>28</v>
      </c>
      <c r="G107" s="8" t="n">
        <f aca="false">MAX(0,E107-F107)</f>
        <v>0</v>
      </c>
      <c r="H107" s="14" t="n">
        <f aca="false">IF(E107=0,0,MIN(1,F107/E107))</f>
        <v>1</v>
      </c>
      <c r="I107" s="8" t="n">
        <f aca="false">MAX(0,F107-E107)</f>
        <v>0</v>
      </c>
      <c r="J107" s="8" t="n">
        <f aca="false">E107+I107</f>
        <v>28</v>
      </c>
      <c r="K107" s="8" t="str">
        <f aca="false">IF(I107=0,"OK",IF(D107="CBP","Complemento CBP","ERRO: excede CBTBE"))</f>
        <v>OK</v>
      </c>
    </row>
    <row r="108" customFormat="false" ht="15" hidden="false" customHeight="false" outlineLevel="0" collapsed="false">
      <c r="A108" s="8" t="s">
        <v>886</v>
      </c>
      <c r="B108" s="8" t="s">
        <v>887</v>
      </c>
      <c r="C108" s="8" t="s">
        <v>888</v>
      </c>
      <c r="D108" s="8" t="s">
        <v>19</v>
      </c>
      <c r="E108" s="8" t="n">
        <v>28</v>
      </c>
      <c r="F108" s="11" t="n">
        <f aca="false">IF(D108="CBP",SUMIF(Itens!$A:$A,A108,Itens!$I:$I),SUMIF(Itens!$A:$A,A108,Itens!$J:$J))</f>
        <v>0</v>
      </c>
      <c r="G108" s="8" t="n">
        <f aca="false">MAX(0,E108-F108)</f>
        <v>28</v>
      </c>
      <c r="H108" s="14" t="n">
        <f aca="false">IF(E108=0,0,MIN(1,F108/E108))</f>
        <v>0</v>
      </c>
      <c r="I108" s="8" t="n">
        <f aca="false">MAX(0,F108-E108)</f>
        <v>0</v>
      </c>
      <c r="J108" s="8" t="n">
        <f aca="false">E108+I108</f>
        <v>28</v>
      </c>
      <c r="K108" s="8" t="str">
        <f aca="false">IF(I108=0,"OK",IF(D108="CBP","Complemento CBP","ERRO: excede CBTBE"))</f>
        <v>OK</v>
      </c>
    </row>
    <row r="109" customFormat="false" ht="15" hidden="false" customHeight="false" outlineLevel="0" collapsed="false">
      <c r="A109" s="8" t="s">
        <v>443</v>
      </c>
      <c r="B109" s="8" t="s">
        <v>444</v>
      </c>
      <c r="C109" s="8" t="s">
        <v>846</v>
      </c>
      <c r="D109" s="8" t="s">
        <v>19</v>
      </c>
      <c r="E109" s="8" t="n">
        <v>28</v>
      </c>
      <c r="F109" s="11" t="n">
        <f aca="false">IF(D109="CBP",SUMIF(Itens!$A:$A,A109,Itens!$I:$I),SUMIF(Itens!$A:$A,A109,Itens!$J:$J))</f>
        <v>56</v>
      </c>
      <c r="G109" s="8" t="n">
        <f aca="false">MAX(0,E109-F109)</f>
        <v>0</v>
      </c>
      <c r="H109" s="14" t="n">
        <f aca="false">IF(E109=0,0,MIN(1,F109/E109))</f>
        <v>1</v>
      </c>
      <c r="I109" s="8" t="n">
        <f aca="false">MAX(0,F109-E109)</f>
        <v>28</v>
      </c>
      <c r="J109" s="8" t="n">
        <f aca="false">E109+I109</f>
        <v>56</v>
      </c>
      <c r="K109" s="8" t="str">
        <f aca="false">IF(I109=0,"OK",IF(D109="CBP","Complemento CBP","ERRO: excede CBTBE"))</f>
        <v>Complemento CBP</v>
      </c>
    </row>
    <row r="110" customFormat="false" ht="15" hidden="false" customHeight="false" outlineLevel="0" collapsed="false">
      <c r="A110" s="8" t="s">
        <v>589</v>
      </c>
      <c r="B110" s="8" t="s">
        <v>590</v>
      </c>
      <c r="C110" s="8" t="s">
        <v>889</v>
      </c>
      <c r="D110" s="8" t="s">
        <v>19</v>
      </c>
      <c r="E110" s="8" t="n">
        <v>28</v>
      </c>
      <c r="F110" s="11" t="n">
        <f aca="false">IF(D110="CBP",SUMIF(Itens!$A:$A,A110,Itens!$I:$I),SUMIF(Itens!$A:$A,A110,Itens!$J:$J))</f>
        <v>28</v>
      </c>
      <c r="G110" s="8" t="n">
        <f aca="false">MAX(0,E110-F110)</f>
        <v>0</v>
      </c>
      <c r="H110" s="14" t="n">
        <f aca="false">IF(E110=0,0,MIN(1,F110/E110))</f>
        <v>1</v>
      </c>
      <c r="I110" s="8" t="n">
        <f aca="false">MAX(0,F110-E110)</f>
        <v>0</v>
      </c>
      <c r="J110" s="8" t="n">
        <f aca="false">E110+I110</f>
        <v>28</v>
      </c>
      <c r="K110" s="8" t="str">
        <f aca="false">IF(I110=0,"OK",IF(D110="CBP","Complemento CBP","ERRO: excede CBTBE"))</f>
        <v>OK</v>
      </c>
    </row>
    <row r="111" customFormat="false" ht="15" hidden="false" customHeight="false" outlineLevel="0" collapsed="false">
      <c r="A111" s="8" t="s">
        <v>890</v>
      </c>
      <c r="B111" s="8" t="s">
        <v>891</v>
      </c>
      <c r="C111" s="8" t="s">
        <v>892</v>
      </c>
      <c r="D111" s="8" t="s">
        <v>19</v>
      </c>
      <c r="E111" s="8" t="n">
        <v>27</v>
      </c>
      <c r="F111" s="11" t="n">
        <f aca="false">IF(D111="CBP",SUMIF(Itens!$A:$A,A111,Itens!$I:$I),SUMIF(Itens!$A:$A,A111,Itens!$J:$J))</f>
        <v>0</v>
      </c>
      <c r="G111" s="8" t="n">
        <f aca="false">MAX(0,E111-F111)</f>
        <v>27</v>
      </c>
      <c r="H111" s="14" t="n">
        <f aca="false">IF(E111=0,0,MIN(1,F111/E111))</f>
        <v>0</v>
      </c>
      <c r="I111" s="8" t="n">
        <f aca="false">MAX(0,F111-E111)</f>
        <v>0</v>
      </c>
      <c r="J111" s="8" t="n">
        <f aca="false">E111+I111</f>
        <v>27</v>
      </c>
      <c r="K111" s="8" t="str">
        <f aca="false">IF(I111=0,"OK",IF(D111="CBP","Complemento CBP","ERRO: excede CBTBE"))</f>
        <v>OK</v>
      </c>
    </row>
    <row r="112" customFormat="false" ht="15" hidden="false" customHeight="false" outlineLevel="0" collapsed="false">
      <c r="A112" s="8" t="s">
        <v>893</v>
      </c>
      <c r="B112" s="8" t="s">
        <v>894</v>
      </c>
      <c r="C112" s="8" t="s">
        <v>732</v>
      </c>
      <c r="D112" s="8" t="s">
        <v>19</v>
      </c>
      <c r="E112" s="8" t="n">
        <v>27</v>
      </c>
      <c r="F112" s="11" t="n">
        <f aca="false">IF(D112="CBP",SUMIF(Itens!$A:$A,A112,Itens!$I:$I),SUMIF(Itens!$A:$A,A112,Itens!$J:$J))</f>
        <v>0</v>
      </c>
      <c r="G112" s="8" t="n">
        <f aca="false">MAX(0,E112-F112)</f>
        <v>27</v>
      </c>
      <c r="H112" s="14" t="n">
        <f aca="false">IF(E112=0,0,MIN(1,F112/E112))</f>
        <v>0</v>
      </c>
      <c r="I112" s="8" t="n">
        <f aca="false">MAX(0,F112-E112)</f>
        <v>0</v>
      </c>
      <c r="J112" s="8" t="n">
        <f aca="false">E112+I112</f>
        <v>27</v>
      </c>
      <c r="K112" s="8" t="str">
        <f aca="false">IF(I112=0,"OK",IF(D112="CBP","Complemento CBP","ERRO: excede CBTBE"))</f>
        <v>OK</v>
      </c>
    </row>
    <row r="113" customFormat="false" ht="15" hidden="false" customHeight="false" outlineLevel="0" collapsed="false">
      <c r="A113" s="8" t="s">
        <v>697</v>
      </c>
      <c r="B113" s="8" t="s">
        <v>698</v>
      </c>
      <c r="C113" s="8" t="s">
        <v>895</v>
      </c>
      <c r="D113" s="8" t="s">
        <v>19</v>
      </c>
      <c r="E113" s="8" t="n">
        <v>27</v>
      </c>
      <c r="F113" s="11" t="n">
        <f aca="false">IF(D113="CBP",SUMIF(Itens!$A:$A,A113,Itens!$I:$I),SUMIF(Itens!$A:$A,A113,Itens!$J:$J))</f>
        <v>27</v>
      </c>
      <c r="G113" s="8" t="n">
        <f aca="false">MAX(0,E113-F113)</f>
        <v>0</v>
      </c>
      <c r="H113" s="14" t="n">
        <f aca="false">IF(E113=0,0,MIN(1,F113/E113))</f>
        <v>1</v>
      </c>
      <c r="I113" s="8" t="n">
        <f aca="false">MAX(0,F113-E113)</f>
        <v>0</v>
      </c>
      <c r="J113" s="8" t="n">
        <f aca="false">E113+I113</f>
        <v>27</v>
      </c>
      <c r="K113" s="8" t="str">
        <f aca="false">IF(I113=0,"OK",IF(D113="CBP","Complemento CBP","ERRO: excede CBTBE"))</f>
        <v>OK</v>
      </c>
    </row>
    <row r="114" customFormat="false" ht="15" hidden="false" customHeight="false" outlineLevel="0" collapsed="false">
      <c r="A114" s="8" t="s">
        <v>896</v>
      </c>
      <c r="B114" s="8" t="s">
        <v>897</v>
      </c>
      <c r="C114" s="8" t="s">
        <v>898</v>
      </c>
      <c r="D114" s="8" t="s">
        <v>19</v>
      </c>
      <c r="E114" s="8" t="n">
        <v>25</v>
      </c>
      <c r="F114" s="11" t="n">
        <f aca="false">IF(D114="CBP",SUMIF(Itens!$A:$A,A114,Itens!$I:$I),SUMIF(Itens!$A:$A,A114,Itens!$J:$J))</f>
        <v>0</v>
      </c>
      <c r="G114" s="8" t="n">
        <f aca="false">MAX(0,E114-F114)</f>
        <v>25</v>
      </c>
      <c r="H114" s="14" t="n">
        <f aca="false">IF(E114=0,0,MIN(1,F114/E114))</f>
        <v>0</v>
      </c>
      <c r="I114" s="8" t="n">
        <f aca="false">MAX(0,F114-E114)</f>
        <v>0</v>
      </c>
      <c r="J114" s="8" t="n">
        <f aca="false">E114+I114</f>
        <v>25</v>
      </c>
      <c r="K114" s="8" t="str">
        <f aca="false">IF(I114=0,"OK",IF(D114="CBP","Complemento CBP","ERRO: excede CBTBE"))</f>
        <v>OK</v>
      </c>
    </row>
    <row r="115" customFormat="false" ht="15" hidden="false" customHeight="false" outlineLevel="0" collapsed="false">
      <c r="A115" s="8" t="s">
        <v>495</v>
      </c>
      <c r="B115" s="8" t="s">
        <v>496</v>
      </c>
      <c r="C115" s="8" t="s">
        <v>899</v>
      </c>
      <c r="D115" s="8" t="s">
        <v>19</v>
      </c>
      <c r="E115" s="8" t="n">
        <v>25</v>
      </c>
      <c r="F115" s="11" t="n">
        <f aca="false">IF(D115="CBP",SUMIF(Itens!$A:$A,A115,Itens!$I:$I),SUMIF(Itens!$A:$A,A115,Itens!$J:$J))</f>
        <v>44</v>
      </c>
      <c r="G115" s="8" t="n">
        <f aca="false">MAX(0,E115-F115)</f>
        <v>0</v>
      </c>
      <c r="H115" s="14" t="n">
        <f aca="false">IF(E115=0,0,MIN(1,F115/E115))</f>
        <v>1</v>
      </c>
      <c r="I115" s="8" t="n">
        <f aca="false">MAX(0,F115-E115)</f>
        <v>19</v>
      </c>
      <c r="J115" s="8" t="n">
        <f aca="false">E115+I115</f>
        <v>44</v>
      </c>
      <c r="K115" s="8" t="str">
        <f aca="false">IF(I115=0,"OK",IF(D115="CBP","Complemento CBP","ERRO: excede CBTBE"))</f>
        <v>Complemento CBP</v>
      </c>
    </row>
    <row r="116" customFormat="false" ht="15" hidden="false" customHeight="false" outlineLevel="0" collapsed="false">
      <c r="A116" s="8" t="s">
        <v>467</v>
      </c>
      <c r="B116" s="8" t="s">
        <v>468</v>
      </c>
      <c r="C116" s="8" t="s">
        <v>900</v>
      </c>
      <c r="D116" s="8" t="s">
        <v>19</v>
      </c>
      <c r="E116" s="8" t="n">
        <v>25</v>
      </c>
      <c r="F116" s="11" t="n">
        <f aca="false">IF(D116="CBP",SUMIF(Itens!$A:$A,A116,Itens!$I:$I),SUMIF(Itens!$A:$A,A116,Itens!$J:$J))</f>
        <v>25</v>
      </c>
      <c r="G116" s="8" t="n">
        <f aca="false">MAX(0,E116-F116)</f>
        <v>0</v>
      </c>
      <c r="H116" s="14" t="n">
        <f aca="false">IF(E116=0,0,MIN(1,F116/E116))</f>
        <v>1</v>
      </c>
      <c r="I116" s="8" t="n">
        <f aca="false">MAX(0,F116-E116)</f>
        <v>0</v>
      </c>
      <c r="J116" s="8" t="n">
        <f aca="false">E116+I116</f>
        <v>25</v>
      </c>
      <c r="K116" s="8" t="str">
        <f aca="false">IF(I116=0,"OK",IF(D116="CBP","Complemento CBP","ERRO: excede CBTBE"))</f>
        <v>OK</v>
      </c>
    </row>
    <row r="117" customFormat="false" ht="15" hidden="false" customHeight="false" outlineLevel="0" collapsed="false">
      <c r="A117" s="8" t="s">
        <v>901</v>
      </c>
      <c r="B117" s="8" t="s">
        <v>902</v>
      </c>
      <c r="C117" s="8" t="s">
        <v>903</v>
      </c>
      <c r="D117" s="8" t="s">
        <v>19</v>
      </c>
      <c r="E117" s="8" t="n">
        <v>25</v>
      </c>
      <c r="F117" s="11" t="n">
        <f aca="false">IF(D117="CBP",SUMIF(Itens!$A:$A,A117,Itens!$I:$I),SUMIF(Itens!$A:$A,A117,Itens!$J:$J))</f>
        <v>0</v>
      </c>
      <c r="G117" s="8" t="n">
        <f aca="false">MAX(0,E117-F117)</f>
        <v>25</v>
      </c>
      <c r="H117" s="14" t="n">
        <f aca="false">IF(E117=0,0,MIN(1,F117/E117))</f>
        <v>0</v>
      </c>
      <c r="I117" s="8" t="n">
        <f aca="false">MAX(0,F117-E117)</f>
        <v>0</v>
      </c>
      <c r="J117" s="8" t="n">
        <f aca="false">E117+I117</f>
        <v>25</v>
      </c>
      <c r="K117" s="8" t="str">
        <f aca="false">IF(I117=0,"OK",IF(D117="CBP","Complemento CBP","ERRO: excede CBTBE"))</f>
        <v>OK</v>
      </c>
    </row>
    <row r="118" customFormat="false" ht="15" hidden="false" customHeight="false" outlineLevel="0" collapsed="false">
      <c r="A118" s="8" t="s">
        <v>473</v>
      </c>
      <c r="B118" s="8" t="s">
        <v>474</v>
      </c>
      <c r="C118" s="8" t="s">
        <v>904</v>
      </c>
      <c r="D118" s="8" t="s">
        <v>19</v>
      </c>
      <c r="E118" s="8" t="n">
        <v>25</v>
      </c>
      <c r="F118" s="11" t="n">
        <f aca="false">IF(D118="CBP",SUMIF(Itens!$A:$A,A118,Itens!$I:$I),SUMIF(Itens!$A:$A,A118,Itens!$J:$J))</f>
        <v>25</v>
      </c>
      <c r="G118" s="8" t="n">
        <f aca="false">MAX(0,E118-F118)</f>
        <v>0</v>
      </c>
      <c r="H118" s="14" t="n">
        <f aca="false">IF(E118=0,0,MIN(1,F118/E118))</f>
        <v>1</v>
      </c>
      <c r="I118" s="8" t="n">
        <f aca="false">MAX(0,F118-E118)</f>
        <v>0</v>
      </c>
      <c r="J118" s="8" t="n">
        <f aca="false">E118+I118</f>
        <v>25</v>
      </c>
      <c r="K118" s="8" t="str">
        <f aca="false">IF(I118=0,"OK",IF(D118="CBP","Complemento CBP","ERRO: excede CBTBE"))</f>
        <v>OK</v>
      </c>
    </row>
    <row r="119" customFormat="false" ht="15" hidden="false" customHeight="false" outlineLevel="0" collapsed="false">
      <c r="A119" s="8" t="s">
        <v>905</v>
      </c>
      <c r="B119" s="8" t="s">
        <v>906</v>
      </c>
      <c r="C119" s="8" t="s">
        <v>828</v>
      </c>
      <c r="D119" s="8" t="s">
        <v>19</v>
      </c>
      <c r="E119" s="8" t="n">
        <v>23</v>
      </c>
      <c r="F119" s="11" t="n">
        <f aca="false">IF(D119="CBP",SUMIF(Itens!$A:$A,A119,Itens!$I:$I),SUMIF(Itens!$A:$A,A119,Itens!$J:$J))</f>
        <v>0</v>
      </c>
      <c r="G119" s="8" t="n">
        <f aca="false">MAX(0,E119-F119)</f>
        <v>23</v>
      </c>
      <c r="H119" s="14" t="n">
        <f aca="false">IF(E119=0,0,MIN(1,F119/E119))</f>
        <v>0</v>
      </c>
      <c r="I119" s="8" t="n">
        <f aca="false">MAX(0,F119-E119)</f>
        <v>0</v>
      </c>
      <c r="J119" s="8" t="n">
        <f aca="false">E119+I119</f>
        <v>23</v>
      </c>
      <c r="K119" s="8" t="str">
        <f aca="false">IF(I119=0,"OK",IF(D119="CBP","Complemento CBP","ERRO: excede CBTBE"))</f>
        <v>OK</v>
      </c>
    </row>
    <row r="120" customFormat="false" ht="15" hidden="false" customHeight="false" outlineLevel="0" collapsed="false">
      <c r="A120" s="8" t="s">
        <v>907</v>
      </c>
      <c r="B120" s="8" t="s">
        <v>908</v>
      </c>
      <c r="C120" s="8" t="s">
        <v>909</v>
      </c>
      <c r="D120" s="8" t="s">
        <v>19</v>
      </c>
      <c r="E120" s="8" t="n">
        <v>23</v>
      </c>
      <c r="F120" s="11" t="n">
        <f aca="false">IF(D120="CBP",SUMIF(Itens!$A:$A,A120,Itens!$I:$I),SUMIF(Itens!$A:$A,A120,Itens!$J:$J))</f>
        <v>0</v>
      </c>
      <c r="G120" s="8" t="n">
        <f aca="false">MAX(0,E120-F120)</f>
        <v>23</v>
      </c>
      <c r="H120" s="14" t="n">
        <f aca="false">IF(E120=0,0,MIN(1,F120/E120))</f>
        <v>0</v>
      </c>
      <c r="I120" s="8" t="n">
        <f aca="false">MAX(0,F120-E120)</f>
        <v>0</v>
      </c>
      <c r="J120" s="8" t="n">
        <f aca="false">E120+I120</f>
        <v>23</v>
      </c>
      <c r="K120" s="8" t="str">
        <f aca="false">IF(I120=0,"OK",IF(D120="CBP","Complemento CBP","ERRO: excede CBTBE"))</f>
        <v>OK</v>
      </c>
    </row>
    <row r="121" customFormat="false" ht="15" hidden="false" customHeight="false" outlineLevel="0" collapsed="false">
      <c r="A121" s="8" t="s">
        <v>910</v>
      </c>
      <c r="B121" s="8" t="s">
        <v>911</v>
      </c>
      <c r="C121" s="8" t="s">
        <v>912</v>
      </c>
      <c r="D121" s="8" t="s">
        <v>19</v>
      </c>
      <c r="E121" s="8" t="n">
        <v>23</v>
      </c>
      <c r="F121" s="11" t="n">
        <f aca="false">IF(D121="CBP",SUMIF(Itens!$A:$A,A121,Itens!$I:$I),SUMIF(Itens!$A:$A,A121,Itens!$J:$J))</f>
        <v>0</v>
      </c>
      <c r="G121" s="8" t="n">
        <f aca="false">MAX(0,E121-F121)</f>
        <v>23</v>
      </c>
      <c r="H121" s="14" t="n">
        <f aca="false">IF(E121=0,0,MIN(1,F121/E121))</f>
        <v>0</v>
      </c>
      <c r="I121" s="8" t="n">
        <f aca="false">MAX(0,F121-E121)</f>
        <v>0</v>
      </c>
      <c r="J121" s="8" t="n">
        <f aca="false">E121+I121</f>
        <v>23</v>
      </c>
      <c r="K121" s="8" t="str">
        <f aca="false">IF(I121=0,"OK",IF(D121="CBP","Complemento CBP","ERRO: excede CBTBE"))</f>
        <v>OK</v>
      </c>
    </row>
    <row r="122" customFormat="false" ht="15" hidden="false" customHeight="false" outlineLevel="0" collapsed="false">
      <c r="A122" s="8" t="s">
        <v>913</v>
      </c>
      <c r="B122" s="8" t="s">
        <v>914</v>
      </c>
      <c r="C122" s="8" t="s">
        <v>915</v>
      </c>
      <c r="D122" s="8" t="s">
        <v>19</v>
      </c>
      <c r="E122" s="8" t="n">
        <v>23</v>
      </c>
      <c r="F122" s="11" t="n">
        <f aca="false">IF(D122="CBP",SUMIF(Itens!$A:$A,A122,Itens!$I:$I),SUMIF(Itens!$A:$A,A122,Itens!$J:$J))</f>
        <v>0</v>
      </c>
      <c r="G122" s="8" t="n">
        <f aca="false">MAX(0,E122-F122)</f>
        <v>23</v>
      </c>
      <c r="H122" s="14" t="n">
        <f aca="false">IF(E122=0,0,MIN(1,F122/E122))</f>
        <v>0</v>
      </c>
      <c r="I122" s="8" t="n">
        <f aca="false">MAX(0,F122-E122)</f>
        <v>0</v>
      </c>
      <c r="J122" s="8" t="n">
        <f aca="false">E122+I122</f>
        <v>23</v>
      </c>
      <c r="K122" s="8" t="str">
        <f aca="false">IF(I122=0,"OK",IF(D122="CBP","Complemento CBP","ERRO: excede CBTBE"))</f>
        <v>OK</v>
      </c>
    </row>
    <row r="123" customFormat="false" ht="15" hidden="false" customHeight="false" outlineLevel="0" collapsed="false">
      <c r="A123" s="8" t="s">
        <v>647</v>
      </c>
      <c r="B123" s="8" t="s">
        <v>648</v>
      </c>
      <c r="C123" s="8" t="s">
        <v>916</v>
      </c>
      <c r="D123" s="8" t="s">
        <v>19</v>
      </c>
      <c r="E123" s="8" t="n">
        <v>23</v>
      </c>
      <c r="F123" s="11" t="n">
        <f aca="false">IF(D123="CBP",SUMIF(Itens!$A:$A,A123,Itens!$I:$I),SUMIF(Itens!$A:$A,A123,Itens!$J:$J))</f>
        <v>23</v>
      </c>
      <c r="G123" s="8" t="n">
        <f aca="false">MAX(0,E123-F123)</f>
        <v>0</v>
      </c>
      <c r="H123" s="14" t="n">
        <f aca="false">IF(E123=0,0,MIN(1,F123/E123))</f>
        <v>1</v>
      </c>
      <c r="I123" s="8" t="n">
        <f aca="false">MAX(0,F123-E123)</f>
        <v>0</v>
      </c>
      <c r="J123" s="8" t="n">
        <f aca="false">E123+I123</f>
        <v>23</v>
      </c>
      <c r="K123" s="8" t="str">
        <f aca="false">IF(I123=0,"OK",IF(D123="CBP","Complemento CBP","ERRO: excede CBTBE"))</f>
        <v>OK</v>
      </c>
    </row>
    <row r="124" customFormat="false" ht="15" hidden="false" customHeight="false" outlineLevel="0" collapsed="false">
      <c r="A124" s="8" t="s">
        <v>603</v>
      </c>
      <c r="B124" s="8" t="s">
        <v>604</v>
      </c>
      <c r="C124" s="8" t="s">
        <v>917</v>
      </c>
      <c r="D124" s="8" t="s">
        <v>19</v>
      </c>
      <c r="E124" s="8" t="n">
        <v>23</v>
      </c>
      <c r="F124" s="11" t="n">
        <f aca="false">IF(D124="CBP",SUMIF(Itens!$A:$A,A124,Itens!$I:$I),SUMIF(Itens!$A:$A,A124,Itens!$J:$J))</f>
        <v>23</v>
      </c>
      <c r="G124" s="8" t="n">
        <f aca="false">MAX(0,E124-F124)</f>
        <v>0</v>
      </c>
      <c r="H124" s="14" t="n">
        <f aca="false">IF(E124=0,0,MIN(1,F124/E124))</f>
        <v>1</v>
      </c>
      <c r="I124" s="8" t="n">
        <f aca="false">MAX(0,F124-E124)</f>
        <v>0</v>
      </c>
      <c r="J124" s="8" t="n">
        <f aca="false">E124+I124</f>
        <v>23</v>
      </c>
      <c r="K124" s="8" t="str">
        <f aca="false">IF(I124=0,"OK",IF(D124="CBP","Complemento CBP","ERRO: excede CBTBE"))</f>
        <v>OK</v>
      </c>
    </row>
    <row r="125" customFormat="false" ht="15" hidden="false" customHeight="false" outlineLevel="0" collapsed="false">
      <c r="A125" s="8" t="s">
        <v>525</v>
      </c>
      <c r="B125" s="8" t="s">
        <v>526</v>
      </c>
      <c r="C125" s="8" t="s">
        <v>918</v>
      </c>
      <c r="D125" s="8" t="s">
        <v>19</v>
      </c>
      <c r="E125" s="8" t="n">
        <v>23</v>
      </c>
      <c r="F125" s="11" t="n">
        <f aca="false">IF(D125="CBP",SUMIF(Itens!$A:$A,A125,Itens!$I:$I),SUMIF(Itens!$A:$A,A125,Itens!$J:$J))</f>
        <v>23</v>
      </c>
      <c r="G125" s="8" t="n">
        <f aca="false">MAX(0,E125-F125)</f>
        <v>0</v>
      </c>
      <c r="H125" s="14" t="n">
        <f aca="false">IF(E125=0,0,MIN(1,F125/E125))</f>
        <v>1</v>
      </c>
      <c r="I125" s="8" t="n">
        <f aca="false">MAX(0,F125-E125)</f>
        <v>0</v>
      </c>
      <c r="J125" s="8" t="n">
        <f aca="false">E125+I125</f>
        <v>23</v>
      </c>
      <c r="K125" s="8" t="str">
        <f aca="false">IF(I125=0,"OK",IF(D125="CBP","Complemento CBP","ERRO: excede CBTBE"))</f>
        <v>OK</v>
      </c>
    </row>
    <row r="126" customFormat="false" ht="15" hidden="false" customHeight="false" outlineLevel="0" collapsed="false">
      <c r="A126" s="8" t="s">
        <v>919</v>
      </c>
      <c r="B126" s="8" t="s">
        <v>920</v>
      </c>
      <c r="C126" s="8" t="s">
        <v>921</v>
      </c>
      <c r="D126" s="8" t="s">
        <v>19</v>
      </c>
      <c r="E126" s="8" t="n">
        <v>20</v>
      </c>
      <c r="F126" s="11" t="n">
        <f aca="false">IF(D126="CBP",SUMIF(Itens!$A:$A,A126,Itens!$I:$I),SUMIF(Itens!$A:$A,A126,Itens!$J:$J))</f>
        <v>0</v>
      </c>
      <c r="G126" s="8" t="n">
        <f aca="false">MAX(0,E126-F126)</f>
        <v>20</v>
      </c>
      <c r="H126" s="14" t="n">
        <f aca="false">IF(E126=0,0,MIN(1,F126/E126))</f>
        <v>0</v>
      </c>
      <c r="I126" s="8" t="n">
        <f aca="false">MAX(0,F126-E126)</f>
        <v>0</v>
      </c>
      <c r="J126" s="8" t="n">
        <f aca="false">E126+I126</f>
        <v>20</v>
      </c>
      <c r="K126" s="8" t="str">
        <f aca="false">IF(I126=0,"OK",IF(D126="CBP","Complemento CBP","ERRO: excede CBTBE"))</f>
        <v>OK</v>
      </c>
    </row>
    <row r="127" customFormat="false" ht="15" hidden="false" customHeight="false" outlineLevel="0" collapsed="false">
      <c r="A127" s="8" t="s">
        <v>922</v>
      </c>
      <c r="B127" s="8" t="s">
        <v>923</v>
      </c>
      <c r="C127" s="8" t="s">
        <v>825</v>
      </c>
      <c r="D127" s="8" t="s">
        <v>19</v>
      </c>
      <c r="E127" s="8" t="n">
        <v>20</v>
      </c>
      <c r="F127" s="11" t="n">
        <f aca="false">IF(D127="CBP",SUMIF(Itens!$A:$A,A127,Itens!$I:$I),SUMIF(Itens!$A:$A,A127,Itens!$J:$J))</f>
        <v>0</v>
      </c>
      <c r="G127" s="8" t="n">
        <f aca="false">MAX(0,E127-F127)</f>
        <v>20</v>
      </c>
      <c r="H127" s="14" t="n">
        <f aca="false">IF(E127=0,0,MIN(1,F127/E127))</f>
        <v>0</v>
      </c>
      <c r="I127" s="8" t="n">
        <f aca="false">MAX(0,F127-E127)</f>
        <v>0</v>
      </c>
      <c r="J127" s="8" t="n">
        <f aca="false">E127+I127</f>
        <v>20</v>
      </c>
      <c r="K127" s="8" t="str">
        <f aca="false">IF(I127=0,"OK",IF(D127="CBP","Complemento CBP","ERRO: excede CBTBE"))</f>
        <v>OK</v>
      </c>
    </row>
    <row r="128" customFormat="false" ht="15" hidden="false" customHeight="false" outlineLevel="0" collapsed="false">
      <c r="A128" s="8" t="s">
        <v>924</v>
      </c>
      <c r="B128" s="8" t="s">
        <v>925</v>
      </c>
      <c r="C128" s="8" t="s">
        <v>926</v>
      </c>
      <c r="D128" s="8" t="s">
        <v>19</v>
      </c>
      <c r="E128" s="8" t="n">
        <v>20</v>
      </c>
      <c r="F128" s="11" t="n">
        <f aca="false">IF(D128="CBP",SUMIF(Itens!$A:$A,A128,Itens!$I:$I),SUMIF(Itens!$A:$A,A128,Itens!$J:$J))</f>
        <v>0</v>
      </c>
      <c r="G128" s="8" t="n">
        <f aca="false">MAX(0,E128-F128)</f>
        <v>20</v>
      </c>
      <c r="H128" s="14" t="n">
        <f aca="false">IF(E128=0,0,MIN(1,F128/E128))</f>
        <v>0</v>
      </c>
      <c r="I128" s="8" t="n">
        <f aca="false">MAX(0,F128-E128)</f>
        <v>0</v>
      </c>
      <c r="J128" s="8" t="n">
        <f aca="false">E128+I128</f>
        <v>20</v>
      </c>
      <c r="K128" s="8" t="str">
        <f aca="false">IF(I128=0,"OK",IF(D128="CBP","Complemento CBP","ERRO: excede CBTBE"))</f>
        <v>OK</v>
      </c>
    </row>
    <row r="129" customFormat="false" ht="15" hidden="false" customHeight="false" outlineLevel="0" collapsed="false">
      <c r="A129" s="8" t="s">
        <v>927</v>
      </c>
      <c r="B129" s="8" t="s">
        <v>928</v>
      </c>
      <c r="C129" s="8" t="s">
        <v>929</v>
      </c>
      <c r="D129" s="8" t="s">
        <v>19</v>
      </c>
      <c r="E129" s="8" t="n">
        <v>20</v>
      </c>
      <c r="F129" s="11" t="n">
        <f aca="false">IF(D129="CBP",SUMIF(Itens!$A:$A,A129,Itens!$I:$I),SUMIF(Itens!$A:$A,A129,Itens!$J:$J))</f>
        <v>0</v>
      </c>
      <c r="G129" s="8" t="n">
        <f aca="false">MAX(0,E129-F129)</f>
        <v>20</v>
      </c>
      <c r="H129" s="14" t="n">
        <f aca="false">IF(E129=0,0,MIN(1,F129/E129))</f>
        <v>0</v>
      </c>
      <c r="I129" s="8" t="n">
        <f aca="false">MAX(0,F129-E129)</f>
        <v>0</v>
      </c>
      <c r="J129" s="8" t="n">
        <f aca="false">E129+I129</f>
        <v>20</v>
      </c>
      <c r="K129" s="8" t="str">
        <f aca="false">IF(I129=0,"OK",IF(D129="CBP","Complemento CBP","ERRO: excede CBTBE"))</f>
        <v>OK</v>
      </c>
    </row>
    <row r="130" customFormat="false" ht="15" hidden="false" customHeight="false" outlineLevel="0" collapsed="false">
      <c r="A130" s="8" t="s">
        <v>930</v>
      </c>
      <c r="B130" s="8" t="s">
        <v>931</v>
      </c>
      <c r="C130" s="8" t="s">
        <v>932</v>
      </c>
      <c r="D130" s="8" t="s">
        <v>19</v>
      </c>
      <c r="E130" s="8" t="n">
        <v>20</v>
      </c>
      <c r="F130" s="11" t="n">
        <f aca="false">IF(D130="CBP",SUMIF(Itens!$A:$A,A130,Itens!$I:$I),SUMIF(Itens!$A:$A,A130,Itens!$J:$J))</f>
        <v>0</v>
      </c>
      <c r="G130" s="8" t="n">
        <f aca="false">MAX(0,E130-F130)</f>
        <v>20</v>
      </c>
      <c r="H130" s="14" t="n">
        <f aca="false">IF(E130=0,0,MIN(1,F130/E130))</f>
        <v>0</v>
      </c>
      <c r="I130" s="8" t="n">
        <f aca="false">MAX(0,F130-E130)</f>
        <v>0</v>
      </c>
      <c r="J130" s="8" t="n">
        <f aca="false">E130+I130</f>
        <v>20</v>
      </c>
      <c r="K130" s="8" t="str">
        <f aca="false">IF(I130=0,"OK",IF(D130="CBP","Complemento CBP","ERRO: excede CBTBE"))</f>
        <v>OK</v>
      </c>
    </row>
    <row r="131" customFormat="false" ht="15" hidden="false" customHeight="false" outlineLevel="0" collapsed="false">
      <c r="A131" s="8" t="s">
        <v>659</v>
      </c>
      <c r="B131" s="8" t="s">
        <v>660</v>
      </c>
      <c r="C131" s="8" t="s">
        <v>933</v>
      </c>
      <c r="D131" s="8" t="s">
        <v>19</v>
      </c>
      <c r="E131" s="8" t="n">
        <v>20</v>
      </c>
      <c r="F131" s="11" t="n">
        <f aca="false">IF(D131="CBP",SUMIF(Itens!$A:$A,A131,Itens!$I:$I),SUMIF(Itens!$A:$A,A131,Itens!$J:$J))</f>
        <v>33</v>
      </c>
      <c r="G131" s="8" t="n">
        <f aca="false">MAX(0,E131-F131)</f>
        <v>0</v>
      </c>
      <c r="H131" s="14" t="n">
        <f aca="false">IF(E131=0,0,MIN(1,F131/E131))</f>
        <v>1</v>
      </c>
      <c r="I131" s="8" t="n">
        <f aca="false">MAX(0,F131-E131)</f>
        <v>13</v>
      </c>
      <c r="J131" s="8" t="n">
        <f aca="false">E131+I131</f>
        <v>33</v>
      </c>
      <c r="K131" s="8" t="str">
        <f aca="false">IF(I131=0,"OK",IF(D131="CBP","Complemento CBP","ERRO: excede CBTBE"))</f>
        <v>Complemento CBP</v>
      </c>
    </row>
    <row r="132" customFormat="false" ht="15" hidden="false" customHeight="false" outlineLevel="0" collapsed="false">
      <c r="A132" s="8" t="s">
        <v>934</v>
      </c>
      <c r="B132" s="8" t="s">
        <v>935</v>
      </c>
      <c r="C132" s="8" t="s">
        <v>936</v>
      </c>
      <c r="D132" s="8" t="s">
        <v>19</v>
      </c>
      <c r="E132" s="8" t="n">
        <v>20</v>
      </c>
      <c r="F132" s="11" t="n">
        <f aca="false">IF(D132="CBP",SUMIF(Itens!$A:$A,A132,Itens!$I:$I),SUMIF(Itens!$A:$A,A132,Itens!$J:$J))</f>
        <v>0</v>
      </c>
      <c r="G132" s="8" t="n">
        <f aca="false">MAX(0,E132-F132)</f>
        <v>20</v>
      </c>
      <c r="H132" s="14" t="n">
        <f aca="false">IF(E132=0,0,MIN(1,F132/E132))</f>
        <v>0</v>
      </c>
      <c r="I132" s="8" t="n">
        <f aca="false">MAX(0,F132-E132)</f>
        <v>0</v>
      </c>
      <c r="J132" s="8" t="n">
        <f aca="false">E132+I132</f>
        <v>20</v>
      </c>
      <c r="K132" s="8" t="str">
        <f aca="false">IF(I132=0,"OK",IF(D132="CBP","Complemento CBP","ERRO: excede CBTBE"))</f>
        <v>OK</v>
      </c>
    </row>
    <row r="133" customFormat="false" ht="15" hidden="false" customHeight="false" outlineLevel="0" collapsed="false">
      <c r="A133" s="8" t="s">
        <v>937</v>
      </c>
      <c r="B133" s="8" t="s">
        <v>938</v>
      </c>
      <c r="C133" s="8" t="s">
        <v>939</v>
      </c>
      <c r="D133" s="8" t="s">
        <v>19</v>
      </c>
      <c r="E133" s="8" t="n">
        <v>20</v>
      </c>
      <c r="F133" s="11" t="n">
        <f aca="false">IF(D133="CBP",SUMIF(Itens!$A:$A,A133,Itens!$I:$I),SUMIF(Itens!$A:$A,A133,Itens!$J:$J))</f>
        <v>0</v>
      </c>
      <c r="G133" s="8" t="n">
        <f aca="false">MAX(0,E133-F133)</f>
        <v>20</v>
      </c>
      <c r="H133" s="14" t="n">
        <f aca="false">IF(E133=0,0,MIN(1,F133/E133))</f>
        <v>0</v>
      </c>
      <c r="I133" s="8" t="n">
        <f aca="false">MAX(0,F133-E133)</f>
        <v>0</v>
      </c>
      <c r="J133" s="8" t="n">
        <f aca="false">E133+I133</f>
        <v>20</v>
      </c>
      <c r="K133" s="8" t="str">
        <f aca="false">IF(I133=0,"OK",IF(D133="CBP","Complemento CBP","ERRO: excede CBTBE"))</f>
        <v>OK</v>
      </c>
    </row>
    <row r="134" customFormat="false" ht="15" hidden="false" customHeight="false" outlineLevel="0" collapsed="false">
      <c r="A134" s="8" t="s">
        <v>940</v>
      </c>
      <c r="B134" s="8" t="s">
        <v>941</v>
      </c>
      <c r="C134" s="8" t="s">
        <v>942</v>
      </c>
      <c r="D134" s="8" t="s">
        <v>19</v>
      </c>
      <c r="E134" s="8" t="n">
        <v>20</v>
      </c>
      <c r="F134" s="11" t="n">
        <f aca="false">IF(D134="CBP",SUMIF(Itens!$A:$A,A134,Itens!$I:$I),SUMIF(Itens!$A:$A,A134,Itens!$J:$J))</f>
        <v>0</v>
      </c>
      <c r="G134" s="8" t="n">
        <f aca="false">MAX(0,E134-F134)</f>
        <v>20</v>
      </c>
      <c r="H134" s="14" t="n">
        <f aca="false">IF(E134=0,0,MIN(1,F134/E134))</f>
        <v>0</v>
      </c>
      <c r="I134" s="8" t="n">
        <f aca="false">MAX(0,F134-E134)</f>
        <v>0</v>
      </c>
      <c r="J134" s="8" t="n">
        <f aca="false">E134+I134</f>
        <v>20</v>
      </c>
      <c r="K134" s="8" t="str">
        <f aca="false">IF(I134=0,"OK",IF(D134="CBP","Complemento CBP","ERRO: excede CBTBE"))</f>
        <v>OK</v>
      </c>
    </row>
    <row r="135" customFormat="false" ht="15" hidden="false" customHeight="false" outlineLevel="0" collapsed="false">
      <c r="A135" s="8" t="s">
        <v>943</v>
      </c>
      <c r="B135" s="8" t="s">
        <v>944</v>
      </c>
      <c r="C135" s="8" t="s">
        <v>945</v>
      </c>
      <c r="D135" s="8" t="s">
        <v>19</v>
      </c>
      <c r="E135" s="8" t="n">
        <v>20</v>
      </c>
      <c r="F135" s="11" t="n">
        <f aca="false">IF(D135="CBP",SUMIF(Itens!$A:$A,A135,Itens!$I:$I),SUMIF(Itens!$A:$A,A135,Itens!$J:$J))</f>
        <v>0</v>
      </c>
      <c r="G135" s="8" t="n">
        <f aca="false">MAX(0,E135-F135)</f>
        <v>20</v>
      </c>
      <c r="H135" s="14" t="n">
        <f aca="false">IF(E135=0,0,MIN(1,F135/E135))</f>
        <v>0</v>
      </c>
      <c r="I135" s="8" t="n">
        <f aca="false">MAX(0,F135-E135)</f>
        <v>0</v>
      </c>
      <c r="J135" s="8" t="n">
        <f aca="false">E135+I135</f>
        <v>20</v>
      </c>
      <c r="K135" s="8" t="str">
        <f aca="false">IF(I135=0,"OK",IF(D135="CBP","Complemento CBP","ERRO: excede CBTBE"))</f>
        <v>OK</v>
      </c>
    </row>
    <row r="136" customFormat="false" ht="15" hidden="false" customHeight="false" outlineLevel="0" collapsed="false">
      <c r="A136" s="8" t="s">
        <v>946</v>
      </c>
      <c r="B136" s="8" t="s">
        <v>947</v>
      </c>
      <c r="C136" s="8" t="s">
        <v>948</v>
      </c>
      <c r="D136" s="8" t="s">
        <v>19</v>
      </c>
      <c r="E136" s="8" t="n">
        <v>20</v>
      </c>
      <c r="F136" s="11" t="n">
        <f aca="false">IF(D136="CBP",SUMIF(Itens!$A:$A,A136,Itens!$I:$I),SUMIF(Itens!$A:$A,A136,Itens!$J:$J))</f>
        <v>0</v>
      </c>
      <c r="G136" s="8" t="n">
        <f aca="false">MAX(0,E136-F136)</f>
        <v>20</v>
      </c>
      <c r="H136" s="14" t="n">
        <f aca="false">IF(E136=0,0,MIN(1,F136/E136))</f>
        <v>0</v>
      </c>
      <c r="I136" s="8" t="n">
        <f aca="false">MAX(0,F136-E136)</f>
        <v>0</v>
      </c>
      <c r="J136" s="8" t="n">
        <f aca="false">E136+I136</f>
        <v>20</v>
      </c>
      <c r="K136" s="8" t="str">
        <f aca="false">IF(I136=0,"OK",IF(D136="CBP","Complemento CBP","ERRO: excede CBTBE"))</f>
        <v>OK</v>
      </c>
    </row>
    <row r="137" customFormat="false" ht="15" hidden="false" customHeight="false" outlineLevel="0" collapsed="false">
      <c r="A137" s="8" t="s">
        <v>543</v>
      </c>
      <c r="B137" s="8" t="s">
        <v>544</v>
      </c>
      <c r="C137" s="8" t="s">
        <v>917</v>
      </c>
      <c r="D137" s="8" t="s">
        <v>19</v>
      </c>
      <c r="E137" s="8" t="n">
        <v>20</v>
      </c>
      <c r="F137" s="11" t="n">
        <f aca="false">IF(D137="CBP",SUMIF(Itens!$A:$A,A137,Itens!$I:$I),SUMIF(Itens!$A:$A,A137,Itens!$J:$J))</f>
        <v>20</v>
      </c>
      <c r="G137" s="8" t="n">
        <f aca="false">MAX(0,E137-F137)</f>
        <v>0</v>
      </c>
      <c r="H137" s="14" t="n">
        <f aca="false">IF(E137=0,0,MIN(1,F137/E137))</f>
        <v>1</v>
      </c>
      <c r="I137" s="8" t="n">
        <f aca="false">MAX(0,F137-E137)</f>
        <v>0</v>
      </c>
      <c r="J137" s="8" t="n">
        <f aca="false">E137+I137</f>
        <v>20</v>
      </c>
      <c r="K137" s="8" t="str">
        <f aca="false">IF(I137=0,"OK",IF(D137="CBP","Complemento CBP","ERRO: excede CBTBE"))</f>
        <v>OK</v>
      </c>
    </row>
    <row r="138" customFormat="false" ht="15" hidden="false" customHeight="false" outlineLevel="0" collapsed="false">
      <c r="A138" s="8" t="s">
        <v>657</v>
      </c>
      <c r="B138" s="8" t="s">
        <v>658</v>
      </c>
      <c r="C138" s="8" t="s">
        <v>949</v>
      </c>
      <c r="D138" s="8" t="s">
        <v>19</v>
      </c>
      <c r="E138" s="8" t="n">
        <v>20</v>
      </c>
      <c r="F138" s="11" t="n">
        <f aca="false">IF(D138="CBP",SUMIF(Itens!$A:$A,A138,Itens!$I:$I),SUMIF(Itens!$A:$A,A138,Itens!$J:$J))</f>
        <v>20</v>
      </c>
      <c r="G138" s="8" t="n">
        <f aca="false">MAX(0,E138-F138)</f>
        <v>0</v>
      </c>
      <c r="H138" s="14" t="n">
        <f aca="false">IF(E138=0,0,MIN(1,F138/E138))</f>
        <v>1</v>
      </c>
      <c r="I138" s="8" t="n">
        <f aca="false">MAX(0,F138-E138)</f>
        <v>0</v>
      </c>
      <c r="J138" s="8" t="n">
        <f aca="false">E138+I138</f>
        <v>20</v>
      </c>
      <c r="K138" s="8" t="str">
        <f aca="false">IF(I138=0,"OK",IF(D138="CBP","Complemento CBP","ERRO: excede CBTBE"))</f>
        <v>OK</v>
      </c>
    </row>
    <row r="139" customFormat="false" ht="15" hidden="false" customHeight="false" outlineLevel="0" collapsed="false">
      <c r="A139" s="8" t="s">
        <v>705</v>
      </c>
      <c r="B139" s="8" t="s">
        <v>706</v>
      </c>
      <c r="C139" s="8" t="s">
        <v>950</v>
      </c>
      <c r="D139" s="8" t="s">
        <v>19</v>
      </c>
      <c r="E139" s="8" t="n">
        <v>20</v>
      </c>
      <c r="F139" s="11" t="n">
        <f aca="false">IF(D139="CBP",SUMIF(Itens!$A:$A,A139,Itens!$I:$I),SUMIF(Itens!$A:$A,A139,Itens!$J:$J))</f>
        <v>20</v>
      </c>
      <c r="G139" s="8" t="n">
        <f aca="false">MAX(0,E139-F139)</f>
        <v>0</v>
      </c>
      <c r="H139" s="14" t="n">
        <f aca="false">IF(E139=0,0,MIN(1,F139/E139))</f>
        <v>1</v>
      </c>
      <c r="I139" s="8" t="n">
        <f aca="false">MAX(0,F139-E139)</f>
        <v>0</v>
      </c>
      <c r="J139" s="8" t="n">
        <f aca="false">E139+I139</f>
        <v>20</v>
      </c>
      <c r="K139" s="8" t="str">
        <f aca="false">IF(I139=0,"OK",IF(D139="CBP","Complemento CBP","ERRO: excede CBTBE"))</f>
        <v>OK</v>
      </c>
    </row>
    <row r="140" customFormat="false" ht="15" hidden="false" customHeight="false" outlineLevel="0" collapsed="false">
      <c r="A140" s="8" t="s">
        <v>497</v>
      </c>
      <c r="B140" s="8" t="s">
        <v>498</v>
      </c>
      <c r="C140" s="8" t="s">
        <v>951</v>
      </c>
      <c r="D140" s="8" t="s">
        <v>19</v>
      </c>
      <c r="E140" s="8" t="n">
        <v>20</v>
      </c>
      <c r="F140" s="11" t="n">
        <f aca="false">IF(D140="CBP",SUMIF(Itens!$A:$A,A140,Itens!$I:$I),SUMIF(Itens!$A:$A,A140,Itens!$J:$J))</f>
        <v>20</v>
      </c>
      <c r="G140" s="8" t="n">
        <f aca="false">MAX(0,E140-F140)</f>
        <v>0</v>
      </c>
      <c r="H140" s="14" t="n">
        <f aca="false">IF(E140=0,0,MIN(1,F140/E140))</f>
        <v>1</v>
      </c>
      <c r="I140" s="8" t="n">
        <f aca="false">MAX(0,F140-E140)</f>
        <v>0</v>
      </c>
      <c r="J140" s="8" t="n">
        <f aca="false">E140+I140</f>
        <v>20</v>
      </c>
      <c r="K140" s="8" t="str">
        <f aca="false">IF(I140=0,"OK",IF(D140="CBP","Complemento CBP","ERRO: excede CBTBE"))</f>
        <v>OK</v>
      </c>
    </row>
    <row r="141" customFormat="false" ht="15" hidden="false" customHeight="false" outlineLevel="0" collapsed="false">
      <c r="A141" s="8" t="s">
        <v>713</v>
      </c>
      <c r="B141" s="8" t="s">
        <v>714</v>
      </c>
      <c r="C141" s="8" t="s">
        <v>952</v>
      </c>
      <c r="D141" s="8" t="s">
        <v>19</v>
      </c>
      <c r="E141" s="8" t="n">
        <v>20</v>
      </c>
      <c r="F141" s="11" t="n">
        <f aca="false">IF(D141="CBP",SUMIF(Itens!$A:$A,A141,Itens!$I:$I),SUMIF(Itens!$A:$A,A141,Itens!$J:$J))</f>
        <v>20</v>
      </c>
      <c r="G141" s="8" t="n">
        <f aca="false">MAX(0,E141-F141)</f>
        <v>0</v>
      </c>
      <c r="H141" s="14" t="n">
        <f aca="false">IF(E141=0,0,MIN(1,F141/E141))</f>
        <v>1</v>
      </c>
      <c r="I141" s="8" t="n">
        <f aca="false">MAX(0,F141-E141)</f>
        <v>0</v>
      </c>
      <c r="J141" s="8" t="n">
        <f aca="false">E141+I141</f>
        <v>20</v>
      </c>
      <c r="K141" s="8" t="str">
        <f aca="false">IF(I141=0,"OK",IF(D141="CBP","Complemento CBP","ERRO: excede CBTBE"))</f>
        <v>OK</v>
      </c>
    </row>
    <row r="142" customFormat="false" ht="15" hidden="false" customHeight="false" outlineLevel="0" collapsed="false">
      <c r="A142" s="8" t="s">
        <v>707</v>
      </c>
      <c r="B142" s="8" t="s">
        <v>708</v>
      </c>
      <c r="C142" s="8" t="s">
        <v>777</v>
      </c>
      <c r="D142" s="8" t="s">
        <v>19</v>
      </c>
      <c r="E142" s="8" t="n">
        <v>20</v>
      </c>
      <c r="F142" s="11" t="n">
        <f aca="false">IF(D142="CBP",SUMIF(Itens!$A:$A,A142,Itens!$I:$I),SUMIF(Itens!$A:$A,A142,Itens!$J:$J))</f>
        <v>20</v>
      </c>
      <c r="G142" s="8" t="n">
        <f aca="false">MAX(0,E142-F142)</f>
        <v>0</v>
      </c>
      <c r="H142" s="14" t="n">
        <f aca="false">IF(E142=0,0,MIN(1,F142/E142))</f>
        <v>1</v>
      </c>
      <c r="I142" s="8" t="n">
        <f aca="false">MAX(0,F142-E142)</f>
        <v>0</v>
      </c>
      <c r="J142" s="8" t="n">
        <f aca="false">E142+I142</f>
        <v>20</v>
      </c>
      <c r="K142" s="8" t="str">
        <f aca="false">IF(I142=0,"OK",IF(D142="CBP","Complemento CBP","ERRO: excede CBTBE"))</f>
        <v>OK</v>
      </c>
    </row>
    <row r="143" customFormat="false" ht="15" hidden="false" customHeight="false" outlineLevel="0" collapsed="false">
      <c r="A143" s="8" t="s">
        <v>437</v>
      </c>
      <c r="B143" s="8" t="s">
        <v>438</v>
      </c>
      <c r="C143" s="8" t="s">
        <v>953</v>
      </c>
      <c r="D143" s="8" t="s">
        <v>19</v>
      </c>
      <c r="E143" s="8" t="n">
        <v>20</v>
      </c>
      <c r="F143" s="11" t="n">
        <f aca="false">IF(D143="CBP",SUMIF(Itens!$A:$A,A143,Itens!$I:$I),SUMIF(Itens!$A:$A,A143,Itens!$J:$J))</f>
        <v>36</v>
      </c>
      <c r="G143" s="8" t="n">
        <f aca="false">MAX(0,E143-F143)</f>
        <v>0</v>
      </c>
      <c r="H143" s="14" t="n">
        <f aca="false">IF(E143=0,0,MIN(1,F143/E143))</f>
        <v>1</v>
      </c>
      <c r="I143" s="8" t="n">
        <f aca="false">MAX(0,F143-E143)</f>
        <v>16</v>
      </c>
      <c r="J143" s="8" t="n">
        <f aca="false">E143+I143</f>
        <v>36</v>
      </c>
      <c r="K143" s="8" t="str">
        <f aca="false">IF(I143=0,"OK",IF(D143="CBP","Complemento CBP","ERRO: excede CBTBE"))</f>
        <v>Complemento CBP</v>
      </c>
    </row>
    <row r="144" customFormat="false" ht="15" hidden="false" customHeight="false" outlineLevel="0" collapsed="false">
      <c r="A144" s="8" t="s">
        <v>954</v>
      </c>
      <c r="B144" s="8" t="s">
        <v>955</v>
      </c>
      <c r="C144" s="8" t="s">
        <v>956</v>
      </c>
      <c r="D144" s="8" t="s">
        <v>19</v>
      </c>
      <c r="E144" s="8" t="n">
        <v>20</v>
      </c>
      <c r="F144" s="11" t="n">
        <f aca="false">IF(D144="CBP",SUMIF(Itens!$A:$A,A144,Itens!$I:$I),SUMIF(Itens!$A:$A,A144,Itens!$J:$J))</f>
        <v>0</v>
      </c>
      <c r="G144" s="8" t="n">
        <f aca="false">MAX(0,E144-F144)</f>
        <v>20</v>
      </c>
      <c r="H144" s="14" t="n">
        <f aca="false">IF(E144=0,0,MIN(1,F144/E144))</f>
        <v>0</v>
      </c>
      <c r="I144" s="8" t="n">
        <f aca="false">MAX(0,F144-E144)</f>
        <v>0</v>
      </c>
      <c r="J144" s="8" t="n">
        <f aca="false">E144+I144</f>
        <v>20</v>
      </c>
      <c r="K144" s="8" t="str">
        <f aca="false">IF(I144=0,"OK",IF(D144="CBP","Complemento CBP","ERRO: excede CBTBE"))</f>
        <v>OK</v>
      </c>
    </row>
    <row r="145" customFormat="false" ht="15" hidden="false" customHeight="false" outlineLevel="0" collapsed="false">
      <c r="A145" s="8" t="s">
        <v>957</v>
      </c>
      <c r="B145" s="8" t="s">
        <v>958</v>
      </c>
      <c r="C145" s="8" t="s">
        <v>956</v>
      </c>
      <c r="D145" s="8" t="s">
        <v>19</v>
      </c>
      <c r="E145" s="8" t="n">
        <v>20</v>
      </c>
      <c r="F145" s="11" t="n">
        <f aca="false">IF(D145="CBP",SUMIF(Itens!$A:$A,A145,Itens!$I:$I),SUMIF(Itens!$A:$A,A145,Itens!$J:$J))</f>
        <v>0</v>
      </c>
      <c r="G145" s="8" t="n">
        <f aca="false">MAX(0,E145-F145)</f>
        <v>20</v>
      </c>
      <c r="H145" s="14" t="n">
        <f aca="false">IF(E145=0,0,MIN(1,F145/E145))</f>
        <v>0</v>
      </c>
      <c r="I145" s="8" t="n">
        <f aca="false">MAX(0,F145-E145)</f>
        <v>0</v>
      </c>
      <c r="J145" s="8" t="n">
        <f aca="false">E145+I145</f>
        <v>20</v>
      </c>
      <c r="K145" s="8" t="str">
        <f aca="false">IF(I145=0,"OK",IF(D145="CBP","Complemento CBP","ERRO: excede CBTBE"))</f>
        <v>OK</v>
      </c>
    </row>
    <row r="146" customFormat="false" ht="15" hidden="false" customHeight="false" outlineLevel="0" collapsed="false">
      <c r="A146" s="8" t="s">
        <v>959</v>
      </c>
      <c r="B146" s="8" t="s">
        <v>960</v>
      </c>
      <c r="C146" s="8" t="s">
        <v>961</v>
      </c>
      <c r="D146" s="8" t="s">
        <v>19</v>
      </c>
      <c r="E146" s="8" t="n">
        <v>20</v>
      </c>
      <c r="F146" s="11" t="n">
        <f aca="false">IF(D146="CBP",SUMIF(Itens!$A:$A,A146,Itens!$I:$I),SUMIF(Itens!$A:$A,A146,Itens!$J:$J))</f>
        <v>0</v>
      </c>
      <c r="G146" s="8" t="n">
        <f aca="false">MAX(0,E146-F146)</f>
        <v>20</v>
      </c>
      <c r="H146" s="14" t="n">
        <f aca="false">IF(E146=0,0,MIN(1,F146/E146))</f>
        <v>0</v>
      </c>
      <c r="I146" s="8" t="n">
        <f aca="false">MAX(0,F146-E146)</f>
        <v>0</v>
      </c>
      <c r="J146" s="8" t="n">
        <f aca="false">E146+I146</f>
        <v>20</v>
      </c>
      <c r="K146" s="8" t="str">
        <f aca="false">IF(I146=0,"OK",IF(D146="CBP","Complemento CBP","ERRO: excede CBTBE"))</f>
        <v>OK</v>
      </c>
    </row>
    <row r="147" customFormat="false" ht="15" hidden="false" customHeight="false" outlineLevel="0" collapsed="false">
      <c r="A147" s="8" t="s">
        <v>962</v>
      </c>
      <c r="B147" s="8" t="s">
        <v>963</v>
      </c>
      <c r="C147" s="8" t="s">
        <v>964</v>
      </c>
      <c r="D147" s="8" t="s">
        <v>19</v>
      </c>
      <c r="E147" s="8" t="n">
        <v>20</v>
      </c>
      <c r="F147" s="11" t="n">
        <f aca="false">IF(D147="CBP",SUMIF(Itens!$A:$A,A147,Itens!$I:$I),SUMIF(Itens!$A:$A,A147,Itens!$J:$J))</f>
        <v>0</v>
      </c>
      <c r="G147" s="8" t="n">
        <f aca="false">MAX(0,E147-F147)</f>
        <v>20</v>
      </c>
      <c r="H147" s="14" t="n">
        <f aca="false">IF(E147=0,0,MIN(1,F147/E147))</f>
        <v>0</v>
      </c>
      <c r="I147" s="8" t="n">
        <f aca="false">MAX(0,F147-E147)</f>
        <v>0</v>
      </c>
      <c r="J147" s="8" t="n">
        <f aca="false">E147+I147</f>
        <v>20</v>
      </c>
      <c r="K147" s="8" t="str">
        <f aca="false">IF(I147=0,"OK",IF(D147="CBP","Complemento CBP","ERRO: excede CBTBE"))</f>
        <v>OK</v>
      </c>
    </row>
    <row r="148" customFormat="false" ht="15" hidden="false" customHeight="false" outlineLevel="0" collapsed="false">
      <c r="A148" s="8" t="s">
        <v>575</v>
      </c>
      <c r="B148" s="8" t="s">
        <v>576</v>
      </c>
      <c r="C148" s="8" t="s">
        <v>965</v>
      </c>
      <c r="D148" s="8" t="s">
        <v>19</v>
      </c>
      <c r="E148" s="8" t="n">
        <v>20</v>
      </c>
      <c r="F148" s="11" t="n">
        <f aca="false">IF(D148="CBP",SUMIF(Itens!$A:$A,A148,Itens!$I:$I),SUMIF(Itens!$A:$A,A148,Itens!$J:$J))</f>
        <v>30</v>
      </c>
      <c r="G148" s="8" t="n">
        <f aca="false">MAX(0,E148-F148)</f>
        <v>0</v>
      </c>
      <c r="H148" s="14" t="n">
        <f aca="false">IF(E148=0,0,MIN(1,F148/E148))</f>
        <v>1</v>
      </c>
      <c r="I148" s="8" t="n">
        <f aca="false">MAX(0,F148-E148)</f>
        <v>10</v>
      </c>
      <c r="J148" s="8" t="n">
        <f aca="false">E148+I148</f>
        <v>30</v>
      </c>
      <c r="K148" s="8" t="str">
        <f aca="false">IF(I148=0,"OK",IF(D148="CBP","Complemento CBP","ERRO: excede CBTBE"))</f>
        <v>Complemento CBP</v>
      </c>
    </row>
    <row r="149" customFormat="false" ht="15" hidden="false" customHeight="false" outlineLevel="0" collapsed="false">
      <c r="A149" s="8" t="s">
        <v>966</v>
      </c>
      <c r="B149" s="8" t="s">
        <v>967</v>
      </c>
      <c r="C149" s="8" t="s">
        <v>968</v>
      </c>
      <c r="D149" s="8" t="s">
        <v>19</v>
      </c>
      <c r="E149" s="8" t="n">
        <v>20</v>
      </c>
      <c r="F149" s="11" t="n">
        <f aca="false">IF(D149="CBP",SUMIF(Itens!$A:$A,A149,Itens!$I:$I),SUMIF(Itens!$A:$A,A149,Itens!$J:$J))</f>
        <v>0</v>
      </c>
      <c r="G149" s="8" t="n">
        <f aca="false">MAX(0,E149-F149)</f>
        <v>20</v>
      </c>
      <c r="H149" s="14" t="n">
        <f aca="false">IF(E149=0,0,MIN(1,F149/E149))</f>
        <v>0</v>
      </c>
      <c r="I149" s="8" t="n">
        <f aca="false">MAX(0,F149-E149)</f>
        <v>0</v>
      </c>
      <c r="J149" s="8" t="n">
        <f aca="false">E149+I149</f>
        <v>20</v>
      </c>
      <c r="K149" s="8" t="str">
        <f aca="false">IF(I149=0,"OK",IF(D149="CBP","Complemento CBP","ERRO: excede CBTBE"))</f>
        <v>OK</v>
      </c>
    </row>
    <row r="150" customFormat="false" ht="15" hidden="false" customHeight="false" outlineLevel="0" collapsed="false">
      <c r="A150" s="8" t="s">
        <v>969</v>
      </c>
      <c r="B150" s="8" t="s">
        <v>970</v>
      </c>
      <c r="C150" s="8" t="s">
        <v>971</v>
      </c>
      <c r="D150" s="8" t="s">
        <v>19</v>
      </c>
      <c r="E150" s="8" t="n">
        <v>20</v>
      </c>
      <c r="F150" s="11" t="n">
        <f aca="false">IF(D150="CBP",SUMIF(Itens!$A:$A,A150,Itens!$I:$I),SUMIF(Itens!$A:$A,A150,Itens!$J:$J))</f>
        <v>0</v>
      </c>
      <c r="G150" s="8" t="n">
        <f aca="false">MAX(0,E150-F150)</f>
        <v>20</v>
      </c>
      <c r="H150" s="14" t="n">
        <f aca="false">IF(E150=0,0,MIN(1,F150/E150))</f>
        <v>0</v>
      </c>
      <c r="I150" s="8" t="n">
        <f aca="false">MAX(0,F150-E150)</f>
        <v>0</v>
      </c>
      <c r="J150" s="8" t="n">
        <f aca="false">E150+I150</f>
        <v>20</v>
      </c>
      <c r="K150" s="8" t="str">
        <f aca="false">IF(I150=0,"OK",IF(D150="CBP","Complemento CBP","ERRO: excede CBTBE"))</f>
        <v>OK</v>
      </c>
    </row>
    <row r="151" customFormat="false" ht="15" hidden="false" customHeight="false" outlineLevel="0" collapsed="false">
      <c r="A151" s="8" t="s">
        <v>972</v>
      </c>
      <c r="B151" s="8" t="s">
        <v>973</v>
      </c>
      <c r="C151" s="8" t="s">
        <v>974</v>
      </c>
      <c r="D151" s="8" t="s">
        <v>19</v>
      </c>
      <c r="E151" s="8" t="n">
        <v>20</v>
      </c>
      <c r="F151" s="11" t="n">
        <f aca="false">IF(D151="CBP",SUMIF(Itens!$A:$A,A151,Itens!$I:$I),SUMIF(Itens!$A:$A,A151,Itens!$J:$J))</f>
        <v>0</v>
      </c>
      <c r="G151" s="8" t="n">
        <f aca="false">MAX(0,E151-F151)</f>
        <v>20</v>
      </c>
      <c r="H151" s="14" t="n">
        <f aca="false">IF(E151=0,0,MIN(1,F151/E151))</f>
        <v>0</v>
      </c>
      <c r="I151" s="8" t="n">
        <f aca="false">MAX(0,F151-E151)</f>
        <v>0</v>
      </c>
      <c r="J151" s="8" t="n">
        <f aca="false">E151+I151</f>
        <v>20</v>
      </c>
      <c r="K151" s="8" t="str">
        <f aca="false">IF(I151=0,"OK",IF(D151="CBP","Complemento CBP","ERRO: excede CBTBE"))</f>
        <v>OK</v>
      </c>
    </row>
    <row r="152" customFormat="false" ht="15" hidden="false" customHeight="false" outlineLevel="0" collapsed="false">
      <c r="A152" s="8" t="s">
        <v>633</v>
      </c>
      <c r="B152" s="8" t="s">
        <v>634</v>
      </c>
      <c r="C152" s="8" t="s">
        <v>888</v>
      </c>
      <c r="D152" s="8" t="s">
        <v>19</v>
      </c>
      <c r="E152" s="8" t="n">
        <v>20</v>
      </c>
      <c r="F152" s="11" t="n">
        <f aca="false">IF(D152="CBP",SUMIF(Itens!$A:$A,A152,Itens!$I:$I),SUMIF(Itens!$A:$A,A152,Itens!$J:$J))</f>
        <v>20</v>
      </c>
      <c r="G152" s="8" t="n">
        <f aca="false">MAX(0,E152-F152)</f>
        <v>0</v>
      </c>
      <c r="H152" s="14" t="n">
        <f aca="false">IF(E152=0,0,MIN(1,F152/E152))</f>
        <v>1</v>
      </c>
      <c r="I152" s="8" t="n">
        <f aca="false">MAX(0,F152-E152)</f>
        <v>0</v>
      </c>
      <c r="J152" s="8" t="n">
        <f aca="false">E152+I152</f>
        <v>20</v>
      </c>
      <c r="K152" s="8" t="str">
        <f aca="false">IF(I152=0,"OK",IF(D152="CBP","Complemento CBP","ERRO: excede CBTBE"))</f>
        <v>OK</v>
      </c>
    </row>
    <row r="153" customFormat="false" ht="15" hidden="false" customHeight="false" outlineLevel="0" collapsed="false">
      <c r="A153" s="8" t="s">
        <v>685</v>
      </c>
      <c r="B153" s="8" t="s">
        <v>686</v>
      </c>
      <c r="C153" s="8" t="s">
        <v>888</v>
      </c>
      <c r="D153" s="8" t="s">
        <v>19</v>
      </c>
      <c r="E153" s="8" t="n">
        <v>20</v>
      </c>
      <c r="F153" s="11" t="n">
        <f aca="false">IF(D153="CBP",SUMIF(Itens!$A:$A,A153,Itens!$I:$I),SUMIF(Itens!$A:$A,A153,Itens!$J:$J))</f>
        <v>20</v>
      </c>
      <c r="G153" s="8" t="n">
        <f aca="false">MAX(0,E153-F153)</f>
        <v>0</v>
      </c>
      <c r="H153" s="14" t="n">
        <f aca="false">IF(E153=0,0,MIN(1,F153/E153))</f>
        <v>1</v>
      </c>
      <c r="I153" s="8" t="n">
        <f aca="false">MAX(0,F153-E153)</f>
        <v>0</v>
      </c>
      <c r="J153" s="8" t="n">
        <f aca="false">E153+I153</f>
        <v>20</v>
      </c>
      <c r="K153" s="8" t="str">
        <f aca="false">IF(I153=0,"OK",IF(D153="CBP","Complemento CBP","ERRO: excede CBTBE"))</f>
        <v>OK</v>
      </c>
    </row>
    <row r="154" customFormat="false" ht="15" hidden="false" customHeight="false" outlineLevel="0" collapsed="false">
      <c r="A154" s="8" t="s">
        <v>621</v>
      </c>
      <c r="B154" s="8" t="s">
        <v>622</v>
      </c>
      <c r="C154" s="8" t="s">
        <v>975</v>
      </c>
      <c r="D154" s="8" t="s">
        <v>19</v>
      </c>
      <c r="E154" s="8" t="n">
        <v>20</v>
      </c>
      <c r="F154" s="11" t="n">
        <f aca="false">IF(D154="CBP",SUMIF(Itens!$A:$A,A154,Itens!$I:$I),SUMIF(Itens!$A:$A,A154,Itens!$J:$J))</f>
        <v>58</v>
      </c>
      <c r="G154" s="8" t="n">
        <f aca="false">MAX(0,E154-F154)</f>
        <v>0</v>
      </c>
      <c r="H154" s="14" t="n">
        <f aca="false">IF(E154=0,0,MIN(1,F154/E154))</f>
        <v>1</v>
      </c>
      <c r="I154" s="8" t="n">
        <f aca="false">MAX(0,F154-E154)</f>
        <v>38</v>
      </c>
      <c r="J154" s="8" t="n">
        <f aca="false">E154+I154</f>
        <v>58</v>
      </c>
      <c r="K154" s="8" t="str">
        <f aca="false">IF(I154=0,"OK",IF(D154="CBP","Complemento CBP","ERRO: excede CBTBE"))</f>
        <v>Complemento CBP</v>
      </c>
    </row>
    <row r="155" customFormat="false" ht="15" hidden="false" customHeight="false" outlineLevel="0" collapsed="false">
      <c r="A155" s="8" t="s">
        <v>976</v>
      </c>
      <c r="B155" s="8" t="s">
        <v>977</v>
      </c>
      <c r="C155" s="8" t="s">
        <v>743</v>
      </c>
      <c r="D155" s="8" t="s">
        <v>19</v>
      </c>
      <c r="E155" s="8" t="n">
        <v>20</v>
      </c>
      <c r="F155" s="11" t="n">
        <f aca="false">IF(D155="CBP",SUMIF(Itens!$A:$A,A155,Itens!$I:$I),SUMIF(Itens!$A:$A,A155,Itens!$J:$J))</f>
        <v>0</v>
      </c>
      <c r="G155" s="8" t="n">
        <f aca="false">MAX(0,E155-F155)</f>
        <v>20</v>
      </c>
      <c r="H155" s="14" t="n">
        <f aca="false">IF(E155=0,0,MIN(1,F155/E155))</f>
        <v>0</v>
      </c>
      <c r="I155" s="8" t="n">
        <f aca="false">MAX(0,F155-E155)</f>
        <v>0</v>
      </c>
      <c r="J155" s="8" t="n">
        <f aca="false">E155+I155</f>
        <v>20</v>
      </c>
      <c r="K155" s="8" t="str">
        <f aca="false">IF(I155=0,"OK",IF(D155="CBP","Complemento CBP","ERRO: excede CBTBE"))</f>
        <v>OK</v>
      </c>
    </row>
    <row r="156" customFormat="false" ht="15" hidden="false" customHeight="false" outlineLevel="0" collapsed="false">
      <c r="A156" s="8" t="s">
        <v>978</v>
      </c>
      <c r="B156" s="8" t="s">
        <v>979</v>
      </c>
      <c r="C156" s="8" t="s">
        <v>771</v>
      </c>
      <c r="D156" s="8" t="s">
        <v>19</v>
      </c>
      <c r="E156" s="8" t="n">
        <v>20</v>
      </c>
      <c r="F156" s="11" t="n">
        <f aca="false">IF(D156="CBP",SUMIF(Itens!$A:$A,A156,Itens!$I:$I),SUMIF(Itens!$A:$A,A156,Itens!$J:$J))</f>
        <v>0</v>
      </c>
      <c r="G156" s="8" t="n">
        <f aca="false">MAX(0,E156-F156)</f>
        <v>20</v>
      </c>
      <c r="H156" s="14" t="n">
        <f aca="false">IF(E156=0,0,MIN(1,F156/E156))</f>
        <v>0</v>
      </c>
      <c r="I156" s="8" t="n">
        <f aca="false">MAX(0,F156-E156)</f>
        <v>0</v>
      </c>
      <c r="J156" s="8" t="n">
        <f aca="false">E156+I156</f>
        <v>20</v>
      </c>
      <c r="K156" s="8" t="str">
        <f aca="false">IF(I156=0,"OK",IF(D156="CBP","Complemento CBP","ERRO: excede CBTBE"))</f>
        <v>OK</v>
      </c>
    </row>
    <row r="157" customFormat="false" ht="15" hidden="false" customHeight="false" outlineLevel="0" collapsed="false">
      <c r="A157" s="8" t="s">
        <v>565</v>
      </c>
      <c r="B157" s="8" t="s">
        <v>566</v>
      </c>
      <c r="C157" s="8" t="s">
        <v>980</v>
      </c>
      <c r="D157" s="8" t="s">
        <v>19</v>
      </c>
      <c r="E157" s="8" t="n">
        <v>20</v>
      </c>
      <c r="F157" s="11" t="n">
        <f aca="false">IF(D157="CBP",SUMIF(Itens!$A:$A,A157,Itens!$I:$I),SUMIF(Itens!$A:$A,A157,Itens!$J:$J))</f>
        <v>50</v>
      </c>
      <c r="G157" s="8" t="n">
        <f aca="false">MAX(0,E157-F157)</f>
        <v>0</v>
      </c>
      <c r="H157" s="14" t="n">
        <f aca="false">IF(E157=0,0,MIN(1,F157/E157))</f>
        <v>1</v>
      </c>
      <c r="I157" s="8" t="n">
        <f aca="false">MAX(0,F157-E157)</f>
        <v>30</v>
      </c>
      <c r="J157" s="8" t="n">
        <f aca="false">E157+I157</f>
        <v>50</v>
      </c>
      <c r="K157" s="8" t="str">
        <f aca="false">IF(I157=0,"OK",IF(D157="CBP","Complemento CBP","ERRO: excede CBTBE"))</f>
        <v>Complemento CBP</v>
      </c>
    </row>
    <row r="158" customFormat="false" ht="15" hidden="false" customHeight="false" outlineLevel="0" collapsed="false">
      <c r="A158" s="8" t="s">
        <v>435</v>
      </c>
      <c r="B158" s="8" t="s">
        <v>436</v>
      </c>
      <c r="C158" s="8" t="s">
        <v>981</v>
      </c>
      <c r="D158" s="8" t="s">
        <v>19</v>
      </c>
      <c r="E158" s="8" t="n">
        <v>20</v>
      </c>
      <c r="F158" s="11" t="n">
        <f aca="false">IF(D158="CBP",SUMIF(Itens!$A:$A,A158,Itens!$I:$I),SUMIF(Itens!$A:$A,A158,Itens!$J:$J))</f>
        <v>20</v>
      </c>
      <c r="G158" s="8" t="n">
        <f aca="false">MAX(0,E158-F158)</f>
        <v>0</v>
      </c>
      <c r="H158" s="14" t="n">
        <f aca="false">IF(E158=0,0,MIN(1,F158/E158))</f>
        <v>1</v>
      </c>
      <c r="I158" s="8" t="n">
        <f aca="false">MAX(0,F158-E158)</f>
        <v>0</v>
      </c>
      <c r="J158" s="8" t="n">
        <f aca="false">E158+I158</f>
        <v>20</v>
      </c>
      <c r="K158" s="8" t="str">
        <f aca="false">IF(I158=0,"OK",IF(D158="CBP","Complemento CBP","ERRO: excede CBTBE"))</f>
        <v>OK</v>
      </c>
    </row>
    <row r="159" customFormat="false" ht="15" hidden="false" customHeight="false" outlineLevel="0" collapsed="false">
      <c r="A159" s="8" t="s">
        <v>982</v>
      </c>
      <c r="B159" s="8" t="s">
        <v>983</v>
      </c>
      <c r="C159" s="8" t="s">
        <v>984</v>
      </c>
      <c r="D159" s="8" t="s">
        <v>19</v>
      </c>
      <c r="E159" s="8" t="n">
        <v>20</v>
      </c>
      <c r="F159" s="11" t="n">
        <f aca="false">IF(D159="CBP",SUMIF(Itens!$A:$A,A159,Itens!$I:$I),SUMIF(Itens!$A:$A,A159,Itens!$J:$J))</f>
        <v>0</v>
      </c>
      <c r="G159" s="8" t="n">
        <f aca="false">MAX(0,E159-F159)</f>
        <v>20</v>
      </c>
      <c r="H159" s="14" t="n">
        <f aca="false">IF(E159=0,0,MIN(1,F159/E159))</f>
        <v>0</v>
      </c>
      <c r="I159" s="8" t="n">
        <f aca="false">MAX(0,F159-E159)</f>
        <v>0</v>
      </c>
      <c r="J159" s="8" t="n">
        <f aca="false">E159+I159</f>
        <v>20</v>
      </c>
      <c r="K159" s="8" t="str">
        <f aca="false">IF(I159=0,"OK",IF(D159="CBP","Complemento CBP","ERRO: excede CBTBE"))</f>
        <v>OK</v>
      </c>
    </row>
    <row r="160" customFormat="false" ht="15" hidden="false" customHeight="false" outlineLevel="0" collapsed="false">
      <c r="A160" s="8" t="s">
        <v>985</v>
      </c>
      <c r="B160" s="8" t="s">
        <v>986</v>
      </c>
      <c r="C160" s="8" t="s">
        <v>987</v>
      </c>
      <c r="D160" s="8" t="s">
        <v>19</v>
      </c>
      <c r="E160" s="8" t="n">
        <v>20</v>
      </c>
      <c r="F160" s="11" t="n">
        <f aca="false">IF(D160="CBP",SUMIF(Itens!$A:$A,A160,Itens!$I:$I),SUMIF(Itens!$A:$A,A160,Itens!$J:$J))</f>
        <v>0</v>
      </c>
      <c r="G160" s="8" t="n">
        <f aca="false">MAX(0,E160-F160)</f>
        <v>20</v>
      </c>
      <c r="H160" s="14" t="n">
        <f aca="false">IF(E160=0,0,MIN(1,F160/E160))</f>
        <v>0</v>
      </c>
      <c r="I160" s="8" t="n">
        <f aca="false">MAX(0,F160-E160)</f>
        <v>0</v>
      </c>
      <c r="J160" s="8" t="n">
        <f aca="false">E160+I160</f>
        <v>20</v>
      </c>
      <c r="K160" s="8" t="str">
        <f aca="false">IF(I160=0,"OK",IF(D160="CBP","Complemento CBP","ERRO: excede CBTBE"))</f>
        <v>OK</v>
      </c>
    </row>
    <row r="161" customFormat="false" ht="15" hidden="false" customHeight="false" outlineLevel="0" collapsed="false">
      <c r="A161" s="8" t="s">
        <v>613</v>
      </c>
      <c r="B161" s="8" t="s">
        <v>614</v>
      </c>
      <c r="C161" s="8" t="s">
        <v>988</v>
      </c>
      <c r="D161" s="8" t="s">
        <v>19</v>
      </c>
      <c r="E161" s="8" t="n">
        <v>20</v>
      </c>
      <c r="F161" s="11" t="n">
        <f aca="false">IF(D161="CBP",SUMIF(Itens!$A:$A,A161,Itens!$I:$I),SUMIF(Itens!$A:$A,A161,Itens!$J:$J))</f>
        <v>20</v>
      </c>
      <c r="G161" s="8" t="n">
        <f aca="false">MAX(0,E161-F161)</f>
        <v>0</v>
      </c>
      <c r="H161" s="14" t="n">
        <f aca="false">IF(E161=0,0,MIN(1,F161/E161))</f>
        <v>1</v>
      </c>
      <c r="I161" s="8" t="n">
        <f aca="false">MAX(0,F161-E161)</f>
        <v>0</v>
      </c>
      <c r="J161" s="8" t="n">
        <f aca="false">E161+I161</f>
        <v>20</v>
      </c>
      <c r="K161" s="8" t="str">
        <f aca="false">IF(I161=0,"OK",IF(D161="CBP","Complemento CBP","ERRO: excede CBTBE"))</f>
        <v>OK</v>
      </c>
    </row>
    <row r="162" customFormat="false" ht="15" hidden="false" customHeight="false" outlineLevel="0" collapsed="false">
      <c r="A162" s="8" t="s">
        <v>477</v>
      </c>
      <c r="B162" s="8" t="s">
        <v>478</v>
      </c>
      <c r="C162" s="8" t="s">
        <v>851</v>
      </c>
      <c r="D162" s="8" t="s">
        <v>19</v>
      </c>
      <c r="E162" s="8" t="n">
        <v>20</v>
      </c>
      <c r="F162" s="11" t="n">
        <f aca="false">IF(D162="CBP",SUMIF(Itens!$A:$A,A162,Itens!$I:$I),SUMIF(Itens!$A:$A,A162,Itens!$J:$J))</f>
        <v>44</v>
      </c>
      <c r="G162" s="8" t="n">
        <f aca="false">MAX(0,E162-F162)</f>
        <v>0</v>
      </c>
      <c r="H162" s="14" t="n">
        <f aca="false">IF(E162=0,0,MIN(1,F162/E162))</f>
        <v>1</v>
      </c>
      <c r="I162" s="8" t="n">
        <f aca="false">MAX(0,F162-E162)</f>
        <v>24</v>
      </c>
      <c r="J162" s="8" t="n">
        <f aca="false">E162+I162</f>
        <v>44</v>
      </c>
      <c r="K162" s="8" t="str">
        <f aca="false">IF(I162=0,"OK",IF(D162="CBP","Complemento CBP","ERRO: excede CBTBE"))</f>
        <v>Complemento CBP</v>
      </c>
    </row>
    <row r="163" customFormat="false" ht="15" hidden="false" customHeight="false" outlineLevel="0" collapsed="false">
      <c r="A163" s="8" t="s">
        <v>989</v>
      </c>
      <c r="B163" s="8" t="s">
        <v>990</v>
      </c>
      <c r="C163" s="8" t="s">
        <v>991</v>
      </c>
      <c r="D163" s="8" t="s">
        <v>19</v>
      </c>
      <c r="E163" s="8" t="n">
        <v>20</v>
      </c>
      <c r="F163" s="11" t="n">
        <f aca="false">IF(D163="CBP",SUMIF(Itens!$A:$A,A163,Itens!$I:$I),SUMIF(Itens!$A:$A,A163,Itens!$J:$J))</f>
        <v>0</v>
      </c>
      <c r="G163" s="8" t="n">
        <f aca="false">MAX(0,E163-F163)</f>
        <v>20</v>
      </c>
      <c r="H163" s="14" t="n">
        <f aca="false">IF(E163=0,0,MIN(1,F163/E163))</f>
        <v>0</v>
      </c>
      <c r="I163" s="8" t="n">
        <f aca="false">MAX(0,F163-E163)</f>
        <v>0</v>
      </c>
      <c r="J163" s="8" t="n">
        <f aca="false">E163+I163</f>
        <v>20</v>
      </c>
      <c r="K163" s="8" t="str">
        <f aca="false">IF(I163=0,"OK",IF(D163="CBP","Complemento CBP","ERRO: excede CBTBE"))</f>
        <v>OK</v>
      </c>
    </row>
    <row r="164" customFormat="false" ht="15" hidden="false" customHeight="false" outlineLevel="0" collapsed="false">
      <c r="A164" s="8" t="s">
        <v>569</v>
      </c>
      <c r="B164" s="8" t="s">
        <v>570</v>
      </c>
      <c r="C164" s="8" t="s">
        <v>806</v>
      </c>
      <c r="D164" s="8" t="s">
        <v>19</v>
      </c>
      <c r="E164" s="8" t="n">
        <v>20</v>
      </c>
      <c r="F164" s="11" t="n">
        <f aca="false">IF(D164="CBP",SUMIF(Itens!$A:$A,A164,Itens!$I:$I),SUMIF(Itens!$A:$A,A164,Itens!$J:$J))</f>
        <v>30</v>
      </c>
      <c r="G164" s="8" t="n">
        <f aca="false">MAX(0,E164-F164)</f>
        <v>0</v>
      </c>
      <c r="H164" s="14" t="n">
        <f aca="false">IF(E164=0,0,MIN(1,F164/E164))</f>
        <v>1</v>
      </c>
      <c r="I164" s="8" t="n">
        <f aca="false">MAX(0,F164-E164)</f>
        <v>10</v>
      </c>
      <c r="J164" s="8" t="n">
        <f aca="false">E164+I164</f>
        <v>30</v>
      </c>
      <c r="K164" s="8" t="str">
        <f aca="false">IF(I164=0,"OK",IF(D164="CBP","Complemento CBP","ERRO: excede CBTBE"))</f>
        <v>Complemento CBP</v>
      </c>
    </row>
    <row r="165" customFormat="false" ht="15" hidden="false" customHeight="false" outlineLevel="0" collapsed="false">
      <c r="A165" s="8" t="s">
        <v>635</v>
      </c>
      <c r="B165" s="8" t="s">
        <v>636</v>
      </c>
      <c r="C165" s="8" t="s">
        <v>992</v>
      </c>
      <c r="D165" s="8" t="s">
        <v>19</v>
      </c>
      <c r="E165" s="8" t="n">
        <v>20</v>
      </c>
      <c r="F165" s="11" t="n">
        <f aca="false">IF(D165="CBP",SUMIF(Itens!$A:$A,A165,Itens!$I:$I),SUMIF(Itens!$A:$A,A165,Itens!$J:$J))</f>
        <v>20</v>
      </c>
      <c r="G165" s="8" t="n">
        <f aca="false">MAX(0,E165-F165)</f>
        <v>0</v>
      </c>
      <c r="H165" s="14" t="n">
        <f aca="false">IF(E165=0,0,MIN(1,F165/E165))</f>
        <v>1</v>
      </c>
      <c r="I165" s="8" t="n">
        <f aca="false">MAX(0,F165-E165)</f>
        <v>0</v>
      </c>
      <c r="J165" s="8" t="n">
        <f aca="false">E165+I165</f>
        <v>20</v>
      </c>
      <c r="K165" s="8" t="str">
        <f aca="false">IF(I165=0,"OK",IF(D165="CBP","Complemento CBP","ERRO: excede CBTBE"))</f>
        <v>OK</v>
      </c>
    </row>
    <row r="166" customFormat="false" ht="15" hidden="false" customHeight="false" outlineLevel="0" collapsed="false">
      <c r="A166" s="8" t="s">
        <v>993</v>
      </c>
      <c r="B166" s="8" t="s">
        <v>994</v>
      </c>
      <c r="C166" s="8" t="s">
        <v>995</v>
      </c>
      <c r="D166" s="8" t="s">
        <v>19</v>
      </c>
      <c r="E166" s="8" t="n">
        <v>20</v>
      </c>
      <c r="F166" s="11" t="n">
        <f aca="false">IF(D166="CBP",SUMIF(Itens!$A:$A,A166,Itens!$I:$I),SUMIF(Itens!$A:$A,A166,Itens!$J:$J))</f>
        <v>0</v>
      </c>
      <c r="G166" s="8" t="n">
        <f aca="false">MAX(0,E166-F166)</f>
        <v>20</v>
      </c>
      <c r="H166" s="14" t="n">
        <f aca="false">IF(E166=0,0,MIN(1,F166/E166))</f>
        <v>0</v>
      </c>
      <c r="I166" s="8" t="n">
        <f aca="false">MAX(0,F166-E166)</f>
        <v>0</v>
      </c>
      <c r="J166" s="8" t="n">
        <f aca="false">E166+I166</f>
        <v>20</v>
      </c>
      <c r="K166" s="8" t="str">
        <f aca="false">IF(I166=0,"OK",IF(D166="CBP","Complemento CBP","ERRO: excede CBTBE"))</f>
        <v>OK</v>
      </c>
    </row>
    <row r="167" customFormat="false" ht="15" hidden="false" customHeight="false" outlineLevel="0" collapsed="false">
      <c r="A167" s="8" t="s">
        <v>641</v>
      </c>
      <c r="B167" s="8" t="s">
        <v>642</v>
      </c>
      <c r="C167" s="8" t="s">
        <v>974</v>
      </c>
      <c r="D167" s="8" t="s">
        <v>19</v>
      </c>
      <c r="E167" s="8" t="n">
        <v>20</v>
      </c>
      <c r="F167" s="11" t="n">
        <f aca="false">IF(D167="CBP",SUMIF(Itens!$A:$A,A167,Itens!$I:$I),SUMIF(Itens!$A:$A,A167,Itens!$J:$J))</f>
        <v>42</v>
      </c>
      <c r="G167" s="8" t="n">
        <f aca="false">MAX(0,E167-F167)</f>
        <v>0</v>
      </c>
      <c r="H167" s="14" t="n">
        <f aca="false">IF(E167=0,0,MIN(1,F167/E167))</f>
        <v>1</v>
      </c>
      <c r="I167" s="8" t="n">
        <f aca="false">MAX(0,F167-E167)</f>
        <v>22</v>
      </c>
      <c r="J167" s="8" t="n">
        <f aca="false">E167+I167</f>
        <v>42</v>
      </c>
      <c r="K167" s="8" t="str">
        <f aca="false">IF(I167=0,"OK",IF(D167="CBP","Complemento CBP","ERRO: excede CBTBE"))</f>
        <v>Complemento CBP</v>
      </c>
    </row>
    <row r="168" customFormat="false" ht="15" hidden="false" customHeight="false" outlineLevel="0" collapsed="false">
      <c r="A168" s="8" t="s">
        <v>996</v>
      </c>
      <c r="B168" s="8" t="s">
        <v>997</v>
      </c>
      <c r="C168" s="8" t="s">
        <v>998</v>
      </c>
      <c r="D168" s="8" t="s">
        <v>19</v>
      </c>
      <c r="E168" s="8" t="n">
        <v>20</v>
      </c>
      <c r="F168" s="11" t="n">
        <f aca="false">IF(D168="CBP",SUMIF(Itens!$A:$A,A168,Itens!$I:$I),SUMIF(Itens!$A:$A,A168,Itens!$J:$J))</f>
        <v>0</v>
      </c>
      <c r="G168" s="8" t="n">
        <f aca="false">MAX(0,E168-F168)</f>
        <v>20</v>
      </c>
      <c r="H168" s="14" t="n">
        <f aca="false">IF(E168=0,0,MIN(1,F168/E168))</f>
        <v>0</v>
      </c>
      <c r="I168" s="8" t="n">
        <f aca="false">MAX(0,F168-E168)</f>
        <v>0</v>
      </c>
      <c r="J168" s="8" t="n">
        <f aca="false">E168+I168</f>
        <v>20</v>
      </c>
      <c r="K168" s="8" t="str">
        <f aca="false">IF(I168=0,"OK",IF(D168="CBP","Complemento CBP","ERRO: excede CBTBE"))</f>
        <v>OK</v>
      </c>
    </row>
    <row r="169" customFormat="false" ht="15" hidden="false" customHeight="false" outlineLevel="0" collapsed="false">
      <c r="A169" s="8" t="s">
        <v>999</v>
      </c>
      <c r="B169" s="8" t="s">
        <v>1000</v>
      </c>
      <c r="C169" s="8" t="s">
        <v>1001</v>
      </c>
      <c r="D169" s="8" t="s">
        <v>19</v>
      </c>
      <c r="E169" s="8" t="n">
        <v>20</v>
      </c>
      <c r="F169" s="11" t="n">
        <f aca="false">IF(D169="CBP",SUMIF(Itens!$A:$A,A169,Itens!$I:$I),SUMIF(Itens!$A:$A,A169,Itens!$J:$J))</f>
        <v>0</v>
      </c>
      <c r="G169" s="8" t="n">
        <f aca="false">MAX(0,E169-F169)</f>
        <v>20</v>
      </c>
      <c r="H169" s="14" t="n">
        <f aca="false">IF(E169=0,0,MIN(1,F169/E169))</f>
        <v>0</v>
      </c>
      <c r="I169" s="8" t="n">
        <f aca="false">MAX(0,F169-E169)</f>
        <v>0</v>
      </c>
      <c r="J169" s="8" t="n">
        <f aca="false">E169+I169</f>
        <v>20</v>
      </c>
      <c r="K169" s="8" t="str">
        <f aca="false">IF(I169=0,"OK",IF(D169="CBP","Complemento CBP","ERRO: excede CBTBE"))</f>
        <v>OK</v>
      </c>
    </row>
    <row r="170" customFormat="false" ht="15" hidden="false" customHeight="false" outlineLevel="0" collapsed="false">
      <c r="A170" s="8" t="s">
        <v>651</v>
      </c>
      <c r="B170" s="8" t="s">
        <v>652</v>
      </c>
      <c r="C170" s="8" t="s">
        <v>1002</v>
      </c>
      <c r="D170" s="8" t="s">
        <v>19</v>
      </c>
      <c r="E170" s="8" t="n">
        <v>20</v>
      </c>
      <c r="F170" s="11" t="n">
        <f aca="false">IF(D170="CBP",SUMIF(Itens!$A:$A,A170,Itens!$I:$I),SUMIF(Itens!$A:$A,A170,Itens!$J:$J))</f>
        <v>1</v>
      </c>
      <c r="G170" s="8" t="n">
        <f aca="false">MAX(0,E170-F170)</f>
        <v>19</v>
      </c>
      <c r="H170" s="14" t="n">
        <f aca="false">IF(E170=0,0,MIN(1,F170/E170))</f>
        <v>0.05</v>
      </c>
      <c r="I170" s="8" t="n">
        <f aca="false">MAX(0,F170-E170)</f>
        <v>0</v>
      </c>
      <c r="J170" s="8" t="n">
        <f aca="false">E170+I170</f>
        <v>20</v>
      </c>
      <c r="K170" s="8" t="str">
        <f aca="false">IF(I170=0,"OK",IF(D170="CBP","Complemento CBP","ERRO: excede CBTBE"))</f>
        <v>OK</v>
      </c>
    </row>
    <row r="171" customFormat="false" ht="15" hidden="false" customHeight="false" outlineLevel="0" collapsed="false">
      <c r="A171" s="8" t="s">
        <v>1003</v>
      </c>
      <c r="B171" s="8" t="s">
        <v>1004</v>
      </c>
      <c r="C171" s="8" t="s">
        <v>1005</v>
      </c>
      <c r="D171" s="8" t="s">
        <v>19</v>
      </c>
      <c r="E171" s="8" t="n">
        <v>20</v>
      </c>
      <c r="F171" s="11" t="n">
        <f aca="false">IF(D171="CBP",SUMIF(Itens!$A:$A,A171,Itens!$I:$I),SUMIF(Itens!$A:$A,A171,Itens!$J:$J))</f>
        <v>0</v>
      </c>
      <c r="G171" s="8" t="n">
        <f aca="false">MAX(0,E171-F171)</f>
        <v>20</v>
      </c>
      <c r="H171" s="14" t="n">
        <f aca="false">IF(E171=0,0,MIN(1,F171/E171))</f>
        <v>0</v>
      </c>
      <c r="I171" s="8" t="n">
        <f aca="false">MAX(0,F171-E171)</f>
        <v>0</v>
      </c>
      <c r="J171" s="8" t="n">
        <f aca="false">E171+I171</f>
        <v>20</v>
      </c>
      <c r="K171" s="8" t="str">
        <f aca="false">IF(I171=0,"OK",IF(D171="CBP","Complemento CBP","ERRO: excede CBTBE"))</f>
        <v>OK</v>
      </c>
    </row>
    <row r="172" customFormat="false" ht="15" hidden="false" customHeight="false" outlineLevel="0" collapsed="false">
      <c r="A172" s="8" t="s">
        <v>1006</v>
      </c>
      <c r="B172" s="8" t="s">
        <v>1007</v>
      </c>
      <c r="C172" s="8" t="s">
        <v>918</v>
      </c>
      <c r="D172" s="8" t="s">
        <v>19</v>
      </c>
      <c r="E172" s="8" t="n">
        <v>20</v>
      </c>
      <c r="F172" s="11" t="n">
        <f aca="false">IF(D172="CBP",SUMIF(Itens!$A:$A,A172,Itens!$I:$I),SUMIF(Itens!$A:$A,A172,Itens!$J:$J))</f>
        <v>0</v>
      </c>
      <c r="G172" s="8" t="n">
        <f aca="false">MAX(0,E172-F172)</f>
        <v>20</v>
      </c>
      <c r="H172" s="14" t="n">
        <f aca="false">IF(E172=0,0,MIN(1,F172/E172))</f>
        <v>0</v>
      </c>
      <c r="I172" s="8" t="n">
        <f aca="false">MAX(0,F172-E172)</f>
        <v>0</v>
      </c>
      <c r="J172" s="8" t="n">
        <f aca="false">E172+I172</f>
        <v>20</v>
      </c>
      <c r="K172" s="8" t="str">
        <f aca="false">IF(I172=0,"OK",IF(D172="CBP","Complemento CBP","ERRO: excede CBTBE"))</f>
        <v>OK</v>
      </c>
    </row>
    <row r="173" customFormat="false" ht="15" hidden="false" customHeight="false" outlineLevel="0" collapsed="false">
      <c r="A173" s="8" t="s">
        <v>625</v>
      </c>
      <c r="B173" s="8" t="s">
        <v>626</v>
      </c>
      <c r="C173" s="8" t="s">
        <v>1008</v>
      </c>
      <c r="D173" s="8" t="s">
        <v>19</v>
      </c>
      <c r="E173" s="8" t="n">
        <v>20</v>
      </c>
      <c r="F173" s="11" t="n">
        <f aca="false">IF(D173="CBP",SUMIF(Itens!$A:$A,A173,Itens!$I:$I),SUMIF(Itens!$A:$A,A173,Itens!$J:$J))</f>
        <v>20</v>
      </c>
      <c r="G173" s="8" t="n">
        <f aca="false">MAX(0,E173-F173)</f>
        <v>0</v>
      </c>
      <c r="H173" s="14" t="n">
        <f aca="false">IF(E173=0,0,MIN(1,F173/E173))</f>
        <v>1</v>
      </c>
      <c r="I173" s="8" t="n">
        <f aca="false">MAX(0,F173-E173)</f>
        <v>0</v>
      </c>
      <c r="J173" s="8" t="n">
        <f aca="false">E173+I173</f>
        <v>20</v>
      </c>
      <c r="K173" s="8" t="str">
        <f aca="false">IF(I173=0,"OK",IF(D173="CBP","Complemento CBP","ERRO: excede CBTBE"))</f>
        <v>OK</v>
      </c>
    </row>
    <row r="174" customFormat="false" ht="15" hidden="false" customHeight="false" outlineLevel="0" collapsed="false">
      <c r="A174" s="8" t="s">
        <v>679</v>
      </c>
      <c r="B174" s="8" t="s">
        <v>680</v>
      </c>
      <c r="C174" s="8" t="s">
        <v>1009</v>
      </c>
      <c r="D174" s="8" t="s">
        <v>19</v>
      </c>
      <c r="E174" s="8" t="n">
        <v>20</v>
      </c>
      <c r="F174" s="11" t="n">
        <f aca="false">IF(D174="CBP",SUMIF(Itens!$A:$A,A174,Itens!$I:$I),SUMIF(Itens!$A:$A,A174,Itens!$J:$J))</f>
        <v>27</v>
      </c>
      <c r="G174" s="8" t="n">
        <f aca="false">MAX(0,E174-F174)</f>
        <v>0</v>
      </c>
      <c r="H174" s="14" t="n">
        <f aca="false">IF(E174=0,0,MIN(1,F174/E174))</f>
        <v>1</v>
      </c>
      <c r="I174" s="8" t="n">
        <f aca="false">MAX(0,F174-E174)</f>
        <v>7</v>
      </c>
      <c r="J174" s="8" t="n">
        <f aca="false">E174+I174</f>
        <v>27</v>
      </c>
      <c r="K174" s="8" t="str">
        <f aca="false">IF(I174=0,"OK",IF(D174="CBP","Complemento CBP","ERRO: excede CBTBE"))</f>
        <v>Complemento CBP</v>
      </c>
    </row>
    <row r="175" customFormat="false" ht="15" hidden="false" customHeight="false" outlineLevel="0" collapsed="false">
      <c r="A175" s="8" t="s">
        <v>1010</v>
      </c>
      <c r="B175" s="8" t="s">
        <v>1011</v>
      </c>
      <c r="C175" s="8" t="s">
        <v>1009</v>
      </c>
      <c r="D175" s="8" t="s">
        <v>19</v>
      </c>
      <c r="E175" s="8" t="n">
        <v>20</v>
      </c>
      <c r="F175" s="11" t="n">
        <f aca="false">IF(D175="CBP",SUMIF(Itens!$A:$A,A175,Itens!$I:$I),SUMIF(Itens!$A:$A,A175,Itens!$J:$J))</f>
        <v>0</v>
      </c>
      <c r="G175" s="8" t="n">
        <f aca="false">MAX(0,E175-F175)</f>
        <v>20</v>
      </c>
      <c r="H175" s="14" t="n">
        <f aca="false">IF(E175=0,0,MIN(1,F175/E175))</f>
        <v>0</v>
      </c>
      <c r="I175" s="8" t="n">
        <f aca="false">MAX(0,F175-E175)</f>
        <v>0</v>
      </c>
      <c r="J175" s="8" t="n">
        <f aca="false">E175+I175</f>
        <v>20</v>
      </c>
      <c r="K175" s="8" t="str">
        <f aca="false">IF(I175=0,"OK",IF(D175="CBP","Complemento CBP","ERRO: excede CBTBE"))</f>
        <v>OK</v>
      </c>
    </row>
    <row r="176" customFormat="false" ht="15" hidden="false" customHeight="false" outlineLevel="0" collapsed="false">
      <c r="A176" s="8" t="s">
        <v>1012</v>
      </c>
      <c r="B176" s="8" t="s">
        <v>1013</v>
      </c>
      <c r="C176" s="8" t="s">
        <v>1014</v>
      </c>
      <c r="D176" s="8" t="s">
        <v>19</v>
      </c>
      <c r="E176" s="8" t="n">
        <v>20</v>
      </c>
      <c r="F176" s="11" t="n">
        <f aca="false">IF(D176="CBP",SUMIF(Itens!$A:$A,A176,Itens!$I:$I),SUMIF(Itens!$A:$A,A176,Itens!$J:$J))</f>
        <v>0</v>
      </c>
      <c r="G176" s="8" t="n">
        <f aca="false">MAX(0,E176-F176)</f>
        <v>20</v>
      </c>
      <c r="H176" s="14" t="n">
        <f aca="false">IF(E176=0,0,MIN(1,F176/E176))</f>
        <v>0</v>
      </c>
      <c r="I176" s="8" t="n">
        <f aca="false">MAX(0,F176-E176)</f>
        <v>0</v>
      </c>
      <c r="J176" s="8" t="n">
        <f aca="false">E176+I176</f>
        <v>20</v>
      </c>
      <c r="K176" s="8" t="str">
        <f aca="false">IF(I176=0,"OK",IF(D176="CBP","Complemento CBP","ERRO: excede CBTBE"))</f>
        <v>OK</v>
      </c>
    </row>
    <row r="177" customFormat="false" ht="15" hidden="false" customHeight="false" outlineLevel="0" collapsed="false">
      <c r="A177" s="8" t="s">
        <v>571</v>
      </c>
      <c r="B177" s="8" t="s">
        <v>572</v>
      </c>
      <c r="C177" s="8" t="s">
        <v>1015</v>
      </c>
      <c r="D177" s="8" t="s">
        <v>19</v>
      </c>
      <c r="E177" s="8" t="n">
        <v>20</v>
      </c>
      <c r="F177" s="11" t="n">
        <f aca="false">IF(D177="CBP",SUMIF(Itens!$A:$A,A177,Itens!$I:$I),SUMIF(Itens!$A:$A,A177,Itens!$J:$J))</f>
        <v>20</v>
      </c>
      <c r="G177" s="8" t="n">
        <f aca="false">MAX(0,E177-F177)</f>
        <v>0</v>
      </c>
      <c r="H177" s="14" t="n">
        <f aca="false">IF(E177=0,0,MIN(1,F177/E177))</f>
        <v>1</v>
      </c>
      <c r="I177" s="8" t="n">
        <f aca="false">MAX(0,F177-E177)</f>
        <v>0</v>
      </c>
      <c r="J177" s="8" t="n">
        <f aca="false">E177+I177</f>
        <v>20</v>
      </c>
      <c r="K177" s="8" t="str">
        <f aca="false">IF(I177=0,"OK",IF(D177="CBP","Complemento CBP","ERRO: excede CBTBE"))</f>
        <v>OK</v>
      </c>
    </row>
    <row r="178" customFormat="false" ht="15" hidden="false" customHeight="false" outlineLevel="0" collapsed="false">
      <c r="A178" s="8" t="s">
        <v>523</v>
      </c>
      <c r="B178" s="8" t="s">
        <v>524</v>
      </c>
      <c r="C178" s="8" t="s">
        <v>1016</v>
      </c>
      <c r="D178" s="8" t="s">
        <v>19</v>
      </c>
      <c r="E178" s="8" t="n">
        <v>20</v>
      </c>
      <c r="F178" s="11" t="n">
        <f aca="false">IF(D178="CBP",SUMIF(Itens!$A:$A,A178,Itens!$I:$I),SUMIF(Itens!$A:$A,A178,Itens!$J:$J))</f>
        <v>24</v>
      </c>
      <c r="G178" s="8" t="n">
        <f aca="false">MAX(0,E178-F178)</f>
        <v>0</v>
      </c>
      <c r="H178" s="14" t="n">
        <f aca="false">IF(E178=0,0,MIN(1,F178/E178))</f>
        <v>1</v>
      </c>
      <c r="I178" s="8" t="n">
        <f aca="false">MAX(0,F178-E178)</f>
        <v>4</v>
      </c>
      <c r="J178" s="8" t="n">
        <f aca="false">E178+I178</f>
        <v>24</v>
      </c>
      <c r="K178" s="8" t="str">
        <f aca="false">IF(I178=0,"OK",IF(D178="CBP","Complemento CBP","ERRO: excede CBTBE"))</f>
        <v>Complemento CBP</v>
      </c>
    </row>
    <row r="179" customFormat="false" ht="15" hidden="false" customHeight="false" outlineLevel="0" collapsed="false">
      <c r="A179" s="8" t="s">
        <v>1017</v>
      </c>
      <c r="B179" s="8" t="s">
        <v>1018</v>
      </c>
      <c r="C179" s="8" t="s">
        <v>1019</v>
      </c>
      <c r="D179" s="8" t="s">
        <v>19</v>
      </c>
      <c r="E179" s="8" t="n">
        <v>20</v>
      </c>
      <c r="F179" s="11" t="n">
        <f aca="false">IF(D179="CBP",SUMIF(Itens!$A:$A,A179,Itens!$I:$I),SUMIF(Itens!$A:$A,A179,Itens!$J:$J))</f>
        <v>0</v>
      </c>
      <c r="G179" s="8" t="n">
        <f aca="false">MAX(0,E179-F179)</f>
        <v>20</v>
      </c>
      <c r="H179" s="14" t="n">
        <f aca="false">IF(E179=0,0,MIN(1,F179/E179))</f>
        <v>0</v>
      </c>
      <c r="I179" s="8" t="n">
        <f aca="false">MAX(0,F179-E179)</f>
        <v>0</v>
      </c>
      <c r="J179" s="8" t="n">
        <f aca="false">E179+I179</f>
        <v>20</v>
      </c>
      <c r="K179" s="8" t="str">
        <f aca="false">IF(I179=0,"OK",IF(D179="CBP","Complemento CBP","ERRO: excede CBTBE"))</f>
        <v>OK</v>
      </c>
    </row>
    <row r="180" customFormat="false" ht="15" hidden="false" customHeight="false" outlineLevel="0" collapsed="false">
      <c r="A180" s="8" t="s">
        <v>1020</v>
      </c>
      <c r="B180" s="8" t="s">
        <v>1021</v>
      </c>
      <c r="C180" s="8" t="s">
        <v>1022</v>
      </c>
      <c r="D180" s="8" t="s">
        <v>19</v>
      </c>
      <c r="E180" s="8" t="n">
        <v>20</v>
      </c>
      <c r="F180" s="11" t="n">
        <f aca="false">IF(D180="CBP",SUMIF(Itens!$A:$A,A180,Itens!$I:$I),SUMIF(Itens!$A:$A,A180,Itens!$J:$J))</f>
        <v>0</v>
      </c>
      <c r="G180" s="8" t="n">
        <f aca="false">MAX(0,E180-F180)</f>
        <v>20</v>
      </c>
      <c r="H180" s="14" t="n">
        <f aca="false">IF(E180=0,0,MIN(1,F180/E180))</f>
        <v>0</v>
      </c>
      <c r="I180" s="8" t="n">
        <f aca="false">MAX(0,F180-E180)</f>
        <v>0</v>
      </c>
      <c r="J180" s="8" t="n">
        <f aca="false">E180+I180</f>
        <v>20</v>
      </c>
      <c r="K180" s="8" t="str">
        <f aca="false">IF(I180=0,"OK",IF(D180="CBP","Complemento CBP","ERRO: excede CBTBE"))</f>
        <v>OK</v>
      </c>
    </row>
    <row r="181" customFormat="false" ht="15" hidden="false" customHeight="false" outlineLevel="0" collapsed="false">
      <c r="A181" s="8" t="s">
        <v>1023</v>
      </c>
      <c r="B181" s="8" t="s">
        <v>1024</v>
      </c>
      <c r="C181" s="8" t="s">
        <v>899</v>
      </c>
      <c r="D181" s="8" t="s">
        <v>19</v>
      </c>
      <c r="E181" s="8" t="n">
        <v>20</v>
      </c>
      <c r="F181" s="11" t="n">
        <f aca="false">IF(D181="CBP",SUMIF(Itens!$A:$A,A181,Itens!$I:$I),SUMIF(Itens!$A:$A,A181,Itens!$J:$J))</f>
        <v>0</v>
      </c>
      <c r="G181" s="8" t="n">
        <f aca="false">MAX(0,E181-F181)</f>
        <v>20</v>
      </c>
      <c r="H181" s="14" t="n">
        <f aca="false">IF(E181=0,0,MIN(1,F181/E181))</f>
        <v>0</v>
      </c>
      <c r="I181" s="8" t="n">
        <f aca="false">MAX(0,F181-E181)</f>
        <v>0</v>
      </c>
      <c r="J181" s="8" t="n">
        <f aca="false">E181+I181</f>
        <v>20</v>
      </c>
      <c r="K181" s="8" t="str">
        <f aca="false">IF(I181=0,"OK",IF(D181="CBP","Complemento CBP","ERRO: excede CBTBE"))</f>
        <v>OK</v>
      </c>
    </row>
    <row r="182" customFormat="false" ht="15" hidden="false" customHeight="false" outlineLevel="0" collapsed="false">
      <c r="A182" s="8" t="s">
        <v>1025</v>
      </c>
      <c r="B182" s="8" t="s">
        <v>1026</v>
      </c>
      <c r="C182" s="8" t="s">
        <v>1027</v>
      </c>
      <c r="D182" s="8" t="s">
        <v>19</v>
      </c>
      <c r="E182" s="8" t="n">
        <v>20</v>
      </c>
      <c r="F182" s="11" t="n">
        <f aca="false">IF(D182="CBP",SUMIF(Itens!$A:$A,A182,Itens!$I:$I),SUMIF(Itens!$A:$A,A182,Itens!$J:$J))</f>
        <v>0</v>
      </c>
      <c r="G182" s="8" t="n">
        <f aca="false">MAX(0,E182-F182)</f>
        <v>20</v>
      </c>
      <c r="H182" s="14" t="n">
        <f aca="false">IF(E182=0,0,MIN(1,F182/E182))</f>
        <v>0</v>
      </c>
      <c r="I182" s="8" t="n">
        <f aca="false">MAX(0,F182-E182)</f>
        <v>0</v>
      </c>
      <c r="J182" s="8" t="n">
        <f aca="false">E182+I182</f>
        <v>20</v>
      </c>
      <c r="K182" s="8" t="str">
        <f aca="false">IF(I182=0,"OK",IF(D182="CBP","Complemento CBP","ERRO: excede CBTBE"))</f>
        <v>OK</v>
      </c>
    </row>
    <row r="183" customFormat="false" ht="15" hidden="false" customHeight="false" outlineLevel="0" collapsed="false">
      <c r="A183" s="8" t="s">
        <v>555</v>
      </c>
      <c r="B183" s="8" t="s">
        <v>556</v>
      </c>
      <c r="C183" s="8" t="s">
        <v>1028</v>
      </c>
      <c r="D183" s="8" t="s">
        <v>19</v>
      </c>
      <c r="E183" s="8" t="n">
        <v>20</v>
      </c>
      <c r="F183" s="11" t="n">
        <f aca="false">IF(D183="CBP",SUMIF(Itens!$A:$A,A183,Itens!$I:$I),SUMIF(Itens!$A:$A,A183,Itens!$J:$J))</f>
        <v>27</v>
      </c>
      <c r="G183" s="8" t="n">
        <f aca="false">MAX(0,E183-F183)</f>
        <v>0</v>
      </c>
      <c r="H183" s="14" t="n">
        <f aca="false">IF(E183=0,0,MIN(1,F183/E183))</f>
        <v>1</v>
      </c>
      <c r="I183" s="8" t="n">
        <f aca="false">MAX(0,F183-E183)</f>
        <v>7</v>
      </c>
      <c r="J183" s="8" t="n">
        <f aca="false">E183+I183</f>
        <v>27</v>
      </c>
      <c r="K183" s="8" t="str">
        <f aca="false">IF(I183=0,"OK",IF(D183="CBP","Complemento CBP","ERRO: excede CBTBE"))</f>
        <v>Complemento CBP</v>
      </c>
    </row>
    <row r="184" customFormat="false" ht="15" hidden="false" customHeight="false" outlineLevel="0" collapsed="false">
      <c r="A184" s="8" t="s">
        <v>1029</v>
      </c>
      <c r="B184" s="8" t="s">
        <v>1030</v>
      </c>
      <c r="C184" s="8" t="s">
        <v>965</v>
      </c>
      <c r="D184" s="8" t="s">
        <v>19</v>
      </c>
      <c r="E184" s="8" t="n">
        <v>20</v>
      </c>
      <c r="F184" s="11" t="n">
        <f aca="false">IF(D184="CBP",SUMIF(Itens!$A:$A,A184,Itens!$I:$I),SUMIF(Itens!$A:$A,A184,Itens!$J:$J))</f>
        <v>0</v>
      </c>
      <c r="G184" s="8" t="n">
        <f aca="false">MAX(0,E184-F184)</f>
        <v>20</v>
      </c>
      <c r="H184" s="14" t="n">
        <f aca="false">IF(E184=0,0,MIN(1,F184/E184))</f>
        <v>0</v>
      </c>
      <c r="I184" s="8" t="n">
        <f aca="false">MAX(0,F184-E184)</f>
        <v>0</v>
      </c>
      <c r="J184" s="8" t="n">
        <f aca="false">E184+I184</f>
        <v>20</v>
      </c>
      <c r="K184" s="8" t="str">
        <f aca="false">IF(I184=0,"OK",IF(D184="CBP","Complemento CBP","ERRO: excede CBTBE"))</f>
        <v>OK</v>
      </c>
    </row>
    <row r="185" customFormat="false" ht="15" hidden="false" customHeight="false" outlineLevel="0" collapsed="false">
      <c r="A185" s="8" t="s">
        <v>481</v>
      </c>
      <c r="B185" s="8" t="s">
        <v>482</v>
      </c>
      <c r="C185" s="8" t="s">
        <v>953</v>
      </c>
      <c r="D185" s="8" t="s">
        <v>19</v>
      </c>
      <c r="E185" s="8" t="n">
        <v>20</v>
      </c>
      <c r="F185" s="11" t="n">
        <f aca="false">IF(D185="CBP",SUMIF(Itens!$A:$A,A185,Itens!$I:$I),SUMIF(Itens!$A:$A,A185,Itens!$J:$J))</f>
        <v>63</v>
      </c>
      <c r="G185" s="8" t="n">
        <f aca="false">MAX(0,E185-F185)</f>
        <v>0</v>
      </c>
      <c r="H185" s="14" t="n">
        <f aca="false">IF(E185=0,0,MIN(1,F185/E185))</f>
        <v>1</v>
      </c>
      <c r="I185" s="8" t="n">
        <f aca="false">MAX(0,F185-E185)</f>
        <v>43</v>
      </c>
      <c r="J185" s="8" t="n">
        <f aca="false">E185+I185</f>
        <v>63</v>
      </c>
      <c r="K185" s="8" t="str">
        <f aca="false">IF(I185=0,"OK",IF(D185="CBP","Complemento CBP","ERRO: excede CBTBE"))</f>
        <v>Complemento CBP</v>
      </c>
    </row>
    <row r="186" customFormat="false" ht="15" hidden="false" customHeight="false" outlineLevel="0" collapsed="false">
      <c r="A186" s="8" t="s">
        <v>1031</v>
      </c>
      <c r="B186" s="8" t="s">
        <v>1032</v>
      </c>
      <c r="C186" s="8" t="s">
        <v>772</v>
      </c>
      <c r="D186" s="8" t="s">
        <v>19</v>
      </c>
      <c r="E186" s="8" t="n">
        <v>20</v>
      </c>
      <c r="F186" s="11" t="n">
        <f aca="false">IF(D186="CBP",SUMIF(Itens!$A:$A,A186,Itens!$I:$I),SUMIF(Itens!$A:$A,A186,Itens!$J:$J))</f>
        <v>0</v>
      </c>
      <c r="G186" s="8" t="n">
        <f aca="false">MAX(0,E186-F186)</f>
        <v>20</v>
      </c>
      <c r="H186" s="14" t="n">
        <f aca="false">IF(E186=0,0,MIN(1,F186/E186))</f>
        <v>0</v>
      </c>
      <c r="I186" s="8" t="n">
        <f aca="false">MAX(0,F186-E186)</f>
        <v>0</v>
      </c>
      <c r="J186" s="8" t="n">
        <f aca="false">E186+I186</f>
        <v>20</v>
      </c>
      <c r="K186" s="8" t="str">
        <f aca="false">IF(I186=0,"OK",IF(D186="CBP","Complemento CBP","ERRO: excede CBTBE"))</f>
        <v>OK</v>
      </c>
    </row>
    <row r="187" customFormat="false" ht="15" hidden="false" customHeight="false" outlineLevel="0" collapsed="false">
      <c r="A187" s="8" t="s">
        <v>1033</v>
      </c>
      <c r="B187" s="8" t="s">
        <v>1034</v>
      </c>
      <c r="C187" s="8" t="s">
        <v>1035</v>
      </c>
      <c r="D187" s="8" t="s">
        <v>19</v>
      </c>
      <c r="E187" s="8" t="n">
        <v>20</v>
      </c>
      <c r="F187" s="11" t="n">
        <f aca="false">IF(D187="CBP",SUMIF(Itens!$A:$A,A187,Itens!$I:$I),SUMIF(Itens!$A:$A,A187,Itens!$J:$J))</f>
        <v>0</v>
      </c>
      <c r="G187" s="8" t="n">
        <f aca="false">MAX(0,E187-F187)</f>
        <v>20</v>
      </c>
      <c r="H187" s="14" t="n">
        <f aca="false">IF(E187=0,0,MIN(1,F187/E187))</f>
        <v>0</v>
      </c>
      <c r="I187" s="8" t="n">
        <f aca="false">MAX(0,F187-E187)</f>
        <v>0</v>
      </c>
      <c r="J187" s="8" t="n">
        <f aca="false">E187+I187</f>
        <v>20</v>
      </c>
      <c r="K187" s="8" t="str">
        <f aca="false">IF(I187=0,"OK",IF(D187="CBP","Complemento CBP","ERRO: excede CBTBE"))</f>
        <v>OK</v>
      </c>
    </row>
    <row r="188" customFormat="false" ht="15" hidden="false" customHeight="false" outlineLevel="0" collapsed="false">
      <c r="A188" s="8" t="s">
        <v>1036</v>
      </c>
      <c r="B188" s="8" t="s">
        <v>1037</v>
      </c>
      <c r="C188" s="8" t="s">
        <v>1038</v>
      </c>
      <c r="D188" s="8" t="s">
        <v>19</v>
      </c>
      <c r="E188" s="8" t="n">
        <v>20</v>
      </c>
      <c r="F188" s="11" t="n">
        <f aca="false">IF(D188="CBP",SUMIF(Itens!$A:$A,A188,Itens!$I:$I),SUMIF(Itens!$A:$A,A188,Itens!$J:$J))</f>
        <v>0</v>
      </c>
      <c r="G188" s="8" t="n">
        <f aca="false">MAX(0,E188-F188)</f>
        <v>20</v>
      </c>
      <c r="H188" s="14" t="n">
        <f aca="false">IF(E188=0,0,MIN(1,F188/E188))</f>
        <v>0</v>
      </c>
      <c r="I188" s="8" t="n">
        <f aca="false">MAX(0,F188-E188)</f>
        <v>0</v>
      </c>
      <c r="J188" s="8" t="n">
        <f aca="false">E188+I188</f>
        <v>20</v>
      </c>
      <c r="K188" s="8" t="str">
        <f aca="false">IF(I188=0,"OK",IF(D188="CBP","Complemento CBP","ERRO: excede CBTBE"))</f>
        <v>OK</v>
      </c>
    </row>
    <row r="189" customFormat="false" ht="15" hidden="false" customHeight="false" outlineLevel="0" collapsed="false">
      <c r="A189" s="8" t="s">
        <v>519</v>
      </c>
      <c r="B189" s="8" t="s">
        <v>520</v>
      </c>
      <c r="C189" s="8" t="s">
        <v>953</v>
      </c>
      <c r="D189" s="8" t="s">
        <v>19</v>
      </c>
      <c r="E189" s="8" t="n">
        <v>20</v>
      </c>
      <c r="F189" s="11" t="n">
        <f aca="false">IF(D189="CBP",SUMIF(Itens!$A:$A,A189,Itens!$I:$I),SUMIF(Itens!$A:$A,A189,Itens!$J:$J))</f>
        <v>20</v>
      </c>
      <c r="G189" s="8" t="n">
        <f aca="false">MAX(0,E189-F189)</f>
        <v>0</v>
      </c>
      <c r="H189" s="14" t="n">
        <f aca="false">IF(E189=0,0,MIN(1,F189/E189))</f>
        <v>1</v>
      </c>
      <c r="I189" s="8" t="n">
        <f aca="false">MAX(0,F189-E189)</f>
        <v>0</v>
      </c>
      <c r="J189" s="8" t="n">
        <f aca="false">E189+I189</f>
        <v>20</v>
      </c>
      <c r="K189" s="8" t="str">
        <f aca="false">IF(I189=0,"OK",IF(D189="CBP","Complemento CBP","ERRO: excede CBTBE"))</f>
        <v>OK</v>
      </c>
    </row>
    <row r="190" customFormat="false" ht="15" hidden="false" customHeight="false" outlineLevel="0" collapsed="false">
      <c r="A190" s="8" t="s">
        <v>449</v>
      </c>
      <c r="B190" s="8" t="s">
        <v>450</v>
      </c>
      <c r="C190" s="8" t="s">
        <v>1039</v>
      </c>
      <c r="D190" s="8" t="s">
        <v>19</v>
      </c>
      <c r="E190" s="8" t="n">
        <v>20</v>
      </c>
      <c r="F190" s="11" t="n">
        <f aca="false">IF(D190="CBP",SUMIF(Itens!$A:$A,A190,Itens!$I:$I),SUMIF(Itens!$A:$A,A190,Itens!$J:$J))</f>
        <v>34</v>
      </c>
      <c r="G190" s="8" t="n">
        <f aca="false">MAX(0,E190-F190)</f>
        <v>0</v>
      </c>
      <c r="H190" s="14" t="n">
        <f aca="false">IF(E190=0,0,MIN(1,F190/E190))</f>
        <v>1</v>
      </c>
      <c r="I190" s="8" t="n">
        <f aca="false">MAX(0,F190-E190)</f>
        <v>14</v>
      </c>
      <c r="J190" s="8" t="n">
        <f aca="false">E190+I190</f>
        <v>34</v>
      </c>
      <c r="K190" s="8" t="str">
        <f aca="false">IF(I190=0,"OK",IF(D190="CBP","Complemento CBP","ERRO: excede CBTBE"))</f>
        <v>Complemento CBP</v>
      </c>
    </row>
    <row r="191" customFormat="false" ht="15" hidden="false" customHeight="false" outlineLevel="0" collapsed="false">
      <c r="A191" s="8" t="s">
        <v>1040</v>
      </c>
      <c r="B191" s="8" t="s">
        <v>1041</v>
      </c>
      <c r="C191" s="8" t="s">
        <v>950</v>
      </c>
      <c r="D191" s="8" t="s">
        <v>19</v>
      </c>
      <c r="E191" s="8" t="n">
        <v>20</v>
      </c>
      <c r="F191" s="11" t="n">
        <f aca="false">IF(D191="CBP",SUMIF(Itens!$A:$A,A191,Itens!$I:$I),SUMIF(Itens!$A:$A,A191,Itens!$J:$J))</f>
        <v>0</v>
      </c>
      <c r="G191" s="8" t="n">
        <f aca="false">MAX(0,E191-F191)</f>
        <v>20</v>
      </c>
      <c r="H191" s="14" t="n">
        <f aca="false">IF(E191=0,0,MIN(1,F191/E191))</f>
        <v>0</v>
      </c>
      <c r="I191" s="8" t="n">
        <f aca="false">MAX(0,F191-E191)</f>
        <v>0</v>
      </c>
      <c r="J191" s="8" t="n">
        <f aca="false">E191+I191</f>
        <v>20</v>
      </c>
      <c r="K191" s="8" t="str">
        <f aca="false">IF(I191=0,"OK",IF(D191="CBP","Complemento CBP","ERRO: excede CBTBE"))</f>
        <v>OK</v>
      </c>
    </row>
    <row r="192" customFormat="false" ht="15" hidden="false" customHeight="false" outlineLevel="0" collapsed="false">
      <c r="A192" s="8" t="s">
        <v>675</v>
      </c>
      <c r="B192" s="8" t="s">
        <v>676</v>
      </c>
      <c r="C192" s="8" t="s">
        <v>1042</v>
      </c>
      <c r="D192" s="8" t="s">
        <v>19</v>
      </c>
      <c r="E192" s="8" t="n">
        <v>20</v>
      </c>
      <c r="F192" s="11" t="n">
        <f aca="false">IF(D192="CBP",SUMIF(Itens!$A:$A,A192,Itens!$I:$I),SUMIF(Itens!$A:$A,A192,Itens!$J:$J))</f>
        <v>0</v>
      </c>
      <c r="G192" s="8" t="n">
        <f aca="false">MAX(0,E192-F192)</f>
        <v>20</v>
      </c>
      <c r="H192" s="14" t="n">
        <f aca="false">IF(E192=0,0,MIN(1,F192/E192))</f>
        <v>0</v>
      </c>
      <c r="I192" s="8" t="n">
        <f aca="false">MAX(0,F192-E192)</f>
        <v>0</v>
      </c>
      <c r="J192" s="8" t="n">
        <f aca="false">E192+I192</f>
        <v>20</v>
      </c>
      <c r="K192" s="8" t="str">
        <f aca="false">IF(I192=0,"OK",IF(D192="CBP","Complemento CBP","ERRO: excede CBTBE"))</f>
        <v>OK</v>
      </c>
    </row>
    <row r="193" customFormat="false" ht="15" hidden="false" customHeight="false" outlineLevel="0" collapsed="false">
      <c r="A193" s="8" t="s">
        <v>665</v>
      </c>
      <c r="B193" s="8" t="s">
        <v>666</v>
      </c>
      <c r="C193" s="8" t="s">
        <v>974</v>
      </c>
      <c r="D193" s="8" t="s">
        <v>19</v>
      </c>
      <c r="E193" s="8" t="n">
        <v>20</v>
      </c>
      <c r="F193" s="11" t="n">
        <f aca="false">IF(D193="CBP",SUMIF(Itens!$A:$A,A193,Itens!$I:$I),SUMIF(Itens!$A:$A,A193,Itens!$J:$J))</f>
        <v>14</v>
      </c>
      <c r="G193" s="8" t="n">
        <f aca="false">MAX(0,E193-F193)</f>
        <v>6</v>
      </c>
      <c r="H193" s="14" t="n">
        <f aca="false">IF(E193=0,0,MIN(1,F193/E193))</f>
        <v>0.7</v>
      </c>
      <c r="I193" s="8" t="n">
        <f aca="false">MAX(0,F193-E193)</f>
        <v>0</v>
      </c>
      <c r="J193" s="8" t="n">
        <f aca="false">E193+I193</f>
        <v>20</v>
      </c>
      <c r="K193" s="8" t="str">
        <f aca="false">IF(I193=0,"OK",IF(D193="CBP","Complemento CBP","ERRO: excede CBTBE"))</f>
        <v>OK</v>
      </c>
    </row>
    <row r="194" customFormat="false" ht="15" hidden="false" customHeight="false" outlineLevel="0" collapsed="false">
      <c r="A194" s="8" t="s">
        <v>1043</v>
      </c>
      <c r="B194" s="8" t="s">
        <v>1044</v>
      </c>
      <c r="C194" s="8" t="s">
        <v>1008</v>
      </c>
      <c r="D194" s="8" t="s">
        <v>19</v>
      </c>
      <c r="E194" s="8" t="n">
        <v>20</v>
      </c>
      <c r="F194" s="11" t="n">
        <f aca="false">IF(D194="CBP",SUMIF(Itens!$A:$A,A194,Itens!$I:$I),SUMIF(Itens!$A:$A,A194,Itens!$J:$J))</f>
        <v>0</v>
      </c>
      <c r="G194" s="8" t="n">
        <f aca="false">MAX(0,E194-F194)</f>
        <v>20</v>
      </c>
      <c r="H194" s="14" t="n">
        <f aca="false">IF(E194=0,0,MIN(1,F194/E194))</f>
        <v>0</v>
      </c>
      <c r="I194" s="8" t="n">
        <f aca="false">MAX(0,F194-E194)</f>
        <v>0</v>
      </c>
      <c r="J194" s="8" t="n">
        <f aca="false">E194+I194</f>
        <v>20</v>
      </c>
      <c r="K194" s="8" t="str">
        <f aca="false">IF(I194=0,"OK",IF(D194="CBP","Complemento CBP","ERRO: excede CBTBE"))</f>
        <v>OK</v>
      </c>
    </row>
    <row r="195" customFormat="false" ht="15" hidden="false" customHeight="false" outlineLevel="0" collapsed="false">
      <c r="A195" s="8" t="s">
        <v>1045</v>
      </c>
      <c r="B195" s="8" t="s">
        <v>1046</v>
      </c>
      <c r="C195" s="8" t="s">
        <v>1047</v>
      </c>
      <c r="D195" s="8" t="s">
        <v>19</v>
      </c>
      <c r="E195" s="8" t="n">
        <v>20</v>
      </c>
      <c r="F195" s="11" t="n">
        <f aca="false">IF(D195="CBP",SUMIF(Itens!$A:$A,A195,Itens!$I:$I),SUMIF(Itens!$A:$A,A195,Itens!$J:$J))</f>
        <v>0</v>
      </c>
      <c r="G195" s="8" t="n">
        <f aca="false">MAX(0,E195-F195)</f>
        <v>20</v>
      </c>
      <c r="H195" s="14" t="n">
        <f aca="false">IF(E195=0,0,MIN(1,F195/E195))</f>
        <v>0</v>
      </c>
      <c r="I195" s="8" t="n">
        <f aca="false">MAX(0,F195-E195)</f>
        <v>0</v>
      </c>
      <c r="J195" s="8" t="n">
        <f aca="false">E195+I195</f>
        <v>20</v>
      </c>
      <c r="K195" s="8" t="str">
        <f aca="false">IF(I195=0,"OK",IF(D195="CBP","Complemento CBP","ERRO: excede CBTBE"))</f>
        <v>OK</v>
      </c>
    </row>
    <row r="196" customFormat="false" ht="15" hidden="false" customHeight="false" outlineLevel="0" collapsed="false">
      <c r="A196" s="8" t="s">
        <v>521</v>
      </c>
      <c r="B196" s="8" t="s">
        <v>522</v>
      </c>
      <c r="C196" s="8" t="s">
        <v>851</v>
      </c>
      <c r="D196" s="8" t="s">
        <v>19</v>
      </c>
      <c r="E196" s="8" t="n">
        <v>18</v>
      </c>
      <c r="F196" s="11" t="n">
        <f aca="false">IF(D196="CBP",SUMIF(Itens!$A:$A,A196,Itens!$I:$I),SUMIF(Itens!$A:$A,A196,Itens!$J:$J))</f>
        <v>44</v>
      </c>
      <c r="G196" s="8" t="n">
        <f aca="false">MAX(0,E196-F196)</f>
        <v>0</v>
      </c>
      <c r="H196" s="14" t="n">
        <f aca="false">IF(E196=0,0,MIN(1,F196/E196))</f>
        <v>1</v>
      </c>
      <c r="I196" s="8" t="n">
        <f aca="false">MAX(0,F196-E196)</f>
        <v>26</v>
      </c>
      <c r="J196" s="8" t="n">
        <f aca="false">E196+I196</f>
        <v>44</v>
      </c>
      <c r="K196" s="8" t="str">
        <f aca="false">IF(I196=0,"OK",IF(D196="CBP","Complemento CBP","ERRO: excede CBTBE"))</f>
        <v>Complemento CBP</v>
      </c>
    </row>
    <row r="197" customFormat="false" ht="15" hidden="false" customHeight="false" outlineLevel="0" collapsed="false">
      <c r="A197" s="8" t="s">
        <v>1048</v>
      </c>
      <c r="B197" s="8" t="s">
        <v>1049</v>
      </c>
      <c r="C197" s="8" t="s">
        <v>1050</v>
      </c>
      <c r="D197" s="8" t="s">
        <v>19</v>
      </c>
      <c r="E197" s="8" t="n">
        <v>18</v>
      </c>
      <c r="F197" s="11" t="n">
        <f aca="false">IF(D197="CBP",SUMIF(Itens!$A:$A,A197,Itens!$I:$I),SUMIF(Itens!$A:$A,A197,Itens!$J:$J))</f>
        <v>0</v>
      </c>
      <c r="G197" s="8" t="n">
        <f aca="false">MAX(0,E197-F197)</f>
        <v>18</v>
      </c>
      <c r="H197" s="14" t="n">
        <f aca="false">IF(E197=0,0,MIN(1,F197/E197))</f>
        <v>0</v>
      </c>
      <c r="I197" s="8" t="n">
        <f aca="false">MAX(0,F197-E197)</f>
        <v>0</v>
      </c>
      <c r="J197" s="8" t="n">
        <f aca="false">E197+I197</f>
        <v>18</v>
      </c>
      <c r="K197" s="8" t="str">
        <f aca="false">IF(I197=0,"OK",IF(D197="CBP","Complemento CBP","ERRO: excede CBTBE"))</f>
        <v>OK</v>
      </c>
    </row>
    <row r="198" customFormat="false" ht="15" hidden="false" customHeight="false" outlineLevel="0" collapsed="false">
      <c r="A198" s="8" t="s">
        <v>1051</v>
      </c>
      <c r="B198" s="8" t="s">
        <v>1052</v>
      </c>
      <c r="C198" s="8" t="s">
        <v>1053</v>
      </c>
      <c r="D198" s="8" t="s">
        <v>19</v>
      </c>
      <c r="E198" s="8" t="n">
        <v>18</v>
      </c>
      <c r="F198" s="11" t="n">
        <f aca="false">IF(D198="CBP",SUMIF(Itens!$A:$A,A198,Itens!$I:$I),SUMIF(Itens!$A:$A,A198,Itens!$J:$J))</f>
        <v>0</v>
      </c>
      <c r="G198" s="8" t="n">
        <f aca="false">MAX(0,E198-F198)</f>
        <v>18</v>
      </c>
      <c r="H198" s="14" t="n">
        <f aca="false">IF(E198=0,0,MIN(1,F198/E198))</f>
        <v>0</v>
      </c>
      <c r="I198" s="8" t="n">
        <f aca="false">MAX(0,F198-E198)</f>
        <v>0</v>
      </c>
      <c r="J198" s="8" t="n">
        <f aca="false">E198+I198</f>
        <v>18</v>
      </c>
      <c r="K198" s="8" t="str">
        <f aca="false">IF(I198=0,"OK",IF(D198="CBP","Complemento CBP","ERRO: excede CBTBE"))</f>
        <v>OK</v>
      </c>
    </row>
    <row r="199" customFormat="false" ht="15" hidden="false" customHeight="false" outlineLevel="0" collapsed="false">
      <c r="A199" s="8" t="s">
        <v>533</v>
      </c>
      <c r="B199" s="8" t="s">
        <v>534</v>
      </c>
      <c r="C199" s="8" t="s">
        <v>1054</v>
      </c>
      <c r="D199" s="8" t="s">
        <v>19</v>
      </c>
      <c r="E199" s="8" t="n">
        <v>18</v>
      </c>
      <c r="F199" s="11" t="n">
        <f aca="false">IF(D199="CBP",SUMIF(Itens!$A:$A,A199,Itens!$I:$I),SUMIF(Itens!$A:$A,A199,Itens!$J:$J))</f>
        <v>18</v>
      </c>
      <c r="G199" s="8" t="n">
        <f aca="false">MAX(0,E199-F199)</f>
        <v>0</v>
      </c>
      <c r="H199" s="14" t="n">
        <f aca="false">IF(E199=0,0,MIN(1,F199/E199))</f>
        <v>1</v>
      </c>
      <c r="I199" s="8" t="n">
        <f aca="false">MAX(0,F199-E199)</f>
        <v>0</v>
      </c>
      <c r="J199" s="8" t="n">
        <f aca="false">E199+I199</f>
        <v>18</v>
      </c>
      <c r="K199" s="8" t="str">
        <f aca="false">IF(I199=0,"OK",IF(D199="CBP","Complemento CBP","ERRO: excede CBTBE"))</f>
        <v>OK</v>
      </c>
    </row>
    <row r="200" customFormat="false" ht="15" hidden="false" customHeight="false" outlineLevel="0" collapsed="false">
      <c r="A200" s="8" t="s">
        <v>559</v>
      </c>
      <c r="B200" s="8" t="s">
        <v>560</v>
      </c>
      <c r="C200" s="8" t="s">
        <v>952</v>
      </c>
      <c r="D200" s="8" t="s">
        <v>19</v>
      </c>
      <c r="E200" s="8" t="n">
        <v>15</v>
      </c>
      <c r="F200" s="11" t="n">
        <f aca="false">IF(D200="CBP",SUMIF(Itens!$A:$A,A200,Itens!$I:$I),SUMIF(Itens!$A:$A,A200,Itens!$J:$J))</f>
        <v>0</v>
      </c>
      <c r="G200" s="8" t="n">
        <f aca="false">MAX(0,E200-F200)</f>
        <v>15</v>
      </c>
      <c r="H200" s="14" t="n">
        <f aca="false">IF(E200=0,0,MIN(1,F200/E200))</f>
        <v>0</v>
      </c>
      <c r="I200" s="8" t="n">
        <f aca="false">MAX(0,F200-E200)</f>
        <v>0</v>
      </c>
      <c r="J200" s="8" t="n">
        <f aca="false">E200+I200</f>
        <v>15</v>
      </c>
      <c r="K200" s="8" t="str">
        <f aca="false">IF(I200=0,"OK",IF(D200="CBP","Complemento CBP","ERRO: excede CBTBE"))</f>
        <v>OK</v>
      </c>
    </row>
    <row r="201" customFormat="false" ht="15" hidden="false" customHeight="false" outlineLevel="0" collapsed="false">
      <c r="A201" s="8" t="s">
        <v>673</v>
      </c>
      <c r="B201" s="8" t="s">
        <v>674</v>
      </c>
      <c r="C201" s="8" t="s">
        <v>1008</v>
      </c>
      <c r="D201" s="8" t="s">
        <v>19</v>
      </c>
      <c r="E201" s="8" t="n">
        <v>15</v>
      </c>
      <c r="F201" s="11" t="n">
        <f aca="false">IF(D201="CBP",SUMIF(Itens!$A:$A,A201,Itens!$I:$I),SUMIF(Itens!$A:$A,A201,Itens!$J:$J))</f>
        <v>15</v>
      </c>
      <c r="G201" s="8" t="n">
        <f aca="false">MAX(0,E201-F201)</f>
        <v>0</v>
      </c>
      <c r="H201" s="14" t="n">
        <f aca="false">IF(E201=0,0,MIN(1,F201/E201))</f>
        <v>1</v>
      </c>
      <c r="I201" s="8" t="n">
        <f aca="false">MAX(0,F201-E201)</f>
        <v>0</v>
      </c>
      <c r="J201" s="8" t="n">
        <f aca="false">E201+I201</f>
        <v>15</v>
      </c>
      <c r="K201" s="8" t="str">
        <f aca="false">IF(I201=0,"OK",IF(D201="CBP","Complemento CBP","ERRO: excede CBTBE"))</f>
        <v>OK</v>
      </c>
    </row>
    <row r="202" customFormat="false" ht="15" hidden="false" customHeight="false" outlineLevel="0" collapsed="false">
      <c r="A202" s="8" t="s">
        <v>1055</v>
      </c>
      <c r="B202" s="8" t="s">
        <v>1056</v>
      </c>
      <c r="C202" s="8" t="s">
        <v>1057</v>
      </c>
      <c r="D202" s="8" t="s">
        <v>19</v>
      </c>
      <c r="E202" s="8" t="n">
        <v>15</v>
      </c>
      <c r="F202" s="11" t="n">
        <f aca="false">IF(D202="CBP",SUMIF(Itens!$A:$A,A202,Itens!$I:$I),SUMIF(Itens!$A:$A,A202,Itens!$J:$J))</f>
        <v>0</v>
      </c>
      <c r="G202" s="8" t="n">
        <f aca="false">MAX(0,E202-F202)</f>
        <v>15</v>
      </c>
      <c r="H202" s="14" t="n">
        <f aca="false">IF(E202=0,0,MIN(1,F202/E202))</f>
        <v>0</v>
      </c>
      <c r="I202" s="8" t="n">
        <f aca="false">MAX(0,F202-E202)</f>
        <v>0</v>
      </c>
      <c r="J202" s="8" t="n">
        <f aca="false">E202+I202</f>
        <v>15</v>
      </c>
      <c r="K202" s="8" t="str">
        <f aca="false">IF(I202=0,"OK",IF(D202="CBP","Complemento CBP","ERRO: excede CBTBE"))</f>
        <v>OK</v>
      </c>
    </row>
    <row r="203" customFormat="false" ht="15" hidden="false" customHeight="false" outlineLevel="0" collapsed="false">
      <c r="A203" s="8" t="s">
        <v>1058</v>
      </c>
      <c r="B203" s="8" t="s">
        <v>1059</v>
      </c>
      <c r="C203" s="8" t="s">
        <v>1060</v>
      </c>
      <c r="D203" s="8" t="s">
        <v>19</v>
      </c>
      <c r="E203" s="8" t="n">
        <v>13</v>
      </c>
      <c r="F203" s="11" t="n">
        <f aca="false">IF(D203="CBP",SUMIF(Itens!$A:$A,A203,Itens!$I:$I),SUMIF(Itens!$A:$A,A203,Itens!$J:$J))</f>
        <v>0</v>
      </c>
      <c r="G203" s="8" t="n">
        <f aca="false">MAX(0,E203-F203)</f>
        <v>13</v>
      </c>
      <c r="H203" s="14" t="n">
        <f aca="false">IF(E203=0,0,MIN(1,F203/E203))</f>
        <v>0</v>
      </c>
      <c r="I203" s="8" t="n">
        <f aca="false">MAX(0,F203-E203)</f>
        <v>0</v>
      </c>
      <c r="J203" s="8" t="n">
        <f aca="false">E203+I203</f>
        <v>13</v>
      </c>
      <c r="K203" s="8" t="str">
        <f aca="false">IF(I203=0,"OK",IF(D203="CBP","Complemento CBP","ERRO: excede CBTBE"))</f>
        <v>OK</v>
      </c>
    </row>
    <row r="204" customFormat="false" ht="15" hidden="false" customHeight="false" outlineLevel="0" collapsed="false">
      <c r="A204" s="8" t="s">
        <v>545</v>
      </c>
      <c r="B204" s="8" t="s">
        <v>546</v>
      </c>
      <c r="C204" s="8" t="s">
        <v>1061</v>
      </c>
      <c r="D204" s="8" t="s">
        <v>19</v>
      </c>
      <c r="E204" s="8" t="n">
        <v>13</v>
      </c>
      <c r="F204" s="11" t="n">
        <f aca="false">IF(D204="CBP",SUMIF(Itens!$A:$A,A204,Itens!$I:$I),SUMIF(Itens!$A:$A,A204,Itens!$J:$J))</f>
        <v>16</v>
      </c>
      <c r="G204" s="8" t="n">
        <f aca="false">MAX(0,E204-F204)</f>
        <v>0</v>
      </c>
      <c r="H204" s="14" t="n">
        <f aca="false">IF(E204=0,0,MIN(1,F204/E204))</f>
        <v>1</v>
      </c>
      <c r="I204" s="8" t="n">
        <f aca="false">MAX(0,F204-E204)</f>
        <v>3</v>
      </c>
      <c r="J204" s="8" t="n">
        <f aca="false">E204+I204</f>
        <v>16</v>
      </c>
      <c r="K204" s="8" t="str">
        <f aca="false">IF(I204=0,"OK",IF(D204="CBP","Complemento CBP","ERRO: excede CBTBE"))</f>
        <v>Complemento CBP</v>
      </c>
    </row>
    <row r="205" customFormat="false" ht="15" hidden="false" customHeight="false" outlineLevel="0" collapsed="false">
      <c r="A205" s="8" t="s">
        <v>491</v>
      </c>
      <c r="B205" s="8" t="s">
        <v>492</v>
      </c>
      <c r="C205" s="8" t="s">
        <v>916</v>
      </c>
      <c r="D205" s="8" t="s">
        <v>19</v>
      </c>
      <c r="E205" s="8" t="n">
        <v>13</v>
      </c>
      <c r="F205" s="11" t="n">
        <f aca="false">IF(D205="CBP",SUMIF(Itens!$A:$A,A205,Itens!$I:$I),SUMIF(Itens!$A:$A,A205,Itens!$J:$J))</f>
        <v>13</v>
      </c>
      <c r="G205" s="8" t="n">
        <f aca="false">MAX(0,E205-F205)</f>
        <v>0</v>
      </c>
      <c r="H205" s="14" t="n">
        <f aca="false">IF(E205=0,0,MIN(1,F205/E205))</f>
        <v>1</v>
      </c>
      <c r="I205" s="8" t="n">
        <f aca="false">MAX(0,F205-E205)</f>
        <v>0</v>
      </c>
      <c r="J205" s="8" t="n">
        <f aca="false">E205+I205</f>
        <v>13</v>
      </c>
      <c r="K205" s="8" t="str">
        <f aca="false">IF(I205=0,"OK",IF(D205="CBP","Complemento CBP","ERRO: excede CBTBE"))</f>
        <v>OK</v>
      </c>
    </row>
    <row r="206" customFormat="false" ht="15" hidden="false" customHeight="false" outlineLevel="0" collapsed="false">
      <c r="A206" s="8" t="s">
        <v>539</v>
      </c>
      <c r="B206" s="8" t="s">
        <v>540</v>
      </c>
      <c r="C206" s="8" t="s">
        <v>800</v>
      </c>
      <c r="D206" s="8" t="s">
        <v>19</v>
      </c>
      <c r="E206" s="8" t="n">
        <v>13</v>
      </c>
      <c r="F206" s="11" t="n">
        <f aca="false">IF(D206="CBP",SUMIF(Itens!$A:$A,A206,Itens!$I:$I),SUMIF(Itens!$A:$A,A206,Itens!$J:$J))</f>
        <v>30</v>
      </c>
      <c r="G206" s="8" t="n">
        <f aca="false">MAX(0,E206-F206)</f>
        <v>0</v>
      </c>
      <c r="H206" s="14" t="n">
        <f aca="false">IF(E206=0,0,MIN(1,F206/E206))</f>
        <v>1</v>
      </c>
      <c r="I206" s="8" t="n">
        <f aca="false">MAX(0,F206-E206)</f>
        <v>17</v>
      </c>
      <c r="J206" s="8" t="n">
        <f aca="false">E206+I206</f>
        <v>30</v>
      </c>
      <c r="K206" s="8" t="str">
        <f aca="false">IF(I206=0,"OK",IF(D206="CBP","Complemento CBP","ERRO: excede CBTBE"))</f>
        <v>Complemento CBP</v>
      </c>
    </row>
    <row r="207" customFormat="false" ht="15" hidden="false" customHeight="false" outlineLevel="0" collapsed="false">
      <c r="A207" s="8" t="s">
        <v>1062</v>
      </c>
      <c r="B207" s="8" t="s">
        <v>1063</v>
      </c>
      <c r="C207" s="8" t="s">
        <v>1064</v>
      </c>
      <c r="D207" s="8" t="s">
        <v>19</v>
      </c>
      <c r="E207" s="8" t="n">
        <v>13</v>
      </c>
      <c r="F207" s="11" t="n">
        <f aca="false">IF(D207="CBP",SUMIF(Itens!$A:$A,A207,Itens!$I:$I),SUMIF(Itens!$A:$A,A207,Itens!$J:$J))</f>
        <v>0</v>
      </c>
      <c r="G207" s="8" t="n">
        <f aca="false">MAX(0,E207-F207)</f>
        <v>13</v>
      </c>
      <c r="H207" s="14" t="n">
        <f aca="false">IF(E207=0,0,MIN(1,F207/E207))</f>
        <v>0</v>
      </c>
      <c r="I207" s="8" t="n">
        <f aca="false">MAX(0,F207-E207)</f>
        <v>0</v>
      </c>
      <c r="J207" s="8" t="n">
        <f aca="false">E207+I207</f>
        <v>13</v>
      </c>
      <c r="K207" s="8" t="str">
        <f aca="false">IF(I207=0,"OK",IF(D207="CBP","Complemento CBP","ERRO: excede CBTBE"))</f>
        <v>OK</v>
      </c>
    </row>
    <row r="208" customFormat="false" ht="15" hidden="false" customHeight="false" outlineLevel="0" collapsed="false">
      <c r="A208" s="8" t="s">
        <v>619</v>
      </c>
      <c r="B208" s="8" t="s">
        <v>620</v>
      </c>
      <c r="C208" s="8" t="s">
        <v>806</v>
      </c>
      <c r="D208" s="8" t="s">
        <v>19</v>
      </c>
      <c r="E208" s="8" t="n">
        <v>10</v>
      </c>
      <c r="F208" s="11" t="n">
        <f aca="false">IF(D208="CBP",SUMIF(Itens!$A:$A,A208,Itens!$I:$I),SUMIF(Itens!$A:$A,A208,Itens!$J:$J))</f>
        <v>10</v>
      </c>
      <c r="G208" s="8" t="n">
        <f aca="false">MAX(0,E208-F208)</f>
        <v>0</v>
      </c>
      <c r="H208" s="14" t="n">
        <f aca="false">IF(E208=0,0,MIN(1,F208/E208))</f>
        <v>1</v>
      </c>
      <c r="I208" s="8" t="n">
        <f aca="false">MAX(0,F208-E208)</f>
        <v>0</v>
      </c>
      <c r="J208" s="8" t="n">
        <f aca="false">E208+I208</f>
        <v>10</v>
      </c>
      <c r="K208" s="8" t="str">
        <f aca="false">IF(I208=0,"OK",IF(D208="CBP","Complemento CBP","ERRO: excede CBTBE"))</f>
        <v>OK</v>
      </c>
    </row>
    <row r="209" customFormat="false" ht="15" hidden="false" customHeight="false" outlineLevel="0" collapsed="false">
      <c r="A209" s="8" t="s">
        <v>581</v>
      </c>
      <c r="B209" s="8" t="s">
        <v>582</v>
      </c>
      <c r="C209" s="8" t="s">
        <v>853</v>
      </c>
      <c r="D209" s="8" t="s">
        <v>19</v>
      </c>
      <c r="E209" s="8" t="n">
        <v>10</v>
      </c>
      <c r="F209" s="11" t="n">
        <f aca="false">IF(D209="CBP",SUMIF(Itens!$A:$A,A209,Itens!$I:$I),SUMIF(Itens!$A:$A,A209,Itens!$J:$J))</f>
        <v>10</v>
      </c>
      <c r="G209" s="8" t="n">
        <f aca="false">MAX(0,E209-F209)</f>
        <v>0</v>
      </c>
      <c r="H209" s="14" t="n">
        <f aca="false">IF(E209=0,0,MIN(1,F209/E209))</f>
        <v>1</v>
      </c>
      <c r="I209" s="8" t="n">
        <f aca="false">MAX(0,F209-E209)</f>
        <v>0</v>
      </c>
      <c r="J209" s="8" t="n">
        <f aca="false">E209+I209</f>
        <v>10</v>
      </c>
      <c r="K209" s="8" t="str">
        <f aca="false">IF(I209=0,"OK",IF(D209="CBP","Complemento CBP","ERRO: excede CBTBE"))</f>
        <v>OK</v>
      </c>
    </row>
    <row r="210" customFormat="false" ht="15" hidden="false" customHeight="false" outlineLevel="0" collapsed="false">
      <c r="A210" s="8" t="s">
        <v>1065</v>
      </c>
      <c r="B210" s="8" t="s">
        <v>1066</v>
      </c>
      <c r="C210" s="8" t="s">
        <v>845</v>
      </c>
      <c r="D210" s="8" t="s">
        <v>19</v>
      </c>
      <c r="E210" s="8" t="n">
        <v>10</v>
      </c>
      <c r="F210" s="11" t="n">
        <f aca="false">IF(D210="CBP",SUMIF(Itens!$A:$A,A210,Itens!$I:$I),SUMIF(Itens!$A:$A,A210,Itens!$J:$J))</f>
        <v>0</v>
      </c>
      <c r="G210" s="8" t="n">
        <f aca="false">MAX(0,E210-F210)</f>
        <v>10</v>
      </c>
      <c r="H210" s="14" t="n">
        <f aca="false">IF(E210=0,0,MIN(1,F210/E210))</f>
        <v>0</v>
      </c>
      <c r="I210" s="8" t="n">
        <f aca="false">MAX(0,F210-E210)</f>
        <v>0</v>
      </c>
      <c r="J210" s="8" t="n">
        <f aca="false">E210+I210</f>
        <v>10</v>
      </c>
      <c r="K210" s="8" t="str">
        <f aca="false">IF(I210=0,"OK",IF(D210="CBP","Complemento CBP","ERRO: excede CBTBE"))</f>
        <v>OK</v>
      </c>
    </row>
    <row r="211" customFormat="false" ht="15" hidden="false" customHeight="false" outlineLevel="0" collapsed="false">
      <c r="A211" s="8" t="s">
        <v>535</v>
      </c>
      <c r="B211" s="8" t="s">
        <v>536</v>
      </c>
      <c r="C211" s="8" t="s">
        <v>953</v>
      </c>
      <c r="D211" s="8" t="s">
        <v>19</v>
      </c>
      <c r="E211" s="8" t="n">
        <v>10</v>
      </c>
      <c r="F211" s="11" t="n">
        <f aca="false">IF(D211="CBP",SUMIF(Itens!$A:$A,A211,Itens!$I:$I),SUMIF(Itens!$A:$A,A211,Itens!$J:$J))</f>
        <v>10</v>
      </c>
      <c r="G211" s="8" t="n">
        <f aca="false">MAX(0,E211-F211)</f>
        <v>0</v>
      </c>
      <c r="H211" s="14" t="n">
        <f aca="false">IF(E211=0,0,MIN(1,F211/E211))</f>
        <v>1</v>
      </c>
      <c r="I211" s="8" t="n">
        <f aca="false">MAX(0,F211-E211)</f>
        <v>0</v>
      </c>
      <c r="J211" s="8" t="n">
        <f aca="false">E211+I211</f>
        <v>10</v>
      </c>
      <c r="K211" s="8" t="str">
        <f aca="false">IF(I211=0,"OK",IF(D211="CBP","Complemento CBP","ERRO: excede CBTBE"))</f>
        <v>OK</v>
      </c>
    </row>
    <row r="212" customFormat="false" ht="15" hidden="false" customHeight="false" outlineLevel="0" collapsed="false">
      <c r="A212" s="8" t="s">
        <v>1067</v>
      </c>
      <c r="B212" s="8" t="s">
        <v>1068</v>
      </c>
      <c r="C212" s="8" t="s">
        <v>1069</v>
      </c>
      <c r="D212" s="8" t="s">
        <v>19</v>
      </c>
      <c r="E212" s="8" t="n">
        <v>10</v>
      </c>
      <c r="F212" s="11" t="n">
        <f aca="false">IF(D212="CBP",SUMIF(Itens!$A:$A,A212,Itens!$I:$I),SUMIF(Itens!$A:$A,A212,Itens!$J:$J))</f>
        <v>0</v>
      </c>
      <c r="G212" s="8" t="n">
        <f aca="false">MAX(0,E212-F212)</f>
        <v>10</v>
      </c>
      <c r="H212" s="14" t="n">
        <f aca="false">IF(E212=0,0,MIN(1,F212/E212))</f>
        <v>0</v>
      </c>
      <c r="I212" s="8" t="n">
        <f aca="false">MAX(0,F212-E212)</f>
        <v>0</v>
      </c>
      <c r="J212" s="8" t="n">
        <f aca="false">E212+I212</f>
        <v>10</v>
      </c>
      <c r="K212" s="8" t="str">
        <f aca="false">IF(I212=0,"OK",IF(D212="CBP","Complemento CBP","ERRO: excede CBTBE"))</f>
        <v>OK</v>
      </c>
    </row>
    <row r="213" customFormat="false" ht="15" hidden="false" customHeight="false" outlineLevel="0" collapsed="false">
      <c r="A213" s="8" t="s">
        <v>483</v>
      </c>
      <c r="B213" s="8" t="s">
        <v>484</v>
      </c>
      <c r="C213" s="8" t="s">
        <v>829</v>
      </c>
      <c r="D213" s="8" t="s">
        <v>19</v>
      </c>
      <c r="E213" s="8" t="n">
        <v>10</v>
      </c>
      <c r="F213" s="11" t="n">
        <f aca="false">IF(D213="CBP",SUMIF(Itens!$A:$A,A213,Itens!$I:$I),SUMIF(Itens!$A:$A,A213,Itens!$J:$J))</f>
        <v>10</v>
      </c>
      <c r="G213" s="8" t="n">
        <f aca="false">MAX(0,E213-F213)</f>
        <v>0</v>
      </c>
      <c r="H213" s="14" t="n">
        <f aca="false">IF(E213=0,0,MIN(1,F213/E213))</f>
        <v>1</v>
      </c>
      <c r="I213" s="8" t="n">
        <f aca="false">MAX(0,F213-E213)</f>
        <v>0</v>
      </c>
      <c r="J213" s="8" t="n">
        <f aca="false">E213+I213</f>
        <v>10</v>
      </c>
      <c r="K213" s="8" t="str">
        <f aca="false">IF(I213=0,"OK",IF(D213="CBP","Complemento CBP","ERRO: excede CBTBE"))</f>
        <v>OK</v>
      </c>
    </row>
    <row r="214" customFormat="false" ht="15" hidden="false" customHeight="false" outlineLevel="0" collapsed="false">
      <c r="A214" s="8" t="s">
        <v>553</v>
      </c>
      <c r="B214" s="8" t="s">
        <v>554</v>
      </c>
      <c r="C214" s="8" t="s">
        <v>1070</v>
      </c>
      <c r="D214" s="8" t="s">
        <v>19</v>
      </c>
      <c r="E214" s="8" t="n">
        <v>10</v>
      </c>
      <c r="F214" s="11" t="n">
        <f aca="false">IF(D214="CBP",SUMIF(Itens!$A:$A,A214,Itens!$I:$I),SUMIF(Itens!$A:$A,A214,Itens!$J:$J))</f>
        <v>56</v>
      </c>
      <c r="G214" s="8" t="n">
        <f aca="false">MAX(0,E214-F214)</f>
        <v>0</v>
      </c>
      <c r="H214" s="14" t="n">
        <f aca="false">IF(E214=0,0,MIN(1,F214/E214))</f>
        <v>1</v>
      </c>
      <c r="I214" s="8" t="n">
        <f aca="false">MAX(0,F214-E214)</f>
        <v>46</v>
      </c>
      <c r="J214" s="8" t="n">
        <f aca="false">E214+I214</f>
        <v>56</v>
      </c>
      <c r="K214" s="8" t="str">
        <f aca="false">IF(I214=0,"OK",IF(D214="CBP","Complemento CBP","ERRO: excede CBTBE"))</f>
        <v>Complemento CBP</v>
      </c>
    </row>
    <row r="215" customFormat="false" ht="15" hidden="false" customHeight="false" outlineLevel="0" collapsed="false">
      <c r="A215" s="8" t="s">
        <v>1071</v>
      </c>
      <c r="B215" s="8" t="s">
        <v>1072</v>
      </c>
      <c r="C215" s="8" t="s">
        <v>845</v>
      </c>
      <c r="D215" s="8" t="s">
        <v>19</v>
      </c>
      <c r="E215" s="8" t="n">
        <v>8</v>
      </c>
      <c r="F215" s="11" t="n">
        <f aca="false">IF(D215="CBP",SUMIF(Itens!$A:$A,A215,Itens!$I:$I),SUMIF(Itens!$A:$A,A215,Itens!$J:$J))</f>
        <v>0</v>
      </c>
      <c r="G215" s="8" t="n">
        <f aca="false">MAX(0,E215-F215)</f>
        <v>8</v>
      </c>
      <c r="H215" s="14" t="n">
        <f aca="false">IF(E215=0,0,MIN(1,F215/E215))</f>
        <v>0</v>
      </c>
      <c r="I215" s="8" t="n">
        <f aca="false">MAX(0,F215-E215)</f>
        <v>0</v>
      </c>
      <c r="J215" s="8" t="n">
        <f aca="false">E215+I215</f>
        <v>8</v>
      </c>
      <c r="K215" s="8" t="str">
        <f aca="false">IF(I215=0,"OK",IF(D215="CBP","Complemento CBP","ERRO: excede CBTBE"))</f>
        <v>OK</v>
      </c>
    </row>
    <row r="216" customFormat="false" ht="15" hidden="false" customHeight="false" outlineLevel="0" collapsed="false">
      <c r="A216" s="8" t="s">
        <v>1073</v>
      </c>
      <c r="B216" s="8" t="s">
        <v>1074</v>
      </c>
      <c r="C216" s="8" t="s">
        <v>950</v>
      </c>
      <c r="D216" s="8" t="s">
        <v>19</v>
      </c>
      <c r="E216" s="8" t="n">
        <v>8</v>
      </c>
      <c r="F216" s="11" t="n">
        <f aca="false">IF(D216="CBP",SUMIF(Itens!$A:$A,A216,Itens!$I:$I),SUMIF(Itens!$A:$A,A216,Itens!$J:$J))</f>
        <v>0</v>
      </c>
      <c r="G216" s="8" t="n">
        <f aca="false">MAX(0,E216-F216)</f>
        <v>8</v>
      </c>
      <c r="H216" s="14" t="n">
        <f aca="false">IF(E216=0,0,MIN(1,F216/E216))</f>
        <v>0</v>
      </c>
      <c r="I216" s="8" t="n">
        <f aca="false">MAX(0,F216-E216)</f>
        <v>0</v>
      </c>
      <c r="J216" s="8" t="n">
        <f aca="false">E216+I216</f>
        <v>8</v>
      </c>
      <c r="K216" s="8" t="str">
        <f aca="false">IF(I216=0,"OK",IF(D216="CBP","Complemento CBP","ERRO: excede CBTBE"))</f>
        <v>OK</v>
      </c>
    </row>
    <row r="217" customFormat="false" ht="15" hidden="false" customHeight="false" outlineLevel="0" collapsed="false">
      <c r="A217" s="8" t="s">
        <v>453</v>
      </c>
      <c r="B217" s="8" t="s">
        <v>454</v>
      </c>
      <c r="C217" s="8" t="s">
        <v>1075</v>
      </c>
      <c r="D217" s="8" t="s">
        <v>19</v>
      </c>
      <c r="E217" s="8" t="n">
        <v>8</v>
      </c>
      <c r="F217" s="11" t="n">
        <f aca="false">IF(D217="CBP",SUMIF(Itens!$A:$A,A217,Itens!$I:$I),SUMIF(Itens!$A:$A,A217,Itens!$J:$J))</f>
        <v>8</v>
      </c>
      <c r="G217" s="8" t="n">
        <f aca="false">MAX(0,E217-F217)</f>
        <v>0</v>
      </c>
      <c r="H217" s="14" t="n">
        <f aca="false">IF(E217=0,0,MIN(1,F217/E217))</f>
        <v>1</v>
      </c>
      <c r="I217" s="8" t="n">
        <f aca="false">MAX(0,F217-E217)</f>
        <v>0</v>
      </c>
      <c r="J217" s="8" t="n">
        <f aca="false">E217+I217</f>
        <v>8</v>
      </c>
      <c r="K217" s="8" t="str">
        <f aca="false">IF(I217=0,"OK",IF(D217="CBP","Complemento CBP","ERRO: excede CBTBE"))</f>
        <v>OK</v>
      </c>
    </row>
    <row r="218" customFormat="false" ht="15" hidden="false" customHeight="false" outlineLevel="0" collapsed="false">
      <c r="A218" s="8" t="s">
        <v>1076</v>
      </c>
      <c r="B218" s="8" t="s">
        <v>1077</v>
      </c>
      <c r="C218" s="8" t="s">
        <v>900</v>
      </c>
      <c r="D218" s="8" t="s">
        <v>19</v>
      </c>
      <c r="E218" s="8" t="n">
        <v>8</v>
      </c>
      <c r="F218" s="11" t="n">
        <f aca="false">IF(D218="CBP",SUMIF(Itens!$A:$A,A218,Itens!$I:$I),SUMIF(Itens!$A:$A,A218,Itens!$J:$J))</f>
        <v>0</v>
      </c>
      <c r="G218" s="8" t="n">
        <f aca="false">MAX(0,E218-F218)</f>
        <v>8</v>
      </c>
      <c r="H218" s="14" t="n">
        <f aca="false">IF(E218=0,0,MIN(1,F218/E218))</f>
        <v>0</v>
      </c>
      <c r="I218" s="8" t="n">
        <f aca="false">MAX(0,F218-E218)</f>
        <v>0</v>
      </c>
      <c r="J218" s="8" t="n">
        <f aca="false">E218+I218</f>
        <v>8</v>
      </c>
      <c r="K218" s="8" t="str">
        <f aca="false">IF(I218=0,"OK",IF(D218="CBP","Complemento CBP","ERRO: excede CBTBE"))</f>
        <v>OK</v>
      </c>
    </row>
    <row r="219" customFormat="false" ht="15" hidden="false" customHeight="false" outlineLevel="0" collapsed="false">
      <c r="A219" s="8" t="s">
        <v>683</v>
      </c>
      <c r="B219" s="8" t="s">
        <v>684</v>
      </c>
      <c r="C219" s="8" t="s">
        <v>974</v>
      </c>
      <c r="D219" s="8" t="s">
        <v>19</v>
      </c>
      <c r="E219" s="8" t="n">
        <v>8</v>
      </c>
      <c r="F219" s="11" t="n">
        <f aca="false">IF(D219="CBP",SUMIF(Itens!$A:$A,A219,Itens!$I:$I),SUMIF(Itens!$A:$A,A219,Itens!$J:$J))</f>
        <v>8</v>
      </c>
      <c r="G219" s="8" t="n">
        <f aca="false">MAX(0,E219-F219)</f>
        <v>0</v>
      </c>
      <c r="H219" s="14" t="n">
        <f aca="false">IF(E219=0,0,MIN(1,F219/E219))</f>
        <v>1</v>
      </c>
      <c r="I219" s="8" t="n">
        <f aca="false">MAX(0,F219-E219)</f>
        <v>0</v>
      </c>
      <c r="J219" s="8" t="n">
        <f aca="false">E219+I219</f>
        <v>8</v>
      </c>
      <c r="K219" s="8" t="str">
        <f aca="false">IF(I219=0,"OK",IF(D219="CBP","Complemento CBP","ERRO: excede CBTBE"))</f>
        <v>OK</v>
      </c>
    </row>
    <row r="220" customFormat="false" ht="15" hidden="false" customHeight="false" outlineLevel="0" collapsed="false">
      <c r="A220" s="8" t="s">
        <v>485</v>
      </c>
      <c r="B220" s="8" t="s">
        <v>486</v>
      </c>
      <c r="C220" s="8" t="s">
        <v>776</v>
      </c>
      <c r="D220" s="8" t="s">
        <v>19</v>
      </c>
      <c r="E220" s="8" t="n">
        <v>8</v>
      </c>
      <c r="F220" s="11" t="n">
        <f aca="false">IF(D220="CBP",SUMIF(Itens!$A:$A,A220,Itens!$I:$I),SUMIF(Itens!$A:$A,A220,Itens!$J:$J))</f>
        <v>40</v>
      </c>
      <c r="G220" s="8" t="n">
        <f aca="false">MAX(0,E220-F220)</f>
        <v>0</v>
      </c>
      <c r="H220" s="14" t="n">
        <f aca="false">IF(E220=0,0,MIN(1,F220/E220))</f>
        <v>1</v>
      </c>
      <c r="I220" s="8" t="n">
        <f aca="false">MAX(0,F220-E220)</f>
        <v>32</v>
      </c>
      <c r="J220" s="8" t="n">
        <f aca="false">E220+I220</f>
        <v>40</v>
      </c>
      <c r="K220" s="8" t="str">
        <f aca="false">IF(I220=0,"OK",IF(D220="CBP","Complemento CBP","ERRO: excede CBTBE"))</f>
        <v>Complemento CBP</v>
      </c>
    </row>
    <row r="221" customFormat="false" ht="15" hidden="false" customHeight="false" outlineLevel="0" collapsed="false">
      <c r="A221" s="8" t="s">
        <v>713</v>
      </c>
      <c r="B221" s="8" t="s">
        <v>714</v>
      </c>
      <c r="C221" s="8" t="s">
        <v>952</v>
      </c>
      <c r="D221" s="8" t="s">
        <v>20</v>
      </c>
      <c r="E221" s="8" t="n">
        <v>700</v>
      </c>
      <c r="F221" s="11" t="n">
        <f aca="false">IF(D221="CBP",SUMIF(Itens!$A:$A,A221,Itens!$I:$I),SUMIF(Itens!$A:$A,A221,Itens!$J:$J))</f>
        <v>160</v>
      </c>
      <c r="G221" s="8" t="n">
        <f aca="false">MAX(0,E221-F221)</f>
        <v>540</v>
      </c>
      <c r="H221" s="14" t="n">
        <f aca="false">IF(E221=0,0,MIN(1,F221/E221))</f>
        <v>0.228571428571429</v>
      </c>
      <c r="I221" s="8" t="n">
        <f aca="false">MAX(0,F221-E221)</f>
        <v>0</v>
      </c>
      <c r="J221" s="8" t="n">
        <f aca="false">E221+I221</f>
        <v>700</v>
      </c>
      <c r="K221" s="8" t="str">
        <f aca="false">IF(I221=0,"OK",IF(D221="CBP","Complemento CBP","ERRO: excede CBTBE"))</f>
        <v>OK</v>
      </c>
    </row>
    <row r="222" customFormat="false" ht="15" hidden="false" customHeight="false" outlineLevel="0" collapsed="false">
      <c r="A222" s="8" t="s">
        <v>559</v>
      </c>
      <c r="B222" s="8" t="s">
        <v>560</v>
      </c>
      <c r="C222" s="8" t="s">
        <v>952</v>
      </c>
      <c r="D222" s="8" t="s">
        <v>20</v>
      </c>
      <c r="E222" s="8" t="n">
        <v>400</v>
      </c>
      <c r="F222" s="11" t="n">
        <f aca="false">IF(D222="CBP",SUMIF(Itens!$A:$A,A222,Itens!$I:$I),SUMIF(Itens!$A:$A,A222,Itens!$J:$J))</f>
        <v>222</v>
      </c>
      <c r="G222" s="8" t="n">
        <f aca="false">MAX(0,E222-F222)</f>
        <v>178</v>
      </c>
      <c r="H222" s="14" t="n">
        <f aca="false">IF(E222=0,0,MIN(1,F222/E222))</f>
        <v>0.555</v>
      </c>
      <c r="I222" s="8" t="n">
        <f aca="false">MAX(0,F222-E222)</f>
        <v>0</v>
      </c>
      <c r="J222" s="8" t="n">
        <f aca="false">E222+I222</f>
        <v>400</v>
      </c>
      <c r="K222" s="8" t="str">
        <f aca="false">IF(I222=0,"OK",IF(D222="CBP","Complemento CBP","ERRO: excede CBTBE"))</f>
        <v>OK</v>
      </c>
    </row>
    <row r="223" customFormat="false" ht="15" hidden="false" customHeight="false" outlineLevel="0" collapsed="false">
      <c r="A223" s="8" t="s">
        <v>709</v>
      </c>
      <c r="B223" s="8" t="s">
        <v>710</v>
      </c>
      <c r="C223" s="8" t="s">
        <v>789</v>
      </c>
      <c r="D223" s="8" t="s">
        <v>20</v>
      </c>
      <c r="E223" s="8" t="n">
        <v>300</v>
      </c>
      <c r="F223" s="11" t="n">
        <f aca="false">IF(D223="CBP",SUMIF(Itens!$A:$A,A223,Itens!$I:$I),SUMIF(Itens!$A:$A,A223,Itens!$J:$J))</f>
        <v>80</v>
      </c>
      <c r="G223" s="8" t="n">
        <f aca="false">MAX(0,E223-F223)</f>
        <v>220</v>
      </c>
      <c r="H223" s="14" t="n">
        <f aca="false">IF(E223=0,0,MIN(1,F223/E223))</f>
        <v>0.266666666666667</v>
      </c>
      <c r="I223" s="8" t="n">
        <f aca="false">MAX(0,F223-E223)</f>
        <v>0</v>
      </c>
      <c r="J223" s="8" t="n">
        <f aca="false">E223+I223</f>
        <v>300</v>
      </c>
      <c r="K223" s="8" t="str">
        <f aca="false">IF(I223=0,"OK",IF(D223="CBP","Complemento CBP","ERRO: excede CBTBE"))</f>
        <v>OK</v>
      </c>
    </row>
    <row r="224" customFormat="false" ht="15" hidden="false" customHeight="false" outlineLevel="0" collapsed="false">
      <c r="A224" s="8" t="s">
        <v>591</v>
      </c>
      <c r="B224" s="8" t="s">
        <v>592</v>
      </c>
      <c r="C224" s="8" t="s">
        <v>796</v>
      </c>
      <c r="D224" s="8" t="s">
        <v>20</v>
      </c>
      <c r="E224" s="8" t="n">
        <v>234</v>
      </c>
      <c r="F224" s="11" t="n">
        <f aca="false">IF(D224="CBP",SUMIF(Itens!$A:$A,A224,Itens!$I:$I),SUMIF(Itens!$A:$A,A224,Itens!$J:$J))</f>
        <v>175</v>
      </c>
      <c r="G224" s="8" t="n">
        <f aca="false">MAX(0,E224-F224)</f>
        <v>59</v>
      </c>
      <c r="H224" s="14" t="n">
        <f aca="false">IF(E224=0,0,MIN(1,F224/E224))</f>
        <v>0.747863247863248</v>
      </c>
      <c r="I224" s="8" t="n">
        <f aca="false">MAX(0,F224-E224)</f>
        <v>0</v>
      </c>
      <c r="J224" s="8" t="n">
        <f aca="false">E224+I224</f>
        <v>234</v>
      </c>
      <c r="K224" s="8" t="str">
        <f aca="false">IF(I224=0,"OK",IF(D224="CBP","Complemento CBP","ERRO: excede CBTBE"))</f>
        <v>OK</v>
      </c>
    </row>
    <row r="225" customFormat="false" ht="15" hidden="false" customHeight="false" outlineLevel="0" collapsed="false">
      <c r="A225" s="8" t="s">
        <v>451</v>
      </c>
      <c r="B225" s="8" t="s">
        <v>452</v>
      </c>
      <c r="C225" s="8" t="s">
        <v>802</v>
      </c>
      <c r="D225" s="8" t="s">
        <v>20</v>
      </c>
      <c r="E225" s="8" t="n">
        <v>228</v>
      </c>
      <c r="F225" s="11" t="n">
        <f aca="false">IF(D225="CBP",SUMIF(Itens!$A:$A,A225,Itens!$I:$I),SUMIF(Itens!$A:$A,A225,Itens!$J:$J))</f>
        <v>158</v>
      </c>
      <c r="G225" s="8" t="n">
        <f aca="false">MAX(0,E225-F225)</f>
        <v>70</v>
      </c>
      <c r="H225" s="14" t="n">
        <f aca="false">IF(E225=0,0,MIN(1,F225/E225))</f>
        <v>0.692982456140351</v>
      </c>
      <c r="I225" s="8" t="n">
        <f aca="false">MAX(0,F225-E225)</f>
        <v>0</v>
      </c>
      <c r="J225" s="8" t="n">
        <f aca="false">E225+I225</f>
        <v>228</v>
      </c>
      <c r="K225" s="8" t="str">
        <f aca="false">IF(I225=0,"OK",IF(D225="CBP","Complemento CBP","ERRO: excede CBTBE"))</f>
        <v>OK</v>
      </c>
    </row>
    <row r="226" customFormat="false" ht="15" hidden="false" customHeight="false" outlineLevel="0" collapsed="false">
      <c r="A226" s="8" t="s">
        <v>703</v>
      </c>
      <c r="B226" s="8" t="s">
        <v>704</v>
      </c>
      <c r="C226" s="8" t="s">
        <v>801</v>
      </c>
      <c r="D226" s="8" t="s">
        <v>20</v>
      </c>
      <c r="E226" s="8" t="n">
        <v>200</v>
      </c>
      <c r="F226" s="11" t="n">
        <f aca="false">IF(D226="CBP",SUMIF(Itens!$A:$A,A226,Itens!$I:$I),SUMIF(Itens!$A:$A,A226,Itens!$J:$J))</f>
        <v>90</v>
      </c>
      <c r="G226" s="8" t="n">
        <f aca="false">MAX(0,E226-F226)</f>
        <v>110</v>
      </c>
      <c r="H226" s="14" t="n">
        <f aca="false">IF(E226=0,0,MIN(1,F226/E226))</f>
        <v>0.45</v>
      </c>
      <c r="I226" s="8" t="n">
        <f aca="false">MAX(0,F226-E226)</f>
        <v>0</v>
      </c>
      <c r="J226" s="8" t="n">
        <f aca="false">E226+I226</f>
        <v>200</v>
      </c>
      <c r="K226" s="8" t="str">
        <f aca="false">IF(I226=0,"OK",IF(D226="CBP","Complemento CBP","ERRO: excede CBTBE"))</f>
        <v>OK</v>
      </c>
    </row>
    <row r="227" customFormat="false" ht="15" hidden="false" customHeight="false" outlineLevel="0" collapsed="false">
      <c r="A227" s="8" t="s">
        <v>647</v>
      </c>
      <c r="B227" s="8" t="s">
        <v>648</v>
      </c>
      <c r="C227" s="8" t="s">
        <v>916</v>
      </c>
      <c r="D227" s="8" t="s">
        <v>20</v>
      </c>
      <c r="E227" s="8" t="n">
        <v>180</v>
      </c>
      <c r="F227" s="11" t="n">
        <f aca="false">IF(D227="CBP",SUMIF(Itens!$A:$A,A227,Itens!$I:$I),SUMIF(Itens!$A:$A,A227,Itens!$J:$J))</f>
        <v>180</v>
      </c>
      <c r="G227" s="8" t="n">
        <f aca="false">MAX(0,E227-F227)</f>
        <v>0</v>
      </c>
      <c r="H227" s="14" t="n">
        <f aca="false">IF(E227=0,0,MIN(1,F227/E227))</f>
        <v>1</v>
      </c>
      <c r="I227" s="8" t="n">
        <f aca="false">MAX(0,F227-E227)</f>
        <v>0</v>
      </c>
      <c r="J227" s="8" t="n">
        <f aca="false">E227+I227</f>
        <v>180</v>
      </c>
      <c r="K227" s="8" t="str">
        <f aca="false">IF(I227=0,"OK",IF(D227="CBP","Complemento CBP","ERRO: excede CBTBE"))</f>
        <v>OK</v>
      </c>
    </row>
    <row r="228" customFormat="false" ht="15" hidden="false" customHeight="false" outlineLevel="0" collapsed="false">
      <c r="A228" s="8" t="s">
        <v>491</v>
      </c>
      <c r="B228" s="8" t="s">
        <v>492</v>
      </c>
      <c r="C228" s="8" t="s">
        <v>916</v>
      </c>
      <c r="D228" s="8" t="s">
        <v>20</v>
      </c>
      <c r="E228" s="8" t="n">
        <v>160</v>
      </c>
      <c r="F228" s="11" t="n">
        <f aca="false">IF(D228="CBP",SUMIF(Itens!$A:$A,A228,Itens!$I:$I),SUMIF(Itens!$A:$A,A228,Itens!$J:$J))</f>
        <v>160</v>
      </c>
      <c r="G228" s="8" t="n">
        <f aca="false">MAX(0,E228-F228)</f>
        <v>0</v>
      </c>
      <c r="H228" s="14" t="n">
        <f aca="false">IF(E228=0,0,MIN(1,F228/E228))</f>
        <v>1</v>
      </c>
      <c r="I228" s="8" t="n">
        <f aca="false">MAX(0,F228-E228)</f>
        <v>0</v>
      </c>
      <c r="J228" s="8" t="n">
        <f aca="false">E228+I228</f>
        <v>160</v>
      </c>
      <c r="K228" s="8" t="str">
        <f aca="false">IF(I228=0,"OK",IF(D228="CBP","Complemento CBP","ERRO: excede CBTBE"))</f>
        <v>OK</v>
      </c>
    </row>
    <row r="229" customFormat="false" ht="15" hidden="false" customHeight="false" outlineLevel="0" collapsed="false">
      <c r="A229" s="8" t="s">
        <v>711</v>
      </c>
      <c r="B229" s="8" t="s">
        <v>712</v>
      </c>
      <c r="C229" s="8" t="s">
        <v>804</v>
      </c>
      <c r="D229" s="8" t="s">
        <v>20</v>
      </c>
      <c r="E229" s="8" t="n">
        <v>159</v>
      </c>
      <c r="F229" s="11" t="n">
        <f aca="false">IF(D229="CBP",SUMIF(Itens!$A:$A,A229,Itens!$I:$I),SUMIF(Itens!$A:$A,A229,Itens!$J:$J))</f>
        <v>50</v>
      </c>
      <c r="G229" s="8" t="n">
        <f aca="false">MAX(0,E229-F229)</f>
        <v>109</v>
      </c>
      <c r="H229" s="14" t="n">
        <f aca="false">IF(E229=0,0,MIN(1,F229/E229))</f>
        <v>0.314465408805031</v>
      </c>
      <c r="I229" s="8" t="n">
        <f aca="false">MAX(0,F229-E229)</f>
        <v>0</v>
      </c>
      <c r="J229" s="8" t="n">
        <f aca="false">E229+I229</f>
        <v>159</v>
      </c>
      <c r="K229" s="8" t="str">
        <f aca="false">IF(I229=0,"OK",IF(D229="CBP","Complemento CBP","ERRO: excede CBTBE"))</f>
        <v>OK</v>
      </c>
    </row>
    <row r="230" customFormat="false" ht="15" hidden="false" customHeight="false" outlineLevel="0" collapsed="false">
      <c r="A230" s="8" t="s">
        <v>529</v>
      </c>
      <c r="B230" s="8" t="s">
        <v>530</v>
      </c>
      <c r="C230" s="8" t="s">
        <v>854</v>
      </c>
      <c r="D230" s="8" t="s">
        <v>20</v>
      </c>
      <c r="E230" s="8" t="n">
        <v>116</v>
      </c>
      <c r="F230" s="11" t="n">
        <f aca="false">IF(D230="CBP",SUMIF(Itens!$A:$A,A230,Itens!$I:$I),SUMIF(Itens!$A:$A,A230,Itens!$J:$J))</f>
        <v>47</v>
      </c>
      <c r="G230" s="8" t="n">
        <f aca="false">MAX(0,E230-F230)</f>
        <v>69</v>
      </c>
      <c r="H230" s="14" t="n">
        <f aca="false">IF(E230=0,0,MIN(1,F230/E230))</f>
        <v>0.405172413793103</v>
      </c>
      <c r="I230" s="8" t="n">
        <f aca="false">MAX(0,F230-E230)</f>
        <v>0</v>
      </c>
      <c r="J230" s="8" t="n">
        <f aca="false">E230+I230</f>
        <v>116</v>
      </c>
      <c r="K230" s="8" t="str">
        <f aca="false">IF(I230=0,"OK",IF(D230="CBP","Complemento CBP","ERRO: excede CBTBE"))</f>
        <v>OK</v>
      </c>
    </row>
    <row r="231" customFormat="false" ht="15" hidden="false" customHeight="false" outlineLevel="0" collapsed="false">
      <c r="A231" s="8" t="s">
        <v>651</v>
      </c>
      <c r="B231" s="8" t="s">
        <v>652</v>
      </c>
      <c r="C231" s="8" t="s">
        <v>1002</v>
      </c>
      <c r="D231" s="8" t="s">
        <v>20</v>
      </c>
      <c r="E231" s="8" t="n">
        <v>104</v>
      </c>
      <c r="F231" s="11" t="n">
        <f aca="false">IF(D231="CBP",SUMIF(Itens!$A:$A,A231,Itens!$I:$I),SUMIF(Itens!$A:$A,A231,Itens!$J:$J))</f>
        <v>104</v>
      </c>
      <c r="G231" s="8" t="n">
        <f aca="false">MAX(0,E231-F231)</f>
        <v>0</v>
      </c>
      <c r="H231" s="14" t="n">
        <f aca="false">IF(E231=0,0,MIN(1,F231/E231))</f>
        <v>1</v>
      </c>
      <c r="I231" s="8" t="n">
        <f aca="false">MAX(0,F231-E231)</f>
        <v>0</v>
      </c>
      <c r="J231" s="8" t="n">
        <f aca="false">E231+I231</f>
        <v>104</v>
      </c>
      <c r="K231" s="8" t="str">
        <f aca="false">IF(I231=0,"OK",IF(D231="CBP","Complemento CBP","ERRO: excede CBTBE"))</f>
        <v>OK</v>
      </c>
    </row>
    <row r="232" customFormat="false" ht="15" hidden="false" customHeight="false" outlineLevel="0" collapsed="false">
      <c r="A232" s="8" t="s">
        <v>445</v>
      </c>
      <c r="B232" s="8" t="s">
        <v>446</v>
      </c>
      <c r="C232" s="8" t="s">
        <v>771</v>
      </c>
      <c r="D232" s="8" t="s">
        <v>20</v>
      </c>
      <c r="E232" s="8" t="n">
        <v>103</v>
      </c>
      <c r="F232" s="11" t="n">
        <f aca="false">IF(D232="CBP",SUMIF(Itens!$A:$A,A232,Itens!$I:$I),SUMIF(Itens!$A:$A,A232,Itens!$J:$J))</f>
        <v>0</v>
      </c>
      <c r="G232" s="8" t="n">
        <f aca="false">MAX(0,E232-F232)</f>
        <v>103</v>
      </c>
      <c r="H232" s="14" t="n">
        <f aca="false">IF(E232=0,0,MIN(1,F232/E232))</f>
        <v>0</v>
      </c>
      <c r="I232" s="8" t="n">
        <f aca="false">MAX(0,F232-E232)</f>
        <v>0</v>
      </c>
      <c r="J232" s="8" t="n">
        <f aca="false">E232+I232</f>
        <v>103</v>
      </c>
      <c r="K232" s="8" t="str">
        <f aca="false">IF(I232=0,"OK",IF(D232="CBP","Complemento CBP","ERRO: excede CBTBE"))</f>
        <v>OK</v>
      </c>
    </row>
    <row r="233" customFormat="false" ht="15" hidden="false" customHeight="false" outlineLevel="0" collapsed="false">
      <c r="A233" s="8" t="s">
        <v>605</v>
      </c>
      <c r="B233" s="8" t="s">
        <v>606</v>
      </c>
      <c r="C233" s="8" t="s">
        <v>802</v>
      </c>
      <c r="D233" s="8" t="s">
        <v>20</v>
      </c>
      <c r="E233" s="8" t="n">
        <v>100</v>
      </c>
      <c r="F233" s="11" t="n">
        <f aca="false">IF(D233="CBP",SUMIF(Itens!$A:$A,A233,Itens!$I:$I),SUMIF(Itens!$A:$A,A233,Itens!$J:$J))</f>
        <v>100</v>
      </c>
      <c r="G233" s="8" t="n">
        <f aca="false">MAX(0,E233-F233)</f>
        <v>0</v>
      </c>
      <c r="H233" s="14" t="n">
        <f aca="false">IF(E233=0,0,MIN(1,F233/E233))</f>
        <v>1</v>
      </c>
      <c r="I233" s="8" t="n">
        <f aca="false">MAX(0,F233-E233)</f>
        <v>0</v>
      </c>
      <c r="J233" s="8" t="n">
        <f aca="false">E233+I233</f>
        <v>100</v>
      </c>
      <c r="K233" s="8" t="str">
        <f aca="false">IF(I233=0,"OK",IF(D233="CBP","Complemento CBP","ERRO: excede CBTBE"))</f>
        <v>OK</v>
      </c>
    </row>
    <row r="234" customFormat="false" ht="15" hidden="false" customHeight="false" outlineLevel="0" collapsed="false">
      <c r="A234" s="8" t="s">
        <v>573</v>
      </c>
      <c r="B234" s="8" t="s">
        <v>574</v>
      </c>
      <c r="C234" s="8" t="s">
        <v>822</v>
      </c>
      <c r="D234" s="8" t="s">
        <v>20</v>
      </c>
      <c r="E234" s="8" t="n">
        <v>99</v>
      </c>
      <c r="F234" s="11" t="n">
        <f aca="false">IF(D234="CBP",SUMIF(Itens!$A:$A,A234,Itens!$I:$I),SUMIF(Itens!$A:$A,A234,Itens!$J:$J))</f>
        <v>85</v>
      </c>
      <c r="G234" s="8" t="n">
        <f aca="false">MAX(0,E234-F234)</f>
        <v>14</v>
      </c>
      <c r="H234" s="14" t="n">
        <f aca="false">IF(E234=0,0,MIN(1,F234/E234))</f>
        <v>0.858585858585859</v>
      </c>
      <c r="I234" s="8" t="n">
        <f aca="false">MAX(0,F234-E234)</f>
        <v>0</v>
      </c>
      <c r="J234" s="8" t="n">
        <f aca="false">E234+I234</f>
        <v>99</v>
      </c>
      <c r="K234" s="8" t="str">
        <f aca="false">IF(I234=0,"OK",IF(D234="CBP","Complemento CBP","ERRO: excede CBTBE"))</f>
        <v>OK</v>
      </c>
    </row>
    <row r="235" customFormat="false" ht="15" hidden="false" customHeight="false" outlineLevel="0" collapsed="false">
      <c r="A235" s="8" t="s">
        <v>613</v>
      </c>
      <c r="B235" s="8" t="s">
        <v>614</v>
      </c>
      <c r="C235" s="8" t="s">
        <v>988</v>
      </c>
      <c r="D235" s="8" t="s">
        <v>20</v>
      </c>
      <c r="E235" s="8" t="n">
        <v>98</v>
      </c>
      <c r="F235" s="11" t="n">
        <f aca="false">IF(D235="CBP",SUMIF(Itens!$A:$A,A235,Itens!$I:$I),SUMIF(Itens!$A:$A,A235,Itens!$J:$J))</f>
        <v>98</v>
      </c>
      <c r="G235" s="8" t="n">
        <f aca="false">MAX(0,E235-F235)</f>
        <v>0</v>
      </c>
      <c r="H235" s="14" t="n">
        <f aca="false">IF(E235=0,0,MIN(1,F235/E235))</f>
        <v>1</v>
      </c>
      <c r="I235" s="8" t="n">
        <f aca="false">MAX(0,F235-E235)</f>
        <v>0</v>
      </c>
      <c r="J235" s="8" t="n">
        <f aca="false">E235+I235</f>
        <v>98</v>
      </c>
      <c r="K235" s="8" t="str">
        <f aca="false">IF(I235=0,"OK",IF(D235="CBP","Complemento CBP","ERRO: excede CBTBE"))</f>
        <v>OK</v>
      </c>
    </row>
    <row r="236" customFormat="false" ht="15" hidden="false" customHeight="false" outlineLevel="0" collapsed="false">
      <c r="A236" s="8" t="s">
        <v>521</v>
      </c>
      <c r="B236" s="8" t="s">
        <v>522</v>
      </c>
      <c r="C236" s="8" t="s">
        <v>851</v>
      </c>
      <c r="D236" s="8" t="s">
        <v>20</v>
      </c>
      <c r="E236" s="8" t="n">
        <v>92</v>
      </c>
      <c r="F236" s="11" t="n">
        <f aca="false">IF(D236="CBP",SUMIF(Itens!$A:$A,A236,Itens!$I:$I),SUMIF(Itens!$A:$A,A236,Itens!$J:$J))</f>
        <v>92</v>
      </c>
      <c r="G236" s="8" t="n">
        <f aca="false">MAX(0,E236-F236)</f>
        <v>0</v>
      </c>
      <c r="H236" s="14" t="n">
        <f aca="false">IF(E236=0,0,MIN(1,F236/E236))</f>
        <v>1</v>
      </c>
      <c r="I236" s="8" t="n">
        <f aca="false">MAX(0,F236-E236)</f>
        <v>0</v>
      </c>
      <c r="J236" s="8" t="n">
        <f aca="false">E236+I236</f>
        <v>92</v>
      </c>
      <c r="K236" s="8" t="str">
        <f aca="false">IF(I236=0,"OK",IF(D236="CBP","Complemento CBP","ERRO: excede CBTBE"))</f>
        <v>OK</v>
      </c>
    </row>
    <row r="237" customFormat="false" ht="15" hidden="false" customHeight="false" outlineLevel="0" collapsed="false">
      <c r="A237" s="8" t="s">
        <v>643</v>
      </c>
      <c r="B237" s="8" t="s">
        <v>644</v>
      </c>
      <c r="C237" s="8" t="s">
        <v>806</v>
      </c>
      <c r="D237" s="8" t="s">
        <v>20</v>
      </c>
      <c r="E237" s="8" t="n">
        <v>81</v>
      </c>
      <c r="F237" s="11" t="n">
        <f aca="false">IF(D237="CBP",SUMIF(Itens!$A:$A,A237,Itens!$I:$I),SUMIF(Itens!$A:$A,A237,Itens!$J:$J))</f>
        <v>30</v>
      </c>
      <c r="G237" s="8" t="n">
        <f aca="false">MAX(0,E237-F237)</f>
        <v>51</v>
      </c>
      <c r="H237" s="14" t="n">
        <f aca="false">IF(E237=0,0,MIN(1,F237/E237))</f>
        <v>0.37037037037037</v>
      </c>
      <c r="I237" s="8" t="n">
        <f aca="false">MAX(0,F237-E237)</f>
        <v>0</v>
      </c>
      <c r="J237" s="8" t="n">
        <f aca="false">E237+I237</f>
        <v>81</v>
      </c>
      <c r="K237" s="8" t="str">
        <f aca="false">IF(I237=0,"OK",IF(D237="CBP","Complemento CBP","ERRO: excede CBTBE"))</f>
        <v>OK</v>
      </c>
    </row>
    <row r="238" customFormat="false" ht="15" hidden="false" customHeight="false" outlineLevel="0" collapsed="false">
      <c r="A238" s="8" t="s">
        <v>535</v>
      </c>
      <c r="B238" s="8" t="s">
        <v>536</v>
      </c>
      <c r="C238" s="8" t="s">
        <v>953</v>
      </c>
      <c r="D238" s="8" t="s">
        <v>20</v>
      </c>
      <c r="E238" s="8" t="n">
        <v>81</v>
      </c>
      <c r="F238" s="11" t="n">
        <f aca="false">IF(D238="CBP",SUMIF(Itens!$A:$A,A238,Itens!$I:$I),SUMIF(Itens!$A:$A,A238,Itens!$J:$J))</f>
        <v>81</v>
      </c>
      <c r="G238" s="8" t="n">
        <f aca="false">MAX(0,E238-F238)</f>
        <v>0</v>
      </c>
      <c r="H238" s="14" t="n">
        <f aca="false">IF(E238=0,0,MIN(1,F238/E238))</f>
        <v>1</v>
      </c>
      <c r="I238" s="8" t="n">
        <f aca="false">MAX(0,F238-E238)</f>
        <v>0</v>
      </c>
      <c r="J238" s="8" t="n">
        <f aca="false">E238+I238</f>
        <v>81</v>
      </c>
      <c r="K238" s="8" t="str">
        <f aca="false">IF(I238=0,"OK",IF(D238="CBP","Complemento CBP","ERRO: excede CBTBE"))</f>
        <v>OK</v>
      </c>
    </row>
    <row r="239" customFormat="false" ht="15" hidden="false" customHeight="false" outlineLevel="0" collapsed="false">
      <c r="A239" s="8" t="s">
        <v>437</v>
      </c>
      <c r="B239" s="8" t="s">
        <v>438</v>
      </c>
      <c r="C239" s="8" t="s">
        <v>953</v>
      </c>
      <c r="D239" s="8" t="s">
        <v>20</v>
      </c>
      <c r="E239" s="8" t="n">
        <v>80</v>
      </c>
      <c r="F239" s="11" t="n">
        <f aca="false">IF(D239="CBP",SUMIF(Itens!$A:$A,A239,Itens!$I:$I),SUMIF(Itens!$A:$A,A239,Itens!$J:$J))</f>
        <v>80</v>
      </c>
      <c r="G239" s="8" t="n">
        <f aca="false">MAX(0,E239-F239)</f>
        <v>0</v>
      </c>
      <c r="H239" s="14" t="n">
        <f aca="false">IF(E239=0,0,MIN(1,F239/E239))</f>
        <v>1</v>
      </c>
      <c r="I239" s="8" t="n">
        <f aca="false">MAX(0,F239-E239)</f>
        <v>0</v>
      </c>
      <c r="J239" s="8" t="n">
        <f aca="false">E239+I239</f>
        <v>80</v>
      </c>
      <c r="K239" s="8" t="str">
        <f aca="false">IF(I239=0,"OK",IF(D239="CBP","Complemento CBP","ERRO: excede CBTBE"))</f>
        <v>OK</v>
      </c>
    </row>
    <row r="240" customFormat="false" ht="15" hidden="false" customHeight="false" outlineLevel="0" collapsed="false">
      <c r="A240" s="8" t="s">
        <v>683</v>
      </c>
      <c r="B240" s="8" t="s">
        <v>684</v>
      </c>
      <c r="C240" s="8" t="s">
        <v>974</v>
      </c>
      <c r="D240" s="8" t="s">
        <v>20</v>
      </c>
      <c r="E240" s="8" t="n">
        <v>74</v>
      </c>
      <c r="F240" s="11" t="n">
        <f aca="false">IF(D240="CBP",SUMIF(Itens!$A:$A,A240,Itens!$I:$I),SUMIF(Itens!$A:$A,A240,Itens!$J:$J))</f>
        <v>74</v>
      </c>
      <c r="G240" s="8" t="n">
        <f aca="false">MAX(0,E240-F240)</f>
        <v>0</v>
      </c>
      <c r="H240" s="14" t="n">
        <f aca="false">IF(E240=0,0,MIN(1,F240/E240))</f>
        <v>1</v>
      </c>
      <c r="I240" s="8" t="n">
        <f aca="false">MAX(0,F240-E240)</f>
        <v>0</v>
      </c>
      <c r="J240" s="8" t="n">
        <f aca="false">E240+I240</f>
        <v>74</v>
      </c>
      <c r="K240" s="8" t="str">
        <f aca="false">IF(I240=0,"OK",IF(D240="CBP","Complemento CBP","ERRO: excede CBTBE"))</f>
        <v>OK</v>
      </c>
    </row>
    <row r="241" customFormat="false" ht="15" hidden="false" customHeight="false" outlineLevel="0" collapsed="false">
      <c r="A241" s="8" t="s">
        <v>603</v>
      </c>
      <c r="B241" s="8" t="s">
        <v>604</v>
      </c>
      <c r="C241" s="8" t="s">
        <v>917</v>
      </c>
      <c r="D241" s="8" t="s">
        <v>20</v>
      </c>
      <c r="E241" s="8" t="n">
        <v>72</v>
      </c>
      <c r="F241" s="11" t="n">
        <f aca="false">IF(D241="CBP",SUMIF(Itens!$A:$A,A241,Itens!$I:$I),SUMIF(Itens!$A:$A,A241,Itens!$J:$J))</f>
        <v>72</v>
      </c>
      <c r="G241" s="8" t="n">
        <f aca="false">MAX(0,E241-F241)</f>
        <v>0</v>
      </c>
      <c r="H241" s="14" t="n">
        <f aca="false">IF(E241=0,0,MIN(1,F241/E241))</f>
        <v>1</v>
      </c>
      <c r="I241" s="8" t="n">
        <f aca="false">MAX(0,F241-E241)</f>
        <v>0</v>
      </c>
      <c r="J241" s="8" t="n">
        <f aca="false">E241+I241</f>
        <v>72</v>
      </c>
      <c r="K241" s="8" t="str">
        <f aca="false">IF(I241=0,"OK",IF(D241="CBP","Complemento CBP","ERRO: excede CBTBE"))</f>
        <v>OK</v>
      </c>
    </row>
    <row r="242" customFormat="false" ht="15" hidden="false" customHeight="false" outlineLevel="0" collapsed="false">
      <c r="A242" s="8" t="s">
        <v>575</v>
      </c>
      <c r="B242" s="8" t="s">
        <v>576</v>
      </c>
      <c r="C242" s="8" t="s">
        <v>965</v>
      </c>
      <c r="D242" s="8" t="s">
        <v>20</v>
      </c>
      <c r="E242" s="8" t="n">
        <v>72</v>
      </c>
      <c r="F242" s="11" t="n">
        <f aca="false">IF(D242="CBP",SUMIF(Itens!$A:$A,A242,Itens!$I:$I),SUMIF(Itens!$A:$A,A242,Itens!$J:$J))</f>
        <v>72</v>
      </c>
      <c r="G242" s="8" t="n">
        <f aca="false">MAX(0,E242-F242)</f>
        <v>0</v>
      </c>
      <c r="H242" s="14" t="n">
        <f aca="false">IF(E242=0,0,MIN(1,F242/E242))</f>
        <v>1</v>
      </c>
      <c r="I242" s="8" t="n">
        <f aca="false">MAX(0,F242-E242)</f>
        <v>0</v>
      </c>
      <c r="J242" s="8" t="n">
        <f aca="false">E242+I242</f>
        <v>72</v>
      </c>
      <c r="K242" s="8" t="str">
        <f aca="false">IF(I242=0,"OK",IF(D242="CBP","Complemento CBP","ERRO: excede CBTBE"))</f>
        <v>OK</v>
      </c>
    </row>
    <row r="243" customFormat="false" ht="15" hidden="false" customHeight="false" outlineLevel="0" collapsed="false">
      <c r="A243" s="8" t="s">
        <v>691</v>
      </c>
      <c r="B243" s="8" t="s">
        <v>692</v>
      </c>
      <c r="C243" s="8" t="s">
        <v>851</v>
      </c>
      <c r="D243" s="8" t="s">
        <v>20</v>
      </c>
      <c r="E243" s="8" t="n">
        <v>72</v>
      </c>
      <c r="F243" s="11" t="n">
        <f aca="false">IF(D243="CBP",SUMIF(Itens!$A:$A,A243,Itens!$I:$I),SUMIF(Itens!$A:$A,A243,Itens!$J:$J))</f>
        <v>72</v>
      </c>
      <c r="G243" s="8" t="n">
        <f aca="false">MAX(0,E243-F243)</f>
        <v>0</v>
      </c>
      <c r="H243" s="14" t="n">
        <f aca="false">IF(E243=0,0,MIN(1,F243/E243))</f>
        <v>1</v>
      </c>
      <c r="I243" s="8" t="n">
        <f aca="false">MAX(0,F243-E243)</f>
        <v>0</v>
      </c>
      <c r="J243" s="8" t="n">
        <f aca="false">E243+I243</f>
        <v>72</v>
      </c>
      <c r="K243" s="8" t="str">
        <f aca="false">IF(I243=0,"OK",IF(D243="CBP","Complemento CBP","ERRO: excede CBTBE"))</f>
        <v>OK</v>
      </c>
    </row>
    <row r="244" customFormat="false" ht="15" hidden="false" customHeight="false" outlineLevel="0" collapsed="false">
      <c r="A244" s="8" t="s">
        <v>515</v>
      </c>
      <c r="B244" s="8" t="s">
        <v>516</v>
      </c>
      <c r="C244" s="8" t="s">
        <v>864</v>
      </c>
      <c r="D244" s="8" t="s">
        <v>20</v>
      </c>
      <c r="E244" s="8" t="n">
        <v>68</v>
      </c>
      <c r="F244" s="11" t="n">
        <f aca="false">IF(D244="CBP",SUMIF(Itens!$A:$A,A244,Itens!$I:$I),SUMIF(Itens!$A:$A,A244,Itens!$J:$J))</f>
        <v>68</v>
      </c>
      <c r="G244" s="8" t="n">
        <f aca="false">MAX(0,E244-F244)</f>
        <v>0</v>
      </c>
      <c r="H244" s="14" t="n">
        <f aca="false">IF(E244=0,0,MIN(1,F244/E244))</f>
        <v>1</v>
      </c>
      <c r="I244" s="8" t="n">
        <f aca="false">MAX(0,F244-E244)</f>
        <v>0</v>
      </c>
      <c r="J244" s="8" t="n">
        <f aca="false">E244+I244</f>
        <v>68</v>
      </c>
      <c r="K244" s="8" t="str">
        <f aca="false">IF(I244=0,"OK",IF(D244="CBP","Complemento CBP","ERRO: excede CBTBE"))</f>
        <v>OK</v>
      </c>
    </row>
    <row r="245" customFormat="false" ht="15" hidden="false" customHeight="false" outlineLevel="0" collapsed="false">
      <c r="A245" s="8" t="s">
        <v>599</v>
      </c>
      <c r="B245" s="8" t="s">
        <v>600</v>
      </c>
      <c r="C245" s="8" t="s">
        <v>816</v>
      </c>
      <c r="D245" s="8" t="s">
        <v>20</v>
      </c>
      <c r="E245" s="8" t="n">
        <v>66</v>
      </c>
      <c r="F245" s="11" t="n">
        <f aca="false">IF(D245="CBP",SUMIF(Itens!$A:$A,A245,Itens!$I:$I),SUMIF(Itens!$A:$A,A245,Itens!$J:$J))</f>
        <v>66</v>
      </c>
      <c r="G245" s="8" t="n">
        <f aca="false">MAX(0,E245-F245)</f>
        <v>0</v>
      </c>
      <c r="H245" s="14" t="n">
        <f aca="false">IF(E245=0,0,MIN(1,F245/E245))</f>
        <v>1</v>
      </c>
      <c r="I245" s="8" t="n">
        <f aca="false">MAX(0,F245-E245)</f>
        <v>0</v>
      </c>
      <c r="J245" s="8" t="n">
        <f aca="false">E245+I245</f>
        <v>66</v>
      </c>
      <c r="K245" s="8" t="str">
        <f aca="false">IF(I245=0,"OK",IF(D245="CBP","Complemento CBP","ERRO: excede CBTBE"))</f>
        <v>OK</v>
      </c>
    </row>
    <row r="246" customFormat="false" ht="15" hidden="false" customHeight="false" outlineLevel="0" collapsed="false">
      <c r="A246" s="8" t="s">
        <v>593</v>
      </c>
      <c r="B246" s="8" t="s">
        <v>594</v>
      </c>
      <c r="C246" s="8" t="s">
        <v>772</v>
      </c>
      <c r="D246" s="8" t="s">
        <v>20</v>
      </c>
      <c r="E246" s="8" t="n">
        <v>65</v>
      </c>
      <c r="F246" s="11" t="n">
        <f aca="false">IF(D246="CBP",SUMIF(Itens!$A:$A,A246,Itens!$I:$I),SUMIF(Itens!$A:$A,A246,Itens!$J:$J))</f>
        <v>18</v>
      </c>
      <c r="G246" s="8" t="n">
        <f aca="false">MAX(0,E246-F246)</f>
        <v>47</v>
      </c>
      <c r="H246" s="14" t="n">
        <f aca="false">IF(E246=0,0,MIN(1,F246/E246))</f>
        <v>0.276923076923077</v>
      </c>
      <c r="I246" s="8" t="n">
        <f aca="false">MAX(0,F246-E246)</f>
        <v>0</v>
      </c>
      <c r="J246" s="8" t="n">
        <f aca="false">E246+I246</f>
        <v>65</v>
      </c>
      <c r="K246" s="8" t="str">
        <f aca="false">IF(I246=0,"OK",IF(D246="CBP","Complemento CBP","ERRO: excede CBTBE"))</f>
        <v>OK</v>
      </c>
    </row>
    <row r="247" customFormat="false" ht="15" hidden="false" customHeight="false" outlineLevel="0" collapsed="false">
      <c r="A247" s="8" t="s">
        <v>877</v>
      </c>
      <c r="B247" s="8" t="s">
        <v>878</v>
      </c>
      <c r="C247" s="8" t="s">
        <v>792</v>
      </c>
      <c r="D247" s="8" t="s">
        <v>20</v>
      </c>
      <c r="E247" s="8" t="n">
        <v>65</v>
      </c>
      <c r="F247" s="11" t="n">
        <f aca="false">IF(D247="CBP",SUMIF(Itens!$A:$A,A247,Itens!$I:$I),SUMIF(Itens!$A:$A,A247,Itens!$J:$J))</f>
        <v>0</v>
      </c>
      <c r="G247" s="8" t="n">
        <f aca="false">MAX(0,E247-F247)</f>
        <v>65</v>
      </c>
      <c r="H247" s="14" t="n">
        <f aca="false">IF(E247=0,0,MIN(1,F247/E247))</f>
        <v>0</v>
      </c>
      <c r="I247" s="8" t="n">
        <f aca="false">MAX(0,F247-E247)</f>
        <v>0</v>
      </c>
      <c r="J247" s="8" t="n">
        <f aca="false">E247+I247</f>
        <v>65</v>
      </c>
      <c r="K247" s="8" t="str">
        <f aca="false">IF(I247=0,"OK",IF(D247="CBP","Complemento CBP","ERRO: excede CBTBE"))</f>
        <v>OK</v>
      </c>
    </row>
    <row r="248" customFormat="false" ht="15" hidden="false" customHeight="false" outlineLevel="0" collapsed="false">
      <c r="A248" s="8" t="s">
        <v>433</v>
      </c>
      <c r="B248" s="8" t="s">
        <v>434</v>
      </c>
      <c r="C248" s="8" t="s">
        <v>1042</v>
      </c>
      <c r="D248" s="8" t="s">
        <v>20</v>
      </c>
      <c r="E248" s="8" t="n">
        <v>65</v>
      </c>
      <c r="F248" s="11" t="n">
        <f aca="false">IF(D248="CBP",SUMIF(Itens!$A:$A,A248,Itens!$I:$I),SUMIF(Itens!$A:$A,A248,Itens!$J:$J))</f>
        <v>65</v>
      </c>
      <c r="G248" s="8" t="n">
        <f aca="false">MAX(0,E248-F248)</f>
        <v>0</v>
      </c>
      <c r="H248" s="14" t="n">
        <f aca="false">IF(E248=0,0,MIN(1,F248/E248))</f>
        <v>1</v>
      </c>
      <c r="I248" s="8" t="n">
        <f aca="false">MAX(0,F248-E248)</f>
        <v>0</v>
      </c>
      <c r="J248" s="8" t="n">
        <f aca="false">E248+I248</f>
        <v>65</v>
      </c>
      <c r="K248" s="8" t="str">
        <f aca="false">IF(I248=0,"OK",IF(D248="CBP","Complemento CBP","ERRO: excede CBTBE"))</f>
        <v>OK</v>
      </c>
    </row>
    <row r="249" customFormat="false" ht="15" hidden="false" customHeight="false" outlineLevel="0" collapsed="false">
      <c r="A249" s="8" t="s">
        <v>481</v>
      </c>
      <c r="B249" s="8" t="s">
        <v>482</v>
      </c>
      <c r="C249" s="8" t="s">
        <v>953</v>
      </c>
      <c r="D249" s="8" t="s">
        <v>20</v>
      </c>
      <c r="E249" s="8" t="n">
        <v>63</v>
      </c>
      <c r="F249" s="11" t="n">
        <f aca="false">IF(D249="CBP",SUMIF(Itens!$A:$A,A249,Itens!$I:$I),SUMIF(Itens!$A:$A,A249,Itens!$J:$J))</f>
        <v>63</v>
      </c>
      <c r="G249" s="8" t="n">
        <f aca="false">MAX(0,E249-F249)</f>
        <v>0</v>
      </c>
      <c r="H249" s="14" t="n">
        <f aca="false">IF(E249=0,0,MIN(1,F249/E249))</f>
        <v>1</v>
      </c>
      <c r="I249" s="8" t="n">
        <f aca="false">MAX(0,F249-E249)</f>
        <v>0</v>
      </c>
      <c r="J249" s="8" t="n">
        <f aca="false">E249+I249</f>
        <v>63</v>
      </c>
      <c r="K249" s="8" t="str">
        <f aca="false">IF(I249=0,"OK",IF(D249="CBP","Complemento CBP","ERRO: excede CBTBE"))</f>
        <v>OK</v>
      </c>
    </row>
    <row r="250" customFormat="false" ht="15" hidden="false" customHeight="false" outlineLevel="0" collapsed="false">
      <c r="A250" s="8" t="s">
        <v>475</v>
      </c>
      <c r="B250" s="8" t="s">
        <v>476</v>
      </c>
      <c r="C250" s="8" t="s">
        <v>852</v>
      </c>
      <c r="D250" s="8" t="s">
        <v>20</v>
      </c>
      <c r="E250" s="8" t="n">
        <v>63</v>
      </c>
      <c r="F250" s="11" t="n">
        <f aca="false">IF(D250="CBP",SUMIF(Itens!$A:$A,A250,Itens!$I:$I),SUMIF(Itens!$A:$A,A250,Itens!$J:$J))</f>
        <v>63</v>
      </c>
      <c r="G250" s="8" t="n">
        <f aca="false">MAX(0,E250-F250)</f>
        <v>0</v>
      </c>
      <c r="H250" s="14" t="n">
        <f aca="false">IF(E250=0,0,MIN(1,F250/E250))</f>
        <v>1</v>
      </c>
      <c r="I250" s="8" t="n">
        <f aca="false">MAX(0,F250-E250)</f>
        <v>0</v>
      </c>
      <c r="J250" s="8" t="n">
        <f aca="false">E250+I250</f>
        <v>63</v>
      </c>
      <c r="K250" s="8" t="str">
        <f aca="false">IF(I250=0,"OK",IF(D250="CBP","Complemento CBP","ERRO: excede CBTBE"))</f>
        <v>OK</v>
      </c>
    </row>
    <row r="251" customFormat="false" ht="15" hidden="false" customHeight="false" outlineLevel="0" collapsed="false">
      <c r="A251" s="8" t="s">
        <v>798</v>
      </c>
      <c r="B251" s="8" t="s">
        <v>799</v>
      </c>
      <c r="C251" s="8" t="s">
        <v>800</v>
      </c>
      <c r="D251" s="8" t="s">
        <v>20</v>
      </c>
      <c r="E251" s="8" t="n">
        <v>62</v>
      </c>
      <c r="F251" s="11" t="n">
        <f aca="false">IF(D251="CBP",SUMIF(Itens!$A:$A,A251,Itens!$I:$I),SUMIF(Itens!$A:$A,A251,Itens!$J:$J))</f>
        <v>0</v>
      </c>
      <c r="G251" s="8" t="n">
        <f aca="false">MAX(0,E251-F251)</f>
        <v>62</v>
      </c>
      <c r="H251" s="14" t="n">
        <f aca="false">IF(E251=0,0,MIN(1,F251/E251))</f>
        <v>0</v>
      </c>
      <c r="I251" s="8" t="n">
        <f aca="false">MAX(0,F251-E251)</f>
        <v>0</v>
      </c>
      <c r="J251" s="8" t="n">
        <f aca="false">E251+I251</f>
        <v>62</v>
      </c>
      <c r="K251" s="8" t="str">
        <f aca="false">IF(I251=0,"OK",IF(D251="CBP","Complemento CBP","ERRO: excede CBTBE"))</f>
        <v>OK</v>
      </c>
    </row>
    <row r="252" customFormat="false" ht="15" hidden="false" customHeight="false" outlineLevel="0" collapsed="false">
      <c r="A252" s="8" t="s">
        <v>565</v>
      </c>
      <c r="B252" s="8" t="s">
        <v>566</v>
      </c>
      <c r="C252" s="8" t="s">
        <v>980</v>
      </c>
      <c r="D252" s="8" t="s">
        <v>20</v>
      </c>
      <c r="E252" s="8" t="n">
        <v>59</v>
      </c>
      <c r="F252" s="11" t="n">
        <f aca="false">IF(D252="CBP",SUMIF(Itens!$A:$A,A252,Itens!$I:$I),SUMIF(Itens!$A:$A,A252,Itens!$J:$J))</f>
        <v>59</v>
      </c>
      <c r="G252" s="8" t="n">
        <f aca="false">MAX(0,E252-F252)</f>
        <v>0</v>
      </c>
      <c r="H252" s="14" t="n">
        <f aca="false">IF(E252=0,0,MIN(1,F252/E252))</f>
        <v>1</v>
      </c>
      <c r="I252" s="8" t="n">
        <f aca="false">MAX(0,F252-E252)</f>
        <v>0</v>
      </c>
      <c r="J252" s="8" t="n">
        <f aca="false">E252+I252</f>
        <v>59</v>
      </c>
      <c r="K252" s="8" t="str">
        <f aca="false">IF(I252=0,"OK",IF(D252="CBP","Complemento CBP","ERRO: excede CBTBE"))</f>
        <v>OK</v>
      </c>
    </row>
    <row r="253" customFormat="false" ht="15" hidden="false" customHeight="false" outlineLevel="0" collapsed="false">
      <c r="A253" s="8" t="s">
        <v>687</v>
      </c>
      <c r="B253" s="8" t="s">
        <v>688</v>
      </c>
      <c r="C253" s="8" t="s">
        <v>806</v>
      </c>
      <c r="D253" s="8" t="s">
        <v>20</v>
      </c>
      <c r="E253" s="8" t="n">
        <v>53</v>
      </c>
      <c r="F253" s="11" t="n">
        <f aca="false">IF(D253="CBP",SUMIF(Itens!$A:$A,A253,Itens!$I:$I),SUMIF(Itens!$A:$A,A253,Itens!$J:$J))</f>
        <v>53</v>
      </c>
      <c r="G253" s="8" t="n">
        <f aca="false">MAX(0,E253-F253)</f>
        <v>0</v>
      </c>
      <c r="H253" s="14" t="n">
        <f aca="false">IF(E253=0,0,MIN(1,F253/E253))</f>
        <v>1</v>
      </c>
      <c r="I253" s="8" t="n">
        <f aca="false">MAX(0,F253-E253)</f>
        <v>0</v>
      </c>
      <c r="J253" s="8" t="n">
        <f aca="false">E253+I253</f>
        <v>53</v>
      </c>
      <c r="K253" s="8" t="str">
        <f aca="false">IF(I253=0,"OK",IF(D253="CBP","Complemento CBP","ERRO: excede CBTBE"))</f>
        <v>OK</v>
      </c>
    </row>
    <row r="254" customFormat="false" ht="15" hidden="false" customHeight="false" outlineLevel="0" collapsed="false">
      <c r="A254" s="8" t="s">
        <v>545</v>
      </c>
      <c r="B254" s="8" t="s">
        <v>546</v>
      </c>
      <c r="C254" s="8" t="s">
        <v>1061</v>
      </c>
      <c r="D254" s="8" t="s">
        <v>20</v>
      </c>
      <c r="E254" s="8" t="n">
        <v>51</v>
      </c>
      <c r="F254" s="11" t="n">
        <f aca="false">IF(D254="CBP",SUMIF(Itens!$A:$A,A254,Itens!$I:$I),SUMIF(Itens!$A:$A,A254,Itens!$J:$J))</f>
        <v>51</v>
      </c>
      <c r="G254" s="8" t="n">
        <f aca="false">MAX(0,E254-F254)</f>
        <v>0</v>
      </c>
      <c r="H254" s="14" t="n">
        <f aca="false">IF(E254=0,0,MIN(1,F254/E254))</f>
        <v>1</v>
      </c>
      <c r="I254" s="8" t="n">
        <f aca="false">MAX(0,F254-E254)</f>
        <v>0</v>
      </c>
      <c r="J254" s="8" t="n">
        <f aca="false">E254+I254</f>
        <v>51</v>
      </c>
      <c r="K254" s="8" t="str">
        <f aca="false">IF(I254=0,"OK",IF(D254="CBP","Complemento CBP","ERRO: excede CBTBE"))</f>
        <v>OK</v>
      </c>
    </row>
    <row r="255" customFormat="false" ht="15" hidden="false" customHeight="false" outlineLevel="0" collapsed="false">
      <c r="A255" s="8" t="s">
        <v>954</v>
      </c>
      <c r="B255" s="8" t="s">
        <v>955</v>
      </c>
      <c r="C255" s="8" t="s">
        <v>956</v>
      </c>
      <c r="D255" s="8" t="s">
        <v>20</v>
      </c>
      <c r="E255" s="8" t="n">
        <v>50</v>
      </c>
      <c r="F255" s="11" t="n">
        <f aca="false">IF(D255="CBP",SUMIF(Itens!$A:$A,A255,Itens!$I:$I),SUMIF(Itens!$A:$A,A255,Itens!$J:$J))</f>
        <v>0</v>
      </c>
      <c r="G255" s="8" t="n">
        <f aca="false">MAX(0,E255-F255)</f>
        <v>50</v>
      </c>
      <c r="H255" s="14" t="n">
        <f aca="false">IF(E255=0,0,MIN(1,F255/E255))</f>
        <v>0</v>
      </c>
      <c r="I255" s="8" t="n">
        <f aca="false">MAX(0,F255-E255)</f>
        <v>0</v>
      </c>
      <c r="J255" s="8" t="n">
        <f aca="false">E255+I255</f>
        <v>50</v>
      </c>
      <c r="K255" s="8" t="str">
        <f aca="false">IF(I255=0,"OK",IF(D255="CBP","Complemento CBP","ERRO: excede CBTBE"))</f>
        <v>OK</v>
      </c>
    </row>
    <row r="256" customFormat="false" ht="15" hidden="false" customHeight="false" outlineLevel="0" collapsed="false">
      <c r="A256" s="8" t="s">
        <v>635</v>
      </c>
      <c r="B256" s="8" t="s">
        <v>636</v>
      </c>
      <c r="C256" s="8" t="s">
        <v>992</v>
      </c>
      <c r="D256" s="8" t="s">
        <v>20</v>
      </c>
      <c r="E256" s="8" t="n">
        <v>50</v>
      </c>
      <c r="F256" s="11" t="n">
        <f aca="false">IF(D256="CBP",SUMIF(Itens!$A:$A,A256,Itens!$I:$I),SUMIF(Itens!$A:$A,A256,Itens!$J:$J))</f>
        <v>50</v>
      </c>
      <c r="G256" s="8" t="n">
        <f aca="false">MAX(0,E256-F256)</f>
        <v>0</v>
      </c>
      <c r="H256" s="14" t="n">
        <f aca="false">IF(E256=0,0,MIN(1,F256/E256))</f>
        <v>1</v>
      </c>
      <c r="I256" s="8" t="n">
        <f aca="false">MAX(0,F256-E256)</f>
        <v>0</v>
      </c>
      <c r="J256" s="8" t="n">
        <f aca="false">E256+I256</f>
        <v>50</v>
      </c>
      <c r="K256" s="8" t="str">
        <f aca="false">IF(I256=0,"OK",IF(D256="CBP","Complemento CBP","ERRO: excede CBTBE"))</f>
        <v>OK</v>
      </c>
    </row>
    <row r="257" customFormat="false" ht="15" hidden="false" customHeight="false" outlineLevel="0" collapsed="false">
      <c r="A257" s="8" t="s">
        <v>957</v>
      </c>
      <c r="B257" s="8" t="s">
        <v>958</v>
      </c>
      <c r="C257" s="8" t="s">
        <v>956</v>
      </c>
      <c r="D257" s="8" t="s">
        <v>20</v>
      </c>
      <c r="E257" s="8" t="n">
        <v>50</v>
      </c>
      <c r="F257" s="11" t="n">
        <f aca="false">IF(D257="CBP",SUMIF(Itens!$A:$A,A257,Itens!$I:$I),SUMIF(Itens!$A:$A,A257,Itens!$J:$J))</f>
        <v>0</v>
      </c>
      <c r="G257" s="8" t="n">
        <f aca="false">MAX(0,E257-F257)</f>
        <v>50</v>
      </c>
      <c r="H257" s="14" t="n">
        <f aca="false">IF(E257=0,0,MIN(1,F257/E257))</f>
        <v>0</v>
      </c>
      <c r="I257" s="8" t="n">
        <f aca="false">MAX(0,F257-E257)</f>
        <v>0</v>
      </c>
      <c r="J257" s="8" t="n">
        <f aca="false">E257+I257</f>
        <v>50</v>
      </c>
      <c r="K257" s="8" t="str">
        <f aca="false">IF(I257=0,"OK",IF(D257="CBP","Complemento CBP","ERRO: excede CBTBE"))</f>
        <v>OK</v>
      </c>
    </row>
    <row r="258" customFormat="false" ht="15" hidden="false" customHeight="false" outlineLevel="0" collapsed="false">
      <c r="A258" s="8" t="s">
        <v>999</v>
      </c>
      <c r="B258" s="8" t="s">
        <v>1000</v>
      </c>
      <c r="C258" s="8" t="s">
        <v>1001</v>
      </c>
      <c r="D258" s="8" t="s">
        <v>20</v>
      </c>
      <c r="E258" s="8" t="n">
        <v>50</v>
      </c>
      <c r="F258" s="11" t="n">
        <f aca="false">IF(D258="CBP",SUMIF(Itens!$A:$A,A258,Itens!$I:$I),SUMIF(Itens!$A:$A,A258,Itens!$J:$J))</f>
        <v>0</v>
      </c>
      <c r="G258" s="8" t="n">
        <f aca="false">MAX(0,E258-F258)</f>
        <v>50</v>
      </c>
      <c r="H258" s="14" t="n">
        <f aca="false">IF(E258=0,0,MIN(1,F258/E258))</f>
        <v>0</v>
      </c>
      <c r="I258" s="8" t="n">
        <f aca="false">MAX(0,F258-E258)</f>
        <v>0</v>
      </c>
      <c r="J258" s="8" t="n">
        <f aca="false">E258+I258</f>
        <v>50</v>
      </c>
      <c r="K258" s="8" t="str">
        <f aca="false">IF(I258=0,"OK",IF(D258="CBP","Complemento CBP","ERRO: excede CBTBE"))</f>
        <v>OK</v>
      </c>
    </row>
    <row r="259" customFormat="false" ht="15" hidden="false" customHeight="false" outlineLevel="0" collapsed="false">
      <c r="A259" s="8" t="s">
        <v>469</v>
      </c>
      <c r="B259" s="8" t="s">
        <v>470</v>
      </c>
      <c r="C259" s="8" t="s">
        <v>1078</v>
      </c>
      <c r="D259" s="8" t="s">
        <v>20</v>
      </c>
      <c r="E259" s="8" t="n">
        <v>50</v>
      </c>
      <c r="F259" s="11" t="n">
        <f aca="false">IF(D259="CBP",SUMIF(Itens!$A:$A,A259,Itens!$I:$I),SUMIF(Itens!$A:$A,A259,Itens!$J:$J))</f>
        <v>50</v>
      </c>
      <c r="G259" s="8" t="n">
        <f aca="false">MAX(0,E259-F259)</f>
        <v>0</v>
      </c>
      <c r="H259" s="14" t="n">
        <f aca="false">IF(E259=0,0,MIN(1,F259/E259))</f>
        <v>1</v>
      </c>
      <c r="I259" s="8" t="n">
        <f aca="false">MAX(0,F259-E259)</f>
        <v>0</v>
      </c>
      <c r="J259" s="8" t="n">
        <f aca="false">E259+I259</f>
        <v>50</v>
      </c>
      <c r="K259" s="8" t="str">
        <f aca="false">IF(I259=0,"OK",IF(D259="CBP","Complemento CBP","ERRO: excede CBTBE"))</f>
        <v>OK</v>
      </c>
    </row>
    <row r="260" customFormat="false" ht="15" hidden="false" customHeight="false" outlineLevel="0" collapsed="false">
      <c r="A260" s="8" t="s">
        <v>625</v>
      </c>
      <c r="B260" s="8" t="s">
        <v>626</v>
      </c>
      <c r="C260" s="8" t="s">
        <v>1008</v>
      </c>
      <c r="D260" s="8" t="s">
        <v>20</v>
      </c>
      <c r="E260" s="8" t="n">
        <v>50</v>
      </c>
      <c r="F260" s="11" t="n">
        <f aca="false">IF(D260="CBP",SUMIF(Itens!$A:$A,A260,Itens!$I:$I),SUMIF(Itens!$A:$A,A260,Itens!$J:$J))</f>
        <v>50</v>
      </c>
      <c r="G260" s="8" t="n">
        <f aca="false">MAX(0,E260-F260)</f>
        <v>0</v>
      </c>
      <c r="H260" s="14" t="n">
        <f aca="false">IF(E260=0,0,MIN(1,F260/E260))</f>
        <v>1</v>
      </c>
      <c r="I260" s="8" t="n">
        <f aca="false">MAX(0,F260-E260)</f>
        <v>0</v>
      </c>
      <c r="J260" s="8" t="n">
        <f aca="false">E260+I260</f>
        <v>50</v>
      </c>
      <c r="K260" s="8" t="str">
        <f aca="false">IF(I260=0,"OK",IF(D260="CBP","Complemento CBP","ERRO: excede CBTBE"))</f>
        <v>OK</v>
      </c>
    </row>
    <row r="261" customFormat="false" ht="15" hidden="false" customHeight="false" outlineLevel="0" collapsed="false">
      <c r="A261" s="8" t="s">
        <v>531</v>
      </c>
      <c r="B261" s="8" t="s">
        <v>532</v>
      </c>
      <c r="C261" s="8" t="s">
        <v>806</v>
      </c>
      <c r="D261" s="8" t="s">
        <v>20</v>
      </c>
      <c r="E261" s="8" t="n">
        <v>48</v>
      </c>
      <c r="F261" s="11" t="n">
        <f aca="false">IF(D261="CBP",SUMIF(Itens!$A:$A,A261,Itens!$I:$I),SUMIF(Itens!$A:$A,A261,Itens!$J:$J))</f>
        <v>48</v>
      </c>
      <c r="G261" s="8" t="n">
        <f aca="false">MAX(0,E261-F261)</f>
        <v>0</v>
      </c>
      <c r="H261" s="14" t="n">
        <f aca="false">IF(E261=0,0,MIN(1,F261/E261))</f>
        <v>1</v>
      </c>
      <c r="I261" s="8" t="n">
        <f aca="false">MAX(0,F261-E261)</f>
        <v>0</v>
      </c>
      <c r="J261" s="8" t="n">
        <f aca="false">E261+I261</f>
        <v>48</v>
      </c>
      <c r="K261" s="8" t="str">
        <f aca="false">IF(I261=0,"OK",IF(D261="CBP","Complemento CBP","ERRO: excede CBTBE"))</f>
        <v>OK</v>
      </c>
    </row>
    <row r="262" customFormat="false" ht="15" hidden="false" customHeight="false" outlineLevel="0" collapsed="false">
      <c r="A262" s="8" t="s">
        <v>978</v>
      </c>
      <c r="B262" s="8" t="s">
        <v>979</v>
      </c>
      <c r="C262" s="8" t="s">
        <v>771</v>
      </c>
      <c r="D262" s="8" t="s">
        <v>20</v>
      </c>
      <c r="E262" s="8" t="n">
        <v>45</v>
      </c>
      <c r="F262" s="11" t="n">
        <f aca="false">IF(D262="CBP",SUMIF(Itens!$A:$A,A262,Itens!$I:$I),SUMIF(Itens!$A:$A,A262,Itens!$J:$J))</f>
        <v>0</v>
      </c>
      <c r="G262" s="8" t="n">
        <f aca="false">MAX(0,E262-F262)</f>
        <v>45</v>
      </c>
      <c r="H262" s="14" t="n">
        <f aca="false">IF(E262=0,0,MIN(1,F262/E262))</f>
        <v>0</v>
      </c>
      <c r="I262" s="8" t="n">
        <f aca="false">MAX(0,F262-E262)</f>
        <v>0</v>
      </c>
      <c r="J262" s="8" t="n">
        <f aca="false">E262+I262</f>
        <v>45</v>
      </c>
      <c r="K262" s="8" t="str">
        <f aca="false">IF(I262=0,"OK",IF(D262="CBP","Complemento CBP","ERRO: excede CBTBE"))</f>
        <v>OK</v>
      </c>
    </row>
    <row r="263" customFormat="false" ht="15" hidden="false" customHeight="false" outlineLevel="0" collapsed="false">
      <c r="A263" s="8" t="s">
        <v>621</v>
      </c>
      <c r="B263" s="8" t="s">
        <v>622</v>
      </c>
      <c r="C263" s="8" t="s">
        <v>975</v>
      </c>
      <c r="D263" s="8" t="s">
        <v>20</v>
      </c>
      <c r="E263" s="8" t="n">
        <v>44</v>
      </c>
      <c r="F263" s="11" t="n">
        <f aca="false">IF(D263="CBP",SUMIF(Itens!$A:$A,A263,Itens!$I:$I),SUMIF(Itens!$A:$A,A263,Itens!$J:$J))</f>
        <v>44</v>
      </c>
      <c r="G263" s="8" t="n">
        <f aca="false">MAX(0,E263-F263)</f>
        <v>0</v>
      </c>
      <c r="H263" s="14" t="n">
        <f aca="false">IF(E263=0,0,MIN(1,F263/E263))</f>
        <v>1</v>
      </c>
      <c r="I263" s="8" t="n">
        <f aca="false">MAX(0,F263-E263)</f>
        <v>0</v>
      </c>
      <c r="J263" s="8" t="n">
        <f aca="false">E263+I263</f>
        <v>44</v>
      </c>
      <c r="K263" s="8" t="str">
        <f aca="false">IF(I263=0,"OK",IF(D263="CBP","Complemento CBP","ERRO: excede CBTBE"))</f>
        <v>OK</v>
      </c>
    </row>
    <row r="264" customFormat="false" ht="15" hidden="false" customHeight="false" outlineLevel="0" collapsed="false">
      <c r="A264" s="8" t="s">
        <v>699</v>
      </c>
      <c r="B264" s="8" t="s">
        <v>700</v>
      </c>
      <c r="C264" s="8" t="s">
        <v>795</v>
      </c>
      <c r="D264" s="8" t="s">
        <v>20</v>
      </c>
      <c r="E264" s="8" t="n">
        <v>43</v>
      </c>
      <c r="F264" s="11" t="n">
        <f aca="false">IF(D264="CBP",SUMIF(Itens!$A:$A,A264,Itens!$I:$I),SUMIF(Itens!$A:$A,A264,Itens!$J:$J))</f>
        <v>43</v>
      </c>
      <c r="G264" s="8" t="n">
        <f aca="false">MAX(0,E264-F264)</f>
        <v>0</v>
      </c>
      <c r="H264" s="14" t="n">
        <f aca="false">IF(E264=0,0,MIN(1,F264/E264))</f>
        <v>1</v>
      </c>
      <c r="I264" s="8" t="n">
        <f aca="false">MAX(0,F264-E264)</f>
        <v>0</v>
      </c>
      <c r="J264" s="8" t="n">
        <f aca="false">E264+I264</f>
        <v>43</v>
      </c>
      <c r="K264" s="8" t="str">
        <f aca="false">IF(I264=0,"OK",IF(D264="CBP","Complemento CBP","ERRO: excede CBTBE"))</f>
        <v>OK</v>
      </c>
    </row>
    <row r="265" customFormat="false" ht="15" hidden="false" customHeight="false" outlineLevel="0" collapsed="false">
      <c r="A265" s="8" t="s">
        <v>653</v>
      </c>
      <c r="B265" s="8" t="s">
        <v>654</v>
      </c>
      <c r="C265" s="8" t="s">
        <v>830</v>
      </c>
      <c r="D265" s="8" t="s">
        <v>20</v>
      </c>
      <c r="E265" s="8" t="n">
        <v>41</v>
      </c>
      <c r="F265" s="11" t="n">
        <f aca="false">IF(D265="CBP",SUMIF(Itens!$A:$A,A265,Itens!$I:$I),SUMIF(Itens!$A:$A,A265,Itens!$J:$J))</f>
        <v>41</v>
      </c>
      <c r="G265" s="8" t="n">
        <f aca="false">MAX(0,E265-F265)</f>
        <v>0</v>
      </c>
      <c r="H265" s="14" t="n">
        <f aca="false">IF(E265=0,0,MIN(1,F265/E265))</f>
        <v>1</v>
      </c>
      <c r="I265" s="8" t="n">
        <f aca="false">MAX(0,F265-E265)</f>
        <v>0</v>
      </c>
      <c r="J265" s="8" t="n">
        <f aca="false">E265+I265</f>
        <v>41</v>
      </c>
      <c r="K265" s="8" t="str">
        <f aca="false">IF(I265=0,"OK",IF(D265="CBP","Complemento CBP","ERRO: excede CBTBE"))</f>
        <v>OK</v>
      </c>
    </row>
    <row r="266" customFormat="false" ht="15" hidden="false" customHeight="false" outlineLevel="0" collapsed="false">
      <c r="A266" s="8" t="s">
        <v>563</v>
      </c>
      <c r="B266" s="8" t="s">
        <v>564</v>
      </c>
      <c r="C266" s="8" t="s">
        <v>817</v>
      </c>
      <c r="D266" s="8" t="s">
        <v>20</v>
      </c>
      <c r="E266" s="8" t="n">
        <v>41</v>
      </c>
      <c r="F266" s="11" t="n">
        <f aca="false">IF(D266="CBP",SUMIF(Itens!$A:$A,A266,Itens!$I:$I),SUMIF(Itens!$A:$A,A266,Itens!$J:$J))</f>
        <v>41</v>
      </c>
      <c r="G266" s="8" t="n">
        <f aca="false">MAX(0,E266-F266)</f>
        <v>0</v>
      </c>
      <c r="H266" s="14" t="n">
        <f aca="false">IF(E266=0,0,MIN(1,F266/E266))</f>
        <v>1</v>
      </c>
      <c r="I266" s="8" t="n">
        <f aca="false">MAX(0,F266-E266)</f>
        <v>0</v>
      </c>
      <c r="J266" s="8" t="n">
        <f aca="false">E266+I266</f>
        <v>41</v>
      </c>
      <c r="K266" s="8" t="str">
        <f aca="false">IF(I266=0,"OK",IF(D266="CBP","Complemento CBP","ERRO: excede CBTBE"))</f>
        <v>OK</v>
      </c>
    </row>
    <row r="267" customFormat="false" ht="15" hidden="false" customHeight="false" outlineLevel="0" collapsed="false">
      <c r="A267" s="8" t="s">
        <v>677</v>
      </c>
      <c r="B267" s="8" t="s">
        <v>678</v>
      </c>
      <c r="C267" s="8" t="s">
        <v>745</v>
      </c>
      <c r="D267" s="8" t="s">
        <v>20</v>
      </c>
      <c r="E267" s="8" t="n">
        <v>41</v>
      </c>
      <c r="F267" s="11" t="n">
        <f aca="false">IF(D267="CBP",SUMIF(Itens!$A:$A,A267,Itens!$I:$I),SUMIF(Itens!$A:$A,A267,Itens!$J:$J))</f>
        <v>28</v>
      </c>
      <c r="G267" s="8" t="n">
        <f aca="false">MAX(0,E267-F267)</f>
        <v>13</v>
      </c>
      <c r="H267" s="14" t="n">
        <f aca="false">IF(E267=0,0,MIN(1,F267/E267))</f>
        <v>0.682926829268293</v>
      </c>
      <c r="I267" s="8" t="n">
        <f aca="false">MAX(0,F267-E267)</f>
        <v>0</v>
      </c>
      <c r="J267" s="8" t="n">
        <f aca="false">E267+I267</f>
        <v>41</v>
      </c>
      <c r="K267" s="8" t="str">
        <f aca="false">IF(I267=0,"OK",IF(D267="CBP","Complemento CBP","ERRO: excede CBTBE"))</f>
        <v>OK</v>
      </c>
    </row>
    <row r="268" customFormat="false" ht="15" hidden="false" customHeight="false" outlineLevel="0" collapsed="false">
      <c r="A268" s="8" t="s">
        <v>453</v>
      </c>
      <c r="B268" s="8" t="s">
        <v>454</v>
      </c>
      <c r="C268" s="8" t="s">
        <v>1075</v>
      </c>
      <c r="D268" s="8" t="s">
        <v>20</v>
      </c>
      <c r="E268" s="8" t="n">
        <v>39</v>
      </c>
      <c r="F268" s="11" t="n">
        <f aca="false">IF(D268="CBP",SUMIF(Itens!$A:$A,A268,Itens!$I:$I),SUMIF(Itens!$A:$A,A268,Itens!$J:$J))</f>
        <v>39</v>
      </c>
      <c r="G268" s="8" t="n">
        <f aca="false">MAX(0,E268-F268)</f>
        <v>0</v>
      </c>
      <c r="H268" s="14" t="n">
        <f aca="false">IF(E268=0,0,MIN(1,F268/E268))</f>
        <v>1</v>
      </c>
      <c r="I268" s="8" t="n">
        <f aca="false">MAX(0,F268-E268)</f>
        <v>0</v>
      </c>
      <c r="J268" s="8" t="n">
        <f aca="false">E268+I268</f>
        <v>39</v>
      </c>
      <c r="K268" s="8" t="str">
        <f aca="false">IF(I268=0,"OK",IF(D268="CBP","Complemento CBP","ERRO: excede CBTBE"))</f>
        <v>OK</v>
      </c>
    </row>
    <row r="269" customFormat="false" ht="15" hidden="false" customHeight="false" outlineLevel="0" collapsed="false">
      <c r="A269" s="8" t="s">
        <v>461</v>
      </c>
      <c r="B269" s="8" t="s">
        <v>462</v>
      </c>
      <c r="C269" s="8" t="s">
        <v>867</v>
      </c>
      <c r="D269" s="8" t="s">
        <v>20</v>
      </c>
      <c r="E269" s="8" t="n">
        <v>39</v>
      </c>
      <c r="F269" s="11" t="n">
        <f aca="false">IF(D269="CBP",SUMIF(Itens!$A:$A,A269,Itens!$I:$I),SUMIF(Itens!$A:$A,A269,Itens!$J:$J))</f>
        <v>0</v>
      </c>
      <c r="G269" s="8" t="n">
        <f aca="false">MAX(0,E269-F269)</f>
        <v>39</v>
      </c>
      <c r="H269" s="14" t="n">
        <f aca="false">IF(E269=0,0,MIN(1,F269/E269))</f>
        <v>0</v>
      </c>
      <c r="I269" s="8" t="n">
        <f aca="false">MAX(0,F269-E269)</f>
        <v>0</v>
      </c>
      <c r="J269" s="8" t="n">
        <f aca="false">E269+I269</f>
        <v>39</v>
      </c>
      <c r="K269" s="8" t="str">
        <f aca="false">IF(I269=0,"OK",IF(D269="CBP","Complemento CBP","ERRO: excede CBTBE"))</f>
        <v>OK</v>
      </c>
    </row>
    <row r="270" customFormat="false" ht="15" hidden="false" customHeight="false" outlineLevel="0" collapsed="false">
      <c r="A270" s="8" t="s">
        <v>505</v>
      </c>
      <c r="B270" s="8" t="s">
        <v>506</v>
      </c>
      <c r="C270" s="8" t="s">
        <v>771</v>
      </c>
      <c r="D270" s="8" t="s">
        <v>20</v>
      </c>
      <c r="E270" s="8" t="n">
        <v>37</v>
      </c>
      <c r="F270" s="11" t="n">
        <f aca="false">IF(D270="CBP",SUMIF(Itens!$A:$A,A270,Itens!$I:$I),SUMIF(Itens!$A:$A,A270,Itens!$J:$J))</f>
        <v>37</v>
      </c>
      <c r="G270" s="8" t="n">
        <f aca="false">MAX(0,E270-F270)</f>
        <v>0</v>
      </c>
      <c r="H270" s="14" t="n">
        <f aca="false">IF(E270=0,0,MIN(1,F270/E270))</f>
        <v>1</v>
      </c>
      <c r="I270" s="8" t="n">
        <f aca="false">MAX(0,F270-E270)</f>
        <v>0</v>
      </c>
      <c r="J270" s="8" t="n">
        <f aca="false">E270+I270</f>
        <v>37</v>
      </c>
      <c r="K270" s="8" t="str">
        <f aca="false">IF(I270=0,"OK",IF(D270="CBP","Complemento CBP","ERRO: excede CBTBE"))</f>
        <v>OK</v>
      </c>
    </row>
    <row r="271" customFormat="false" ht="15" hidden="false" customHeight="false" outlineLevel="0" collapsed="false">
      <c r="A271" s="8" t="s">
        <v>483</v>
      </c>
      <c r="B271" s="8" t="s">
        <v>484</v>
      </c>
      <c r="C271" s="8" t="s">
        <v>829</v>
      </c>
      <c r="D271" s="8" t="s">
        <v>20</v>
      </c>
      <c r="E271" s="8" t="n">
        <v>36</v>
      </c>
      <c r="F271" s="11" t="n">
        <f aca="false">IF(D271="CBP",SUMIF(Itens!$A:$A,A271,Itens!$I:$I),SUMIF(Itens!$A:$A,A271,Itens!$J:$J))</f>
        <v>36</v>
      </c>
      <c r="G271" s="8" t="n">
        <f aca="false">MAX(0,E271-F271)</f>
        <v>0</v>
      </c>
      <c r="H271" s="14" t="n">
        <f aca="false">IF(E271=0,0,MIN(1,F271/E271))</f>
        <v>1</v>
      </c>
      <c r="I271" s="8" t="n">
        <f aca="false">MAX(0,F271-E271)</f>
        <v>0</v>
      </c>
      <c r="J271" s="8" t="n">
        <f aca="false">E271+I271</f>
        <v>36</v>
      </c>
      <c r="K271" s="8" t="str">
        <f aca="false">IF(I271=0,"OK",IF(D271="CBP","Complemento CBP","ERRO: excede CBTBE"))</f>
        <v>OK</v>
      </c>
    </row>
    <row r="272" customFormat="false" ht="15" hidden="false" customHeight="false" outlineLevel="0" collapsed="false">
      <c r="A272" s="8" t="s">
        <v>623</v>
      </c>
      <c r="B272" s="8" t="s">
        <v>624</v>
      </c>
      <c r="C272" s="8" t="s">
        <v>773</v>
      </c>
      <c r="D272" s="8" t="s">
        <v>20</v>
      </c>
      <c r="E272" s="8" t="n">
        <v>36</v>
      </c>
      <c r="F272" s="11" t="n">
        <f aca="false">IF(D272="CBP",SUMIF(Itens!$A:$A,A272,Itens!$I:$I),SUMIF(Itens!$A:$A,A272,Itens!$J:$J))</f>
        <v>36</v>
      </c>
      <c r="G272" s="8" t="n">
        <f aca="false">MAX(0,E272-F272)</f>
        <v>0</v>
      </c>
      <c r="H272" s="14" t="n">
        <f aca="false">IF(E272=0,0,MIN(1,F272/E272))</f>
        <v>1</v>
      </c>
      <c r="I272" s="8" t="n">
        <f aca="false">MAX(0,F272-E272)</f>
        <v>0</v>
      </c>
      <c r="J272" s="8" t="n">
        <f aca="false">E272+I272</f>
        <v>36</v>
      </c>
      <c r="K272" s="8" t="str">
        <f aca="false">IF(I272=0,"OK",IF(D272="CBP","Complemento CBP","ERRO: excede CBTBE"))</f>
        <v>OK</v>
      </c>
    </row>
    <row r="273" customFormat="false" ht="15" hidden="false" customHeight="false" outlineLevel="0" collapsed="false">
      <c r="A273" s="8" t="s">
        <v>577</v>
      </c>
      <c r="B273" s="8" t="s">
        <v>578</v>
      </c>
      <c r="C273" s="8" t="s">
        <v>744</v>
      </c>
      <c r="D273" s="8" t="s">
        <v>20</v>
      </c>
      <c r="E273" s="8" t="n">
        <v>36</v>
      </c>
      <c r="F273" s="11" t="n">
        <f aca="false">IF(D273="CBP",SUMIF(Itens!$A:$A,A273,Itens!$I:$I),SUMIF(Itens!$A:$A,A273,Itens!$J:$J))</f>
        <v>36</v>
      </c>
      <c r="G273" s="8" t="n">
        <f aca="false">MAX(0,E273-F273)</f>
        <v>0</v>
      </c>
      <c r="H273" s="14" t="n">
        <f aca="false">IF(E273=0,0,MIN(1,F273/E273))</f>
        <v>1</v>
      </c>
      <c r="I273" s="8" t="n">
        <f aca="false">MAX(0,F273-E273)</f>
        <v>0</v>
      </c>
      <c r="J273" s="8" t="n">
        <f aca="false">E273+I273</f>
        <v>36</v>
      </c>
      <c r="K273" s="8" t="str">
        <f aca="false">IF(I273=0,"OK",IF(D273="CBP","Complemento CBP","ERRO: excede CBTBE"))</f>
        <v>OK</v>
      </c>
    </row>
    <row r="274" customFormat="false" ht="15" hidden="false" customHeight="false" outlineLevel="0" collapsed="false">
      <c r="A274" s="8" t="s">
        <v>609</v>
      </c>
      <c r="B274" s="8" t="s">
        <v>610</v>
      </c>
      <c r="C274" s="8" t="s">
        <v>771</v>
      </c>
      <c r="D274" s="8" t="s">
        <v>20</v>
      </c>
      <c r="E274" s="8" t="n">
        <v>35</v>
      </c>
      <c r="F274" s="11" t="n">
        <f aca="false">IF(D274="CBP",SUMIF(Itens!$A:$A,A274,Itens!$I:$I),SUMIF(Itens!$A:$A,A274,Itens!$J:$J))</f>
        <v>0</v>
      </c>
      <c r="G274" s="8" t="n">
        <f aca="false">MAX(0,E274-F274)</f>
        <v>35</v>
      </c>
      <c r="H274" s="14" t="n">
        <f aca="false">IF(E274=0,0,MIN(1,F274/E274))</f>
        <v>0</v>
      </c>
      <c r="I274" s="8" t="n">
        <f aca="false">MAX(0,F274-E274)</f>
        <v>0</v>
      </c>
      <c r="J274" s="8" t="n">
        <f aca="false">E274+I274</f>
        <v>35</v>
      </c>
      <c r="K274" s="8" t="str">
        <f aca="false">IF(I274=0,"OK",IF(D274="CBP","Complemento CBP","ERRO: excede CBTBE"))</f>
        <v>OK</v>
      </c>
    </row>
    <row r="275" customFormat="false" ht="15" hidden="false" customHeight="false" outlineLevel="0" collapsed="false">
      <c r="A275" s="8" t="s">
        <v>527</v>
      </c>
      <c r="B275" s="8" t="s">
        <v>528</v>
      </c>
      <c r="C275" s="8" t="s">
        <v>1079</v>
      </c>
      <c r="D275" s="8" t="s">
        <v>20</v>
      </c>
      <c r="E275" s="8" t="n">
        <v>35</v>
      </c>
      <c r="F275" s="11" t="n">
        <f aca="false">IF(D275="CBP",SUMIF(Itens!$A:$A,A275,Itens!$I:$I),SUMIF(Itens!$A:$A,A275,Itens!$J:$J))</f>
        <v>35</v>
      </c>
      <c r="G275" s="8" t="n">
        <f aca="false">MAX(0,E275-F275)</f>
        <v>0</v>
      </c>
      <c r="H275" s="14" t="n">
        <f aca="false">IF(E275=0,0,MIN(1,F275/E275))</f>
        <v>1</v>
      </c>
      <c r="I275" s="8" t="n">
        <f aca="false">MAX(0,F275-E275)</f>
        <v>0</v>
      </c>
      <c r="J275" s="8" t="n">
        <f aca="false">E275+I275</f>
        <v>35</v>
      </c>
      <c r="K275" s="8" t="str">
        <f aca="false">IF(I275=0,"OK",IF(D275="CBP","Complemento CBP","ERRO: excede CBTBE"))</f>
        <v>OK</v>
      </c>
    </row>
    <row r="276" customFormat="false" ht="15" hidden="false" customHeight="false" outlineLevel="0" collapsed="false">
      <c r="A276" s="8" t="s">
        <v>499</v>
      </c>
      <c r="B276" s="8" t="s">
        <v>500</v>
      </c>
      <c r="C276" s="8" t="s">
        <v>788</v>
      </c>
      <c r="D276" s="8" t="s">
        <v>20</v>
      </c>
      <c r="E276" s="8" t="n">
        <v>33</v>
      </c>
      <c r="F276" s="11" t="n">
        <f aca="false">IF(D276="CBP",SUMIF(Itens!$A:$A,A276,Itens!$I:$I),SUMIF(Itens!$A:$A,A276,Itens!$J:$J))</f>
        <v>33</v>
      </c>
      <c r="G276" s="8" t="n">
        <f aca="false">MAX(0,E276-F276)</f>
        <v>0</v>
      </c>
      <c r="H276" s="14" t="n">
        <f aca="false">IF(E276=0,0,MIN(1,F276/E276))</f>
        <v>1</v>
      </c>
      <c r="I276" s="8" t="n">
        <f aca="false">MAX(0,F276-E276)</f>
        <v>0</v>
      </c>
      <c r="J276" s="8" t="n">
        <f aca="false">E276+I276</f>
        <v>33</v>
      </c>
      <c r="K276" s="8" t="str">
        <f aca="false">IF(I276=0,"OK",IF(D276="CBP","Complemento CBP","ERRO: excede CBTBE"))</f>
        <v>OK</v>
      </c>
    </row>
    <row r="277" customFormat="false" ht="15" hidden="false" customHeight="false" outlineLevel="0" collapsed="false">
      <c r="A277" s="8" t="s">
        <v>1080</v>
      </c>
      <c r="B277" s="8" t="s">
        <v>1081</v>
      </c>
      <c r="C277" s="8" t="s">
        <v>1082</v>
      </c>
      <c r="D277" s="8" t="s">
        <v>20</v>
      </c>
      <c r="E277" s="8" t="n">
        <v>33</v>
      </c>
      <c r="F277" s="11" t="n">
        <f aca="false">IF(D277="CBP",SUMIF(Itens!$A:$A,A277,Itens!$I:$I),SUMIF(Itens!$A:$A,A277,Itens!$J:$J))</f>
        <v>0</v>
      </c>
      <c r="G277" s="8" t="n">
        <f aca="false">MAX(0,E277-F277)</f>
        <v>33</v>
      </c>
      <c r="H277" s="14" t="n">
        <f aca="false">IF(E277=0,0,MIN(1,F277/E277))</f>
        <v>0</v>
      </c>
      <c r="I277" s="8" t="n">
        <f aca="false">MAX(0,F277-E277)</f>
        <v>0</v>
      </c>
      <c r="J277" s="8" t="n">
        <f aca="false">E277+I277</f>
        <v>33</v>
      </c>
      <c r="K277" s="8" t="str">
        <f aca="false">IF(I277=0,"OK",IF(D277="CBP","Complemento CBP","ERRO: excede CBTBE"))</f>
        <v>OK</v>
      </c>
    </row>
    <row r="278" customFormat="false" ht="15" hidden="false" customHeight="false" outlineLevel="0" collapsed="false">
      <c r="A278" s="8" t="s">
        <v>485</v>
      </c>
      <c r="B278" s="8" t="s">
        <v>486</v>
      </c>
      <c r="C278" s="8" t="s">
        <v>776</v>
      </c>
      <c r="D278" s="8" t="s">
        <v>20</v>
      </c>
      <c r="E278" s="8" t="n">
        <v>32</v>
      </c>
      <c r="F278" s="11" t="n">
        <f aca="false">IF(D278="CBP",SUMIF(Itens!$A:$A,A278,Itens!$I:$I),SUMIF(Itens!$A:$A,A278,Itens!$J:$J))</f>
        <v>32</v>
      </c>
      <c r="G278" s="8" t="n">
        <f aca="false">MAX(0,E278-F278)</f>
        <v>0</v>
      </c>
      <c r="H278" s="14" t="n">
        <f aca="false">IF(E278=0,0,MIN(1,F278/E278))</f>
        <v>1</v>
      </c>
      <c r="I278" s="8" t="n">
        <f aca="false">MAX(0,F278-E278)</f>
        <v>0</v>
      </c>
      <c r="J278" s="8" t="n">
        <f aca="false">E278+I278</f>
        <v>32</v>
      </c>
      <c r="K278" s="8" t="str">
        <f aca="false">IF(I278=0,"OK",IF(D278="CBP","Complemento CBP","ERRO: excede CBTBE"))</f>
        <v>OK</v>
      </c>
    </row>
    <row r="279" customFormat="false" ht="15" hidden="false" customHeight="false" outlineLevel="0" collapsed="false">
      <c r="A279" s="8" t="s">
        <v>615</v>
      </c>
      <c r="B279" s="8" t="s">
        <v>616</v>
      </c>
      <c r="C279" s="8" t="s">
        <v>863</v>
      </c>
      <c r="D279" s="8" t="s">
        <v>20</v>
      </c>
      <c r="E279" s="8" t="n">
        <v>32</v>
      </c>
      <c r="F279" s="11" t="n">
        <f aca="false">IF(D279="CBP",SUMIF(Itens!$A:$A,A279,Itens!$I:$I),SUMIF(Itens!$A:$A,A279,Itens!$J:$J))</f>
        <v>32</v>
      </c>
      <c r="G279" s="8" t="n">
        <f aca="false">MAX(0,E279-F279)</f>
        <v>0</v>
      </c>
      <c r="H279" s="14" t="n">
        <f aca="false">IF(E279=0,0,MIN(1,F279/E279))</f>
        <v>1</v>
      </c>
      <c r="I279" s="8" t="n">
        <f aca="false">MAX(0,F279-E279)</f>
        <v>0</v>
      </c>
      <c r="J279" s="8" t="n">
        <f aca="false">E279+I279</f>
        <v>32</v>
      </c>
      <c r="K279" s="8" t="str">
        <f aca="false">IF(I279=0,"OK",IF(D279="CBP","Complemento CBP","ERRO: excede CBTBE"))</f>
        <v>OK</v>
      </c>
    </row>
    <row r="280" customFormat="false" ht="15" hidden="false" customHeight="false" outlineLevel="0" collapsed="false">
      <c r="A280" s="8" t="s">
        <v>503</v>
      </c>
      <c r="B280" s="8" t="s">
        <v>504</v>
      </c>
      <c r="C280" s="8" t="s">
        <v>749</v>
      </c>
      <c r="D280" s="8" t="s">
        <v>20</v>
      </c>
      <c r="E280" s="8" t="n">
        <v>32</v>
      </c>
      <c r="F280" s="11" t="n">
        <f aca="false">IF(D280="CBP",SUMIF(Itens!$A:$A,A280,Itens!$I:$I),SUMIF(Itens!$A:$A,A280,Itens!$J:$J))</f>
        <v>32</v>
      </c>
      <c r="G280" s="8" t="n">
        <f aca="false">MAX(0,E280-F280)</f>
        <v>0</v>
      </c>
      <c r="H280" s="14" t="n">
        <f aca="false">IF(E280=0,0,MIN(1,F280/E280))</f>
        <v>1</v>
      </c>
      <c r="I280" s="8" t="n">
        <f aca="false">MAX(0,F280-E280)</f>
        <v>0</v>
      </c>
      <c r="J280" s="8" t="n">
        <f aca="false">E280+I280</f>
        <v>32</v>
      </c>
      <c r="K280" s="8" t="str">
        <f aca="false">IF(I280=0,"OK",IF(D280="CBP","Complemento CBP","ERRO: excede CBTBE"))</f>
        <v>OK</v>
      </c>
    </row>
    <row r="281" customFormat="false" ht="15" hidden="false" customHeight="false" outlineLevel="0" collapsed="false">
      <c r="A281" s="8" t="s">
        <v>459</v>
      </c>
      <c r="B281" s="8" t="s">
        <v>460</v>
      </c>
      <c r="C281" s="8" t="s">
        <v>774</v>
      </c>
      <c r="D281" s="8" t="s">
        <v>20</v>
      </c>
      <c r="E281" s="8" t="n">
        <v>31</v>
      </c>
      <c r="F281" s="11" t="n">
        <f aca="false">IF(D281="CBP",SUMIF(Itens!$A:$A,A281,Itens!$I:$I),SUMIF(Itens!$A:$A,A281,Itens!$J:$J))</f>
        <v>31</v>
      </c>
      <c r="G281" s="8" t="n">
        <f aca="false">MAX(0,E281-F281)</f>
        <v>0</v>
      </c>
      <c r="H281" s="14" t="n">
        <f aca="false">IF(E281=0,0,MIN(1,F281/E281))</f>
        <v>1</v>
      </c>
      <c r="I281" s="8" t="n">
        <f aca="false">MAX(0,F281-E281)</f>
        <v>0</v>
      </c>
      <c r="J281" s="8" t="n">
        <f aca="false">E281+I281</f>
        <v>31</v>
      </c>
      <c r="K281" s="8" t="str">
        <f aca="false">IF(I281=0,"OK",IF(D281="CBP","Complemento CBP","ERRO: excede CBTBE"))</f>
        <v>OK</v>
      </c>
    </row>
    <row r="282" customFormat="false" ht="15" hidden="false" customHeight="false" outlineLevel="0" collapsed="false">
      <c r="A282" s="8" t="s">
        <v>439</v>
      </c>
      <c r="B282" s="8" t="s">
        <v>440</v>
      </c>
      <c r="C282" s="8" t="s">
        <v>777</v>
      </c>
      <c r="D282" s="8" t="s">
        <v>20</v>
      </c>
      <c r="E282" s="8" t="n">
        <v>30</v>
      </c>
      <c r="F282" s="11" t="n">
        <f aca="false">IF(D282="CBP",SUMIF(Itens!$A:$A,A282,Itens!$I:$I),SUMIF(Itens!$A:$A,A282,Itens!$J:$J))</f>
        <v>30</v>
      </c>
      <c r="G282" s="8" t="n">
        <f aca="false">MAX(0,E282-F282)</f>
        <v>0</v>
      </c>
      <c r="H282" s="14" t="n">
        <f aca="false">IF(E282=0,0,MIN(1,F282/E282))</f>
        <v>1</v>
      </c>
      <c r="I282" s="8" t="n">
        <f aca="false">MAX(0,F282-E282)</f>
        <v>0</v>
      </c>
      <c r="J282" s="8" t="n">
        <f aca="false">E282+I282</f>
        <v>30</v>
      </c>
      <c r="K282" s="8" t="str">
        <f aca="false">IF(I282=0,"OK",IF(D282="CBP","Complemento CBP","ERRO: excede CBTBE"))</f>
        <v>OK</v>
      </c>
    </row>
    <row r="283" customFormat="false" ht="15" hidden="false" customHeight="false" outlineLevel="0" collapsed="false">
      <c r="A283" s="8" t="s">
        <v>431</v>
      </c>
      <c r="B283" s="8" t="s">
        <v>432</v>
      </c>
      <c r="C283" s="8" t="s">
        <v>830</v>
      </c>
      <c r="D283" s="8" t="s">
        <v>20</v>
      </c>
      <c r="E283" s="8" t="n">
        <v>30</v>
      </c>
      <c r="F283" s="11" t="n">
        <f aca="false">IF(D283="CBP",SUMIF(Itens!$A:$A,A283,Itens!$I:$I),SUMIF(Itens!$A:$A,A283,Itens!$J:$J))</f>
        <v>30</v>
      </c>
      <c r="G283" s="8" t="n">
        <f aca="false">MAX(0,E283-F283)</f>
        <v>0</v>
      </c>
      <c r="H283" s="14" t="n">
        <f aca="false">IF(E283=0,0,MIN(1,F283/E283))</f>
        <v>1</v>
      </c>
      <c r="I283" s="8" t="n">
        <f aca="false">MAX(0,F283-E283)</f>
        <v>0</v>
      </c>
      <c r="J283" s="8" t="n">
        <f aca="false">E283+I283</f>
        <v>30</v>
      </c>
      <c r="K283" s="8" t="str">
        <f aca="false">IF(I283=0,"OK",IF(D283="CBP","Complemento CBP","ERRO: excede CBTBE"))</f>
        <v>OK</v>
      </c>
    </row>
    <row r="284" customFormat="false" ht="15" hidden="false" customHeight="false" outlineLevel="0" collapsed="false">
      <c r="A284" s="8" t="s">
        <v>583</v>
      </c>
      <c r="B284" s="8" t="s">
        <v>584</v>
      </c>
      <c r="C284" s="8" t="s">
        <v>790</v>
      </c>
      <c r="D284" s="8" t="s">
        <v>20</v>
      </c>
      <c r="E284" s="8" t="n">
        <v>30</v>
      </c>
      <c r="F284" s="11" t="n">
        <f aca="false">IF(D284="CBP",SUMIF(Itens!$A:$A,A284,Itens!$I:$I),SUMIF(Itens!$A:$A,A284,Itens!$J:$J))</f>
        <v>30</v>
      </c>
      <c r="G284" s="8" t="n">
        <f aca="false">MAX(0,E284-F284)</f>
        <v>0</v>
      </c>
      <c r="H284" s="14" t="n">
        <f aca="false">IF(E284=0,0,MIN(1,F284/E284))</f>
        <v>1</v>
      </c>
      <c r="I284" s="8" t="n">
        <f aca="false">MAX(0,F284-E284)</f>
        <v>0</v>
      </c>
      <c r="J284" s="8" t="n">
        <f aca="false">E284+I284</f>
        <v>30</v>
      </c>
      <c r="K284" s="8" t="str">
        <f aca="false">IF(I284=0,"OK",IF(D284="CBP","Complemento CBP","ERRO: excede CBTBE"))</f>
        <v>OK</v>
      </c>
    </row>
    <row r="285" customFormat="false" ht="15" hidden="false" customHeight="false" outlineLevel="0" collapsed="false">
      <c r="A285" s="8" t="s">
        <v>959</v>
      </c>
      <c r="B285" s="8" t="s">
        <v>960</v>
      </c>
      <c r="C285" s="8" t="s">
        <v>961</v>
      </c>
      <c r="D285" s="8" t="s">
        <v>20</v>
      </c>
      <c r="E285" s="8" t="n">
        <v>30</v>
      </c>
      <c r="F285" s="11" t="n">
        <f aca="false">IF(D285="CBP",SUMIF(Itens!$A:$A,A285,Itens!$I:$I),SUMIF(Itens!$A:$A,A285,Itens!$J:$J))</f>
        <v>0</v>
      </c>
      <c r="G285" s="8" t="n">
        <f aca="false">MAX(0,E285-F285)</f>
        <v>30</v>
      </c>
      <c r="H285" s="14" t="n">
        <f aca="false">IF(E285=0,0,MIN(1,F285/E285))</f>
        <v>0</v>
      </c>
      <c r="I285" s="8" t="n">
        <f aca="false">MAX(0,F285-E285)</f>
        <v>0</v>
      </c>
      <c r="J285" s="8" t="n">
        <f aca="false">E285+I285</f>
        <v>30</v>
      </c>
      <c r="K285" s="8" t="str">
        <f aca="false">IF(I285=0,"OK",IF(D285="CBP","Complemento CBP","ERRO: excede CBTBE"))</f>
        <v>OK</v>
      </c>
    </row>
    <row r="286" customFormat="false" ht="15" hidden="false" customHeight="false" outlineLevel="0" collapsed="false">
      <c r="A286" s="8" t="s">
        <v>1058</v>
      </c>
      <c r="B286" s="8" t="s">
        <v>1059</v>
      </c>
      <c r="C286" s="8" t="s">
        <v>1060</v>
      </c>
      <c r="D286" s="8" t="s">
        <v>20</v>
      </c>
      <c r="E286" s="8" t="n">
        <v>30</v>
      </c>
      <c r="F286" s="11" t="n">
        <f aca="false">IF(D286="CBP",SUMIF(Itens!$A:$A,A286,Itens!$I:$I),SUMIF(Itens!$A:$A,A286,Itens!$J:$J))</f>
        <v>0</v>
      </c>
      <c r="G286" s="8" t="n">
        <f aca="false">MAX(0,E286-F286)</f>
        <v>30</v>
      </c>
      <c r="H286" s="14" t="n">
        <f aca="false">IF(E286=0,0,MIN(1,F286/E286))</f>
        <v>0</v>
      </c>
      <c r="I286" s="8" t="n">
        <f aca="false">MAX(0,F286-E286)</f>
        <v>0</v>
      </c>
      <c r="J286" s="8" t="n">
        <f aca="false">E286+I286</f>
        <v>30</v>
      </c>
      <c r="K286" s="8" t="str">
        <f aca="false">IF(I286=0,"OK",IF(D286="CBP","Complemento CBP","ERRO: excede CBTBE"))</f>
        <v>OK</v>
      </c>
    </row>
    <row r="287" customFormat="false" ht="15" hidden="false" customHeight="false" outlineLevel="0" collapsed="false">
      <c r="A287" s="8" t="s">
        <v>435</v>
      </c>
      <c r="B287" s="8" t="s">
        <v>436</v>
      </c>
      <c r="C287" s="8" t="s">
        <v>981</v>
      </c>
      <c r="D287" s="8" t="s">
        <v>20</v>
      </c>
      <c r="E287" s="8" t="n">
        <v>30</v>
      </c>
      <c r="F287" s="11" t="n">
        <f aca="false">IF(D287="CBP",SUMIF(Itens!$A:$A,A287,Itens!$I:$I),SUMIF(Itens!$A:$A,A287,Itens!$J:$J))</f>
        <v>30</v>
      </c>
      <c r="G287" s="8" t="n">
        <f aca="false">MAX(0,E287-F287)</f>
        <v>0</v>
      </c>
      <c r="H287" s="14" t="n">
        <f aca="false">IF(E287=0,0,MIN(1,F287/E287))</f>
        <v>1</v>
      </c>
      <c r="I287" s="8" t="n">
        <f aca="false">MAX(0,F287-E287)</f>
        <v>0</v>
      </c>
      <c r="J287" s="8" t="n">
        <f aca="false">E287+I287</f>
        <v>30</v>
      </c>
      <c r="K287" s="8" t="str">
        <f aca="false">IF(I287=0,"OK",IF(D287="CBP","Complemento CBP","ERRO: excede CBTBE"))</f>
        <v>OK</v>
      </c>
    </row>
    <row r="288" customFormat="false" ht="15" hidden="false" customHeight="false" outlineLevel="0" collapsed="false">
      <c r="A288" s="8" t="s">
        <v>1083</v>
      </c>
      <c r="B288" s="8" t="s">
        <v>1084</v>
      </c>
      <c r="C288" s="8" t="s">
        <v>1085</v>
      </c>
      <c r="D288" s="8" t="s">
        <v>20</v>
      </c>
      <c r="E288" s="8" t="n">
        <v>30</v>
      </c>
      <c r="F288" s="11" t="n">
        <f aca="false">IF(D288="CBP",SUMIF(Itens!$A:$A,A288,Itens!$I:$I),SUMIF(Itens!$A:$A,A288,Itens!$J:$J))</f>
        <v>0</v>
      </c>
      <c r="G288" s="8" t="n">
        <f aca="false">MAX(0,E288-F288)</f>
        <v>30</v>
      </c>
      <c r="H288" s="14" t="n">
        <f aca="false">IF(E288=0,0,MIN(1,F288/E288))</f>
        <v>0</v>
      </c>
      <c r="I288" s="8" t="n">
        <f aca="false">MAX(0,F288-E288)</f>
        <v>0</v>
      </c>
      <c r="J288" s="8" t="n">
        <f aca="false">E288+I288</f>
        <v>30</v>
      </c>
      <c r="K288" s="8" t="str">
        <f aca="false">IF(I288=0,"OK",IF(D288="CBP","Complemento CBP","ERRO: excede CBTBE"))</f>
        <v>OK</v>
      </c>
    </row>
    <row r="289" customFormat="false" ht="15" hidden="false" customHeight="false" outlineLevel="0" collapsed="false">
      <c r="A289" s="8" t="s">
        <v>493</v>
      </c>
      <c r="B289" s="8" t="s">
        <v>494</v>
      </c>
      <c r="C289" s="8" t="s">
        <v>826</v>
      </c>
      <c r="D289" s="8" t="s">
        <v>20</v>
      </c>
      <c r="E289" s="8" t="n">
        <v>30</v>
      </c>
      <c r="F289" s="11" t="n">
        <f aca="false">IF(D289="CBP",SUMIF(Itens!$A:$A,A289,Itens!$I:$I),SUMIF(Itens!$A:$A,A289,Itens!$J:$J))</f>
        <v>30</v>
      </c>
      <c r="G289" s="8" t="n">
        <f aca="false">MAX(0,E289-F289)</f>
        <v>0</v>
      </c>
      <c r="H289" s="14" t="n">
        <f aca="false">IF(E289=0,0,MIN(1,F289/E289))</f>
        <v>1</v>
      </c>
      <c r="I289" s="8" t="n">
        <f aca="false">MAX(0,F289-E289)</f>
        <v>0</v>
      </c>
      <c r="J289" s="8" t="n">
        <f aca="false">E289+I289</f>
        <v>30</v>
      </c>
      <c r="K289" s="8" t="str">
        <f aca="false">IF(I289=0,"OK",IF(D289="CBP","Complemento CBP","ERRO: excede CBTBE"))</f>
        <v>OK</v>
      </c>
    </row>
    <row r="290" customFormat="false" ht="15" hidden="false" customHeight="false" outlineLevel="0" collapsed="false">
      <c r="A290" s="8" t="s">
        <v>455</v>
      </c>
      <c r="B290" s="8" t="s">
        <v>456</v>
      </c>
      <c r="C290" s="8" t="s">
        <v>775</v>
      </c>
      <c r="D290" s="8" t="s">
        <v>20</v>
      </c>
      <c r="E290" s="8" t="n">
        <v>30</v>
      </c>
      <c r="F290" s="11" t="n">
        <f aca="false">IF(D290="CBP",SUMIF(Itens!$A:$A,A290,Itens!$I:$I),SUMIF(Itens!$A:$A,A290,Itens!$J:$J))</f>
        <v>30</v>
      </c>
      <c r="G290" s="8" t="n">
        <f aca="false">MAX(0,E290-F290)</f>
        <v>0</v>
      </c>
      <c r="H290" s="14" t="n">
        <f aca="false">IF(E290=0,0,MIN(1,F290/E290))</f>
        <v>1</v>
      </c>
      <c r="I290" s="8" t="n">
        <f aca="false">MAX(0,F290-E290)</f>
        <v>0</v>
      </c>
      <c r="J290" s="8" t="n">
        <f aca="false">E290+I290</f>
        <v>30</v>
      </c>
      <c r="K290" s="8" t="str">
        <f aca="false">IF(I290=0,"OK",IF(D290="CBP","Complemento CBP","ERRO: excede CBTBE"))</f>
        <v>OK</v>
      </c>
    </row>
    <row r="291" customFormat="false" ht="15" hidden="false" customHeight="false" outlineLevel="0" collapsed="false">
      <c r="A291" s="8" t="s">
        <v>661</v>
      </c>
      <c r="B291" s="8" t="s">
        <v>662</v>
      </c>
      <c r="C291" s="8" t="s">
        <v>827</v>
      </c>
      <c r="D291" s="8" t="s">
        <v>20</v>
      </c>
      <c r="E291" s="8" t="n">
        <v>30</v>
      </c>
      <c r="F291" s="11" t="n">
        <f aca="false">IF(D291="CBP",SUMIF(Itens!$A:$A,A291,Itens!$I:$I),SUMIF(Itens!$A:$A,A291,Itens!$J:$J))</f>
        <v>30</v>
      </c>
      <c r="G291" s="8" t="n">
        <f aca="false">MAX(0,E291-F291)</f>
        <v>0</v>
      </c>
      <c r="H291" s="14" t="n">
        <f aca="false">IF(E291=0,0,MIN(1,F291/E291))</f>
        <v>1</v>
      </c>
      <c r="I291" s="8" t="n">
        <f aca="false">MAX(0,F291-E291)</f>
        <v>0</v>
      </c>
      <c r="J291" s="8" t="n">
        <f aca="false">E291+I291</f>
        <v>30</v>
      </c>
      <c r="K291" s="8" t="str">
        <f aca="false">IF(I291=0,"OK",IF(D291="CBP","Complemento CBP","ERRO: excede CBTBE"))</f>
        <v>OK</v>
      </c>
    </row>
    <row r="292" customFormat="false" ht="15" hidden="false" customHeight="false" outlineLevel="0" collapsed="false">
      <c r="A292" s="8" t="s">
        <v>1062</v>
      </c>
      <c r="B292" s="8" t="s">
        <v>1063</v>
      </c>
      <c r="C292" s="8" t="s">
        <v>1064</v>
      </c>
      <c r="D292" s="8" t="s">
        <v>20</v>
      </c>
      <c r="E292" s="8" t="n">
        <v>30</v>
      </c>
      <c r="F292" s="11" t="n">
        <f aca="false">IF(D292="CBP",SUMIF(Itens!$A:$A,A292,Itens!$I:$I),SUMIF(Itens!$A:$A,A292,Itens!$J:$J))</f>
        <v>0</v>
      </c>
      <c r="G292" s="8" t="n">
        <f aca="false">MAX(0,E292-F292)</f>
        <v>30</v>
      </c>
      <c r="H292" s="14" t="n">
        <f aca="false">IF(E292=0,0,MIN(1,F292/E292))</f>
        <v>0</v>
      </c>
      <c r="I292" s="8" t="n">
        <f aca="false">MAX(0,F292-E292)</f>
        <v>0</v>
      </c>
      <c r="J292" s="8" t="n">
        <f aca="false">E292+I292</f>
        <v>30</v>
      </c>
      <c r="K292" s="8" t="str">
        <f aca="false">IF(I292=0,"OK",IF(D292="CBP","Complemento CBP","ERRO: excede CBTBE"))</f>
        <v>OK</v>
      </c>
    </row>
    <row r="293" customFormat="false" ht="15" hidden="false" customHeight="false" outlineLevel="0" collapsed="false">
      <c r="A293" s="8" t="s">
        <v>441</v>
      </c>
      <c r="B293" s="8" t="s">
        <v>442</v>
      </c>
      <c r="C293" s="8" t="s">
        <v>794</v>
      </c>
      <c r="D293" s="8" t="s">
        <v>20</v>
      </c>
      <c r="E293" s="8" t="n">
        <v>30</v>
      </c>
      <c r="F293" s="11" t="n">
        <f aca="false">IF(D293="CBP",SUMIF(Itens!$A:$A,A293,Itens!$I:$I),SUMIF(Itens!$A:$A,A293,Itens!$J:$J))</f>
        <v>30</v>
      </c>
      <c r="G293" s="8" t="n">
        <f aca="false">MAX(0,E293-F293)</f>
        <v>0</v>
      </c>
      <c r="H293" s="14" t="n">
        <f aca="false">IF(E293=0,0,MIN(1,F293/E293))</f>
        <v>1</v>
      </c>
      <c r="I293" s="8" t="n">
        <f aca="false">MAX(0,F293-E293)</f>
        <v>0</v>
      </c>
      <c r="J293" s="8" t="n">
        <f aca="false">E293+I293</f>
        <v>30</v>
      </c>
      <c r="K293" s="8" t="str">
        <f aca="false">IF(I293=0,"OK",IF(D293="CBP","Complemento CBP","ERRO: excede CBTBE"))</f>
        <v>OK</v>
      </c>
    </row>
    <row r="294" customFormat="false" ht="15" hidden="false" customHeight="false" outlineLevel="0" collapsed="false">
      <c r="A294" s="8" t="s">
        <v>1086</v>
      </c>
      <c r="B294" s="8" t="s">
        <v>1087</v>
      </c>
      <c r="C294" s="8" t="s">
        <v>1019</v>
      </c>
      <c r="D294" s="8" t="s">
        <v>20</v>
      </c>
      <c r="E294" s="8" t="n">
        <v>30</v>
      </c>
      <c r="F294" s="11" t="n">
        <f aca="false">IF(D294="CBP",SUMIF(Itens!$A:$A,A294,Itens!$I:$I),SUMIF(Itens!$A:$A,A294,Itens!$J:$J))</f>
        <v>0</v>
      </c>
      <c r="G294" s="8" t="n">
        <f aca="false">MAX(0,E294-F294)</f>
        <v>30</v>
      </c>
      <c r="H294" s="14" t="n">
        <f aca="false">IF(E294=0,0,MIN(1,F294/E294))</f>
        <v>0</v>
      </c>
      <c r="I294" s="8" t="n">
        <f aca="false">MAX(0,F294-E294)</f>
        <v>0</v>
      </c>
      <c r="J294" s="8" t="n">
        <f aca="false">E294+I294</f>
        <v>30</v>
      </c>
      <c r="K294" s="8" t="str">
        <f aca="false">IF(I294=0,"OK",IF(D294="CBP","Complemento CBP","ERRO: excede CBTBE"))</f>
        <v>OK</v>
      </c>
    </row>
    <row r="295" customFormat="false" ht="15" hidden="false" customHeight="false" outlineLevel="0" collapsed="false">
      <c r="A295" s="8" t="s">
        <v>537</v>
      </c>
      <c r="B295" s="8" t="s">
        <v>538</v>
      </c>
      <c r="C295" s="8" t="s">
        <v>778</v>
      </c>
      <c r="D295" s="8" t="s">
        <v>20</v>
      </c>
      <c r="E295" s="8" t="n">
        <v>30</v>
      </c>
      <c r="F295" s="11" t="n">
        <f aca="false">IF(D295="CBP",SUMIF(Itens!$A:$A,A295,Itens!$I:$I),SUMIF(Itens!$A:$A,A295,Itens!$J:$J))</f>
        <v>30</v>
      </c>
      <c r="G295" s="8" t="n">
        <f aca="false">MAX(0,E295-F295)</f>
        <v>0</v>
      </c>
      <c r="H295" s="14" t="n">
        <f aca="false">IF(E295=0,0,MIN(1,F295/E295))</f>
        <v>1</v>
      </c>
      <c r="I295" s="8" t="n">
        <f aca="false">MAX(0,F295-E295)</f>
        <v>0</v>
      </c>
      <c r="J295" s="8" t="n">
        <f aca="false">E295+I295</f>
        <v>30</v>
      </c>
      <c r="K295" s="8" t="str">
        <f aca="false">IF(I295=0,"OK",IF(D295="CBP","Complemento CBP","ERRO: excede CBTBE"))</f>
        <v>OK</v>
      </c>
    </row>
    <row r="296" customFormat="false" ht="15" hidden="false" customHeight="false" outlineLevel="0" collapsed="false">
      <c r="A296" s="8" t="s">
        <v>675</v>
      </c>
      <c r="B296" s="8" t="s">
        <v>676</v>
      </c>
      <c r="C296" s="8" t="s">
        <v>1042</v>
      </c>
      <c r="D296" s="8" t="s">
        <v>20</v>
      </c>
      <c r="E296" s="8" t="n">
        <v>30</v>
      </c>
      <c r="F296" s="11" t="n">
        <f aca="false">IF(D296="CBP",SUMIF(Itens!$A:$A,A296,Itens!$I:$I),SUMIF(Itens!$A:$A,A296,Itens!$J:$J))</f>
        <v>9</v>
      </c>
      <c r="G296" s="8" t="n">
        <f aca="false">MAX(0,E296-F296)</f>
        <v>21</v>
      </c>
      <c r="H296" s="14" t="n">
        <f aca="false">IF(E296=0,0,MIN(1,F296/E296))</f>
        <v>0.3</v>
      </c>
      <c r="I296" s="8" t="n">
        <f aca="false">MAX(0,F296-E296)</f>
        <v>0</v>
      </c>
      <c r="J296" s="8" t="n">
        <f aca="false">E296+I296</f>
        <v>30</v>
      </c>
      <c r="K296" s="8" t="str">
        <f aca="false">IF(I296=0,"OK",IF(D296="CBP","Complemento CBP","ERRO: excede CBTBE"))</f>
        <v>OK</v>
      </c>
    </row>
    <row r="297" customFormat="false" ht="15" hidden="false" customHeight="false" outlineLevel="0" collapsed="false">
      <c r="A297" s="8" t="s">
        <v>633</v>
      </c>
      <c r="B297" s="8" t="s">
        <v>634</v>
      </c>
      <c r="C297" s="8" t="s">
        <v>888</v>
      </c>
      <c r="D297" s="8" t="s">
        <v>20</v>
      </c>
      <c r="E297" s="8" t="n">
        <v>30</v>
      </c>
      <c r="F297" s="11" t="n">
        <f aca="false">IF(D297="CBP",SUMIF(Itens!$A:$A,A297,Itens!$I:$I),SUMIF(Itens!$A:$A,A297,Itens!$J:$J))</f>
        <v>30</v>
      </c>
      <c r="G297" s="8" t="n">
        <f aca="false">MAX(0,E297-F297)</f>
        <v>0</v>
      </c>
      <c r="H297" s="14" t="n">
        <f aca="false">IF(E297=0,0,MIN(1,F297/E297))</f>
        <v>1</v>
      </c>
      <c r="I297" s="8" t="n">
        <f aca="false">MAX(0,F297-E297)</f>
        <v>0</v>
      </c>
      <c r="J297" s="8" t="n">
        <f aca="false">E297+I297</f>
        <v>30</v>
      </c>
      <c r="K297" s="8" t="str">
        <f aca="false">IF(I297=0,"OK",IF(D297="CBP","Complemento CBP","ERRO: excede CBTBE"))</f>
        <v>OK</v>
      </c>
    </row>
    <row r="298" customFormat="false" ht="15" hidden="false" customHeight="false" outlineLevel="0" collapsed="false">
      <c r="A298" s="8" t="s">
        <v>585</v>
      </c>
      <c r="B298" s="8" t="s">
        <v>586</v>
      </c>
      <c r="C298" s="8" t="s">
        <v>810</v>
      </c>
      <c r="D298" s="8" t="s">
        <v>20</v>
      </c>
      <c r="E298" s="8" t="n">
        <v>30</v>
      </c>
      <c r="F298" s="11" t="n">
        <f aca="false">IF(D298="CBP",SUMIF(Itens!$A:$A,A298,Itens!$I:$I),SUMIF(Itens!$A:$A,A298,Itens!$J:$J))</f>
        <v>30</v>
      </c>
      <c r="G298" s="8" t="n">
        <f aca="false">MAX(0,E298-F298)</f>
        <v>0</v>
      </c>
      <c r="H298" s="14" t="n">
        <f aca="false">IF(E298=0,0,MIN(1,F298/E298))</f>
        <v>1</v>
      </c>
      <c r="I298" s="8" t="n">
        <f aca="false">MAX(0,F298-E298)</f>
        <v>0</v>
      </c>
      <c r="J298" s="8" t="n">
        <f aca="false">E298+I298</f>
        <v>30</v>
      </c>
      <c r="K298" s="8" t="str">
        <f aca="false">IF(I298=0,"OK",IF(D298="CBP","Complemento CBP","ERRO: excede CBTBE"))</f>
        <v>OK</v>
      </c>
    </row>
    <row r="299" customFormat="false" ht="15" hidden="false" customHeight="false" outlineLevel="0" collapsed="false">
      <c r="A299" s="8" t="s">
        <v>525</v>
      </c>
      <c r="B299" s="8" t="s">
        <v>526</v>
      </c>
      <c r="C299" s="8" t="s">
        <v>918</v>
      </c>
      <c r="D299" s="8" t="s">
        <v>20</v>
      </c>
      <c r="E299" s="8" t="n">
        <v>30</v>
      </c>
      <c r="F299" s="11" t="n">
        <f aca="false">IF(D299="CBP",SUMIF(Itens!$A:$A,A299,Itens!$I:$I),SUMIF(Itens!$A:$A,A299,Itens!$J:$J))</f>
        <v>30</v>
      </c>
      <c r="G299" s="8" t="n">
        <f aca="false">MAX(0,E299-F299)</f>
        <v>0</v>
      </c>
      <c r="H299" s="14" t="n">
        <f aca="false">IF(E299=0,0,MIN(1,F299/E299))</f>
        <v>1</v>
      </c>
      <c r="I299" s="8" t="n">
        <f aca="false">MAX(0,F299-E299)</f>
        <v>0</v>
      </c>
      <c r="J299" s="8" t="n">
        <f aca="false">E299+I299</f>
        <v>30</v>
      </c>
      <c r="K299" s="8" t="str">
        <f aca="false">IF(I299=0,"OK",IF(D299="CBP","Complemento CBP","ERRO: excede CBTBE"))</f>
        <v>OK</v>
      </c>
    </row>
    <row r="300" customFormat="false" ht="15" hidden="false" customHeight="false" outlineLevel="0" collapsed="false">
      <c r="A300" s="8" t="s">
        <v>671</v>
      </c>
      <c r="B300" s="8" t="s">
        <v>672</v>
      </c>
      <c r="C300" s="8" t="s">
        <v>805</v>
      </c>
      <c r="D300" s="8" t="s">
        <v>20</v>
      </c>
      <c r="E300" s="8" t="n">
        <v>30</v>
      </c>
      <c r="F300" s="11" t="n">
        <f aca="false">IF(D300="CBP",SUMIF(Itens!$A:$A,A300,Itens!$I:$I),SUMIF(Itens!$A:$A,A300,Itens!$J:$J))</f>
        <v>30</v>
      </c>
      <c r="G300" s="8" t="n">
        <f aca="false">MAX(0,E300-F300)</f>
        <v>0</v>
      </c>
      <c r="H300" s="14" t="n">
        <f aca="false">IF(E300=0,0,MIN(1,F300/E300))</f>
        <v>1</v>
      </c>
      <c r="I300" s="8" t="n">
        <f aca="false">MAX(0,F300-E300)</f>
        <v>0</v>
      </c>
      <c r="J300" s="8" t="n">
        <f aca="false">E300+I300</f>
        <v>30</v>
      </c>
      <c r="K300" s="8" t="str">
        <f aca="false">IF(I300=0,"OK",IF(D300="CBP","Complemento CBP","ERRO: excede CBTBE"))</f>
        <v>OK</v>
      </c>
    </row>
    <row r="301" customFormat="false" ht="15" hidden="false" customHeight="false" outlineLevel="0" collapsed="false">
      <c r="A301" s="8" t="s">
        <v>1045</v>
      </c>
      <c r="B301" s="8" t="s">
        <v>1046</v>
      </c>
      <c r="C301" s="8" t="s">
        <v>1047</v>
      </c>
      <c r="D301" s="8" t="s">
        <v>20</v>
      </c>
      <c r="E301" s="8" t="n">
        <v>30</v>
      </c>
      <c r="F301" s="11" t="n">
        <f aca="false">IF(D301="CBP",SUMIF(Itens!$A:$A,A301,Itens!$I:$I),SUMIF(Itens!$A:$A,A301,Itens!$J:$J))</f>
        <v>0</v>
      </c>
      <c r="G301" s="8" t="n">
        <f aca="false">MAX(0,E301-F301)</f>
        <v>30</v>
      </c>
      <c r="H301" s="14" t="n">
        <f aca="false">IF(E301=0,0,MIN(1,F301/E301))</f>
        <v>0</v>
      </c>
      <c r="I301" s="8" t="n">
        <f aca="false">MAX(0,F301-E301)</f>
        <v>0</v>
      </c>
      <c r="J301" s="8" t="n">
        <f aca="false">E301+I301</f>
        <v>30</v>
      </c>
      <c r="K301" s="8" t="str">
        <f aca="false">IF(I301=0,"OK",IF(D301="CBP","Complemento CBP","ERRO: excede CBTBE"))</f>
        <v>OK</v>
      </c>
    </row>
    <row r="302" customFormat="false" ht="15" hidden="false" customHeight="false" outlineLevel="0" collapsed="false">
      <c r="A302" s="8" t="s">
        <v>681</v>
      </c>
      <c r="B302" s="8" t="s">
        <v>682</v>
      </c>
      <c r="C302" s="8" t="s">
        <v>805</v>
      </c>
      <c r="D302" s="8" t="s">
        <v>20</v>
      </c>
      <c r="E302" s="8" t="n">
        <v>30</v>
      </c>
      <c r="F302" s="11" t="n">
        <f aca="false">IF(D302="CBP",SUMIF(Itens!$A:$A,A302,Itens!$I:$I),SUMIF(Itens!$A:$A,A302,Itens!$J:$J))</f>
        <v>30</v>
      </c>
      <c r="G302" s="8" t="n">
        <f aca="false">MAX(0,E302-F302)</f>
        <v>0</v>
      </c>
      <c r="H302" s="14" t="n">
        <f aca="false">IF(E302=0,0,MIN(1,F302/E302))</f>
        <v>1</v>
      </c>
      <c r="I302" s="8" t="n">
        <f aca="false">MAX(0,F302-E302)</f>
        <v>0</v>
      </c>
      <c r="J302" s="8" t="n">
        <f aca="false">E302+I302</f>
        <v>30</v>
      </c>
      <c r="K302" s="8" t="str">
        <f aca="false">IF(I302=0,"OK",IF(D302="CBP","Complemento CBP","ERRO: excede CBTBE"))</f>
        <v>OK</v>
      </c>
    </row>
    <row r="303" customFormat="false" ht="15" hidden="false" customHeight="false" outlineLevel="0" collapsed="false">
      <c r="A303" s="8" t="s">
        <v>976</v>
      </c>
      <c r="B303" s="8" t="s">
        <v>977</v>
      </c>
      <c r="C303" s="8" t="s">
        <v>743</v>
      </c>
      <c r="D303" s="8" t="s">
        <v>20</v>
      </c>
      <c r="E303" s="8" t="n">
        <v>30</v>
      </c>
      <c r="F303" s="11" t="n">
        <f aca="false">IF(D303="CBP",SUMIF(Itens!$A:$A,A303,Itens!$I:$I),SUMIF(Itens!$A:$A,A303,Itens!$J:$J))</f>
        <v>0</v>
      </c>
      <c r="G303" s="8" t="n">
        <f aca="false">MAX(0,E303-F303)</f>
        <v>30</v>
      </c>
      <c r="H303" s="14" t="n">
        <f aca="false">IF(E303=0,0,MIN(1,F303/E303))</f>
        <v>0</v>
      </c>
      <c r="I303" s="8" t="n">
        <f aca="false">MAX(0,F303-E303)</f>
        <v>0</v>
      </c>
      <c r="J303" s="8" t="n">
        <f aca="false">E303+I303</f>
        <v>30</v>
      </c>
      <c r="K303" s="8" t="str">
        <f aca="false">IF(I303=0,"OK",IF(D303="CBP","Complemento CBP","ERRO: excede CBTBE"))</f>
        <v>OK</v>
      </c>
    </row>
    <row r="304" customFormat="false" ht="15" hidden="false" customHeight="false" outlineLevel="0" collapsed="false">
      <c r="A304" s="8" t="s">
        <v>429</v>
      </c>
      <c r="B304" s="8" t="s">
        <v>430</v>
      </c>
      <c r="C304" s="8" t="s">
        <v>853</v>
      </c>
      <c r="D304" s="8" t="s">
        <v>20</v>
      </c>
      <c r="E304" s="8" t="n">
        <v>29</v>
      </c>
      <c r="F304" s="11" t="n">
        <f aca="false">IF(D304="CBP",SUMIF(Itens!$A:$A,A304,Itens!$I:$I),SUMIF(Itens!$A:$A,A304,Itens!$J:$J))</f>
        <v>29</v>
      </c>
      <c r="G304" s="8" t="n">
        <f aca="false">MAX(0,E304-F304)</f>
        <v>0</v>
      </c>
      <c r="H304" s="14" t="n">
        <f aca="false">IF(E304=0,0,MIN(1,F304/E304))</f>
        <v>1</v>
      </c>
      <c r="I304" s="8" t="n">
        <f aca="false">MAX(0,F304-E304)</f>
        <v>0</v>
      </c>
      <c r="J304" s="8" t="n">
        <f aca="false">E304+I304</f>
        <v>29</v>
      </c>
      <c r="K304" s="8" t="str">
        <f aca="false">IF(I304=0,"OK",IF(D304="CBP","Complemento CBP","ERRO: excede CBTBE"))</f>
        <v>OK</v>
      </c>
    </row>
    <row r="305" customFormat="false" ht="15" hidden="false" customHeight="false" outlineLevel="0" collapsed="false">
      <c r="A305" s="8" t="s">
        <v>597</v>
      </c>
      <c r="B305" s="8" t="s">
        <v>598</v>
      </c>
      <c r="C305" s="8" t="s">
        <v>811</v>
      </c>
      <c r="D305" s="8" t="s">
        <v>20</v>
      </c>
      <c r="E305" s="8" t="n">
        <v>29</v>
      </c>
      <c r="F305" s="11" t="n">
        <f aca="false">IF(D305="CBP",SUMIF(Itens!$A:$A,A305,Itens!$I:$I),SUMIF(Itens!$A:$A,A305,Itens!$J:$J))</f>
        <v>29</v>
      </c>
      <c r="G305" s="8" t="n">
        <f aca="false">MAX(0,E305-F305)</f>
        <v>0</v>
      </c>
      <c r="H305" s="14" t="n">
        <f aca="false">IF(E305=0,0,MIN(1,F305/E305))</f>
        <v>1</v>
      </c>
      <c r="I305" s="8" t="n">
        <f aca="false">MAX(0,F305-E305)</f>
        <v>0</v>
      </c>
      <c r="J305" s="8" t="n">
        <f aca="false">E305+I305</f>
        <v>29</v>
      </c>
      <c r="K305" s="8" t="str">
        <f aca="false">IF(I305=0,"OK",IF(D305="CBP","Complemento CBP","ERRO: excede CBTBE"))</f>
        <v>OK</v>
      </c>
    </row>
    <row r="306" customFormat="false" ht="15" hidden="false" customHeight="false" outlineLevel="0" collapsed="false">
      <c r="A306" s="8" t="s">
        <v>1088</v>
      </c>
      <c r="B306" s="8" t="s">
        <v>1089</v>
      </c>
      <c r="C306" s="8" t="s">
        <v>987</v>
      </c>
      <c r="D306" s="8" t="s">
        <v>20</v>
      </c>
      <c r="E306" s="8" t="n">
        <v>28</v>
      </c>
      <c r="F306" s="11" t="n">
        <f aca="false">IF(D306="CBP",SUMIF(Itens!$A:$A,A306,Itens!$I:$I),SUMIF(Itens!$A:$A,A306,Itens!$J:$J))</f>
        <v>0</v>
      </c>
      <c r="G306" s="8" t="n">
        <f aca="false">MAX(0,E306-F306)</f>
        <v>28</v>
      </c>
      <c r="H306" s="14" t="n">
        <f aca="false">IF(E306=0,0,MIN(1,F306/E306))</f>
        <v>0</v>
      </c>
      <c r="I306" s="8" t="n">
        <f aca="false">MAX(0,F306-E306)</f>
        <v>0</v>
      </c>
      <c r="J306" s="8" t="n">
        <f aca="false">E306+I306</f>
        <v>28</v>
      </c>
      <c r="K306" s="8" t="str">
        <f aca="false">IF(I306=0,"OK",IF(D306="CBP","Complemento CBP","ERRO: excede CBTBE"))</f>
        <v>OK</v>
      </c>
    </row>
    <row r="307" customFormat="false" ht="15" hidden="false" customHeight="false" outlineLevel="0" collapsed="false">
      <c r="A307" s="8" t="s">
        <v>465</v>
      </c>
      <c r="B307" s="8" t="s">
        <v>466</v>
      </c>
      <c r="C307" s="8" t="s">
        <v>1090</v>
      </c>
      <c r="D307" s="8" t="s">
        <v>20</v>
      </c>
      <c r="E307" s="8" t="n">
        <v>27</v>
      </c>
      <c r="F307" s="11" t="n">
        <f aca="false">IF(D307="CBP",SUMIF(Itens!$A:$A,A307,Itens!$I:$I),SUMIF(Itens!$A:$A,A307,Itens!$J:$J))</f>
        <v>27</v>
      </c>
      <c r="G307" s="8" t="n">
        <f aca="false">MAX(0,E307-F307)</f>
        <v>0</v>
      </c>
      <c r="H307" s="14" t="n">
        <f aca="false">IF(E307=0,0,MIN(1,F307/E307))</f>
        <v>1</v>
      </c>
      <c r="I307" s="8" t="n">
        <f aca="false">MAX(0,F307-E307)</f>
        <v>0</v>
      </c>
      <c r="J307" s="8" t="n">
        <f aca="false">E307+I307</f>
        <v>27</v>
      </c>
      <c r="K307" s="8" t="str">
        <f aca="false">IF(I307=0,"OK",IF(D307="CBP","Complemento CBP","ERRO: excede CBTBE"))</f>
        <v>OK</v>
      </c>
    </row>
    <row r="308" customFormat="false" ht="15" hidden="false" customHeight="false" outlineLevel="0" collapsed="false">
      <c r="A308" s="8" t="s">
        <v>571</v>
      </c>
      <c r="B308" s="8" t="s">
        <v>572</v>
      </c>
      <c r="C308" s="8" t="s">
        <v>1015</v>
      </c>
      <c r="D308" s="8" t="s">
        <v>20</v>
      </c>
      <c r="E308" s="8" t="n">
        <v>26</v>
      </c>
      <c r="F308" s="11" t="n">
        <f aca="false">IF(D308="CBP",SUMIF(Itens!$A:$A,A308,Itens!$I:$I),SUMIF(Itens!$A:$A,A308,Itens!$J:$J))</f>
        <v>26</v>
      </c>
      <c r="G308" s="8" t="n">
        <f aca="false">MAX(0,E308-F308)</f>
        <v>0</v>
      </c>
      <c r="H308" s="14" t="n">
        <f aca="false">IF(E308=0,0,MIN(1,F308/E308))</f>
        <v>1</v>
      </c>
      <c r="I308" s="8" t="n">
        <f aca="false">MAX(0,F308-E308)</f>
        <v>0</v>
      </c>
      <c r="J308" s="8" t="n">
        <f aca="false">E308+I308</f>
        <v>26</v>
      </c>
      <c r="K308" s="8" t="str">
        <f aca="false">IF(I308=0,"OK",IF(D308="CBP","Complemento CBP","ERRO: excede CBTBE"))</f>
        <v>OK</v>
      </c>
    </row>
    <row r="309" customFormat="false" ht="15" hidden="false" customHeight="false" outlineLevel="0" collapsed="false">
      <c r="A309" s="8" t="s">
        <v>477</v>
      </c>
      <c r="B309" s="8" t="s">
        <v>478</v>
      </c>
      <c r="C309" s="8" t="s">
        <v>851</v>
      </c>
      <c r="D309" s="8" t="s">
        <v>20</v>
      </c>
      <c r="E309" s="8" t="n">
        <v>26</v>
      </c>
      <c r="F309" s="11" t="n">
        <f aca="false">IF(D309="CBP",SUMIF(Itens!$A:$A,A309,Itens!$I:$I),SUMIF(Itens!$A:$A,A309,Itens!$J:$J))</f>
        <v>26</v>
      </c>
      <c r="G309" s="8" t="n">
        <f aca="false">MAX(0,E309-F309)</f>
        <v>0</v>
      </c>
      <c r="H309" s="14" t="n">
        <f aca="false">IF(E309=0,0,MIN(1,F309/E309))</f>
        <v>1</v>
      </c>
      <c r="I309" s="8" t="n">
        <f aca="false">MAX(0,F309-E309)</f>
        <v>0</v>
      </c>
      <c r="J309" s="8" t="n">
        <f aca="false">E309+I309</f>
        <v>26</v>
      </c>
      <c r="K309" s="8" t="str">
        <f aca="false">IF(I309=0,"OK",IF(D309="CBP","Complemento CBP","ERRO: excede CBTBE"))</f>
        <v>OK</v>
      </c>
    </row>
    <row r="310" customFormat="false" ht="15" hidden="false" customHeight="false" outlineLevel="0" collapsed="false">
      <c r="A310" s="8" t="s">
        <v>567</v>
      </c>
      <c r="B310" s="8" t="s">
        <v>568</v>
      </c>
      <c r="C310" s="8" t="s">
        <v>740</v>
      </c>
      <c r="D310" s="8" t="s">
        <v>20</v>
      </c>
      <c r="E310" s="8" t="n">
        <v>26</v>
      </c>
      <c r="F310" s="11" t="n">
        <f aca="false">IF(D310="CBP",SUMIF(Itens!$A:$A,A310,Itens!$I:$I),SUMIF(Itens!$A:$A,A310,Itens!$J:$J))</f>
        <v>0</v>
      </c>
      <c r="G310" s="8" t="n">
        <f aca="false">MAX(0,E310-F310)</f>
        <v>26</v>
      </c>
      <c r="H310" s="14" t="n">
        <f aca="false">IF(E310=0,0,MIN(1,F310/E310))</f>
        <v>0</v>
      </c>
      <c r="I310" s="8" t="n">
        <f aca="false">MAX(0,F310-E310)</f>
        <v>0</v>
      </c>
      <c r="J310" s="8" t="n">
        <f aca="false">E310+I310</f>
        <v>26</v>
      </c>
      <c r="K310" s="8" t="str">
        <f aca="false">IF(I310=0,"OK",IF(D310="CBP","Complemento CBP","ERRO: excede CBTBE"))</f>
        <v>OK</v>
      </c>
    </row>
    <row r="311" customFormat="false" ht="15" hidden="false" customHeight="false" outlineLevel="0" collapsed="false">
      <c r="A311" s="8" t="s">
        <v>523</v>
      </c>
      <c r="B311" s="8" t="s">
        <v>524</v>
      </c>
      <c r="C311" s="8" t="s">
        <v>1016</v>
      </c>
      <c r="D311" s="8" t="s">
        <v>20</v>
      </c>
      <c r="E311" s="8" t="n">
        <v>24</v>
      </c>
      <c r="F311" s="11" t="n">
        <f aca="false">IF(D311="CBP",SUMIF(Itens!$A:$A,A311,Itens!$I:$I),SUMIF(Itens!$A:$A,A311,Itens!$J:$J))</f>
        <v>24</v>
      </c>
      <c r="G311" s="8" t="n">
        <f aca="false">MAX(0,E311-F311)</f>
        <v>0</v>
      </c>
      <c r="H311" s="14" t="n">
        <f aca="false">IF(E311=0,0,MIN(1,F311/E311))</f>
        <v>1</v>
      </c>
      <c r="I311" s="8" t="n">
        <f aca="false">MAX(0,F311-E311)</f>
        <v>0</v>
      </c>
      <c r="J311" s="8" t="n">
        <f aca="false">E311+I311</f>
        <v>24</v>
      </c>
      <c r="K311" s="8" t="str">
        <f aca="false">IF(I311=0,"OK",IF(D311="CBP","Complemento CBP","ERRO: excede CBTBE"))</f>
        <v>OK</v>
      </c>
    </row>
    <row r="312" customFormat="false" ht="15" hidden="false" customHeight="false" outlineLevel="0" collapsed="false">
      <c r="A312" s="8" t="s">
        <v>693</v>
      </c>
      <c r="B312" s="8" t="s">
        <v>694</v>
      </c>
      <c r="C312" s="8" t="s">
        <v>1091</v>
      </c>
      <c r="D312" s="8" t="s">
        <v>20</v>
      </c>
      <c r="E312" s="8" t="n">
        <v>24</v>
      </c>
      <c r="F312" s="11" t="n">
        <f aca="false">IF(D312="CBP",SUMIF(Itens!$A:$A,A312,Itens!$I:$I),SUMIF(Itens!$A:$A,A312,Itens!$J:$J))</f>
        <v>24</v>
      </c>
      <c r="G312" s="8" t="n">
        <f aca="false">MAX(0,E312-F312)</f>
        <v>0</v>
      </c>
      <c r="H312" s="14" t="n">
        <f aca="false">IF(E312=0,0,MIN(1,F312/E312))</f>
        <v>1</v>
      </c>
      <c r="I312" s="8" t="n">
        <f aca="false">MAX(0,F312-E312)</f>
        <v>0</v>
      </c>
      <c r="J312" s="8" t="n">
        <f aca="false">E312+I312</f>
        <v>24</v>
      </c>
      <c r="K312" s="8" t="str">
        <f aca="false">IF(I312=0,"OK",IF(D312="CBP","Complemento CBP","ERRO: excede CBTBE"))</f>
        <v>OK</v>
      </c>
    </row>
    <row r="313" customFormat="false" ht="15" hidden="false" customHeight="false" outlineLevel="0" collapsed="false">
      <c r="A313" s="8" t="s">
        <v>701</v>
      </c>
      <c r="B313" s="8" t="s">
        <v>702</v>
      </c>
      <c r="C313" s="8" t="s">
        <v>793</v>
      </c>
      <c r="D313" s="8" t="s">
        <v>20</v>
      </c>
      <c r="E313" s="8" t="n">
        <v>24</v>
      </c>
      <c r="F313" s="11" t="n">
        <f aca="false">IF(D313="CBP",SUMIF(Itens!$A:$A,A313,Itens!$I:$I),SUMIF(Itens!$A:$A,A313,Itens!$J:$J))</f>
        <v>24</v>
      </c>
      <c r="G313" s="8" t="n">
        <f aca="false">MAX(0,E313-F313)</f>
        <v>0</v>
      </c>
      <c r="H313" s="14" t="n">
        <f aca="false">IF(E313=0,0,MIN(1,F313/E313))</f>
        <v>1</v>
      </c>
      <c r="I313" s="8" t="n">
        <f aca="false">MAX(0,F313-E313)</f>
        <v>0</v>
      </c>
      <c r="J313" s="8" t="n">
        <f aca="false">E313+I313</f>
        <v>24</v>
      </c>
      <c r="K313" s="8" t="str">
        <f aca="false">IF(I313=0,"OK",IF(D313="CBP","Complemento CBP","ERRO: excede CBTBE"))</f>
        <v>OK</v>
      </c>
    </row>
    <row r="314" customFormat="false" ht="15" hidden="false" customHeight="false" outlineLevel="0" collapsed="false">
      <c r="A314" s="8" t="s">
        <v>752</v>
      </c>
      <c r="B314" s="8" t="s">
        <v>753</v>
      </c>
      <c r="C314" s="8" t="s">
        <v>754</v>
      </c>
      <c r="D314" s="8" t="s">
        <v>20</v>
      </c>
      <c r="E314" s="8" t="n">
        <v>24</v>
      </c>
      <c r="F314" s="11" t="n">
        <f aca="false">IF(D314="CBP",SUMIF(Itens!$A:$A,A314,Itens!$I:$I),SUMIF(Itens!$A:$A,A314,Itens!$J:$J))</f>
        <v>0</v>
      </c>
      <c r="G314" s="8" t="n">
        <f aca="false">MAX(0,E314-F314)</f>
        <v>24</v>
      </c>
      <c r="H314" s="14" t="n">
        <f aca="false">IF(E314=0,0,MIN(1,F314/E314))</f>
        <v>0</v>
      </c>
      <c r="I314" s="8" t="n">
        <f aca="false">MAX(0,F314-E314)</f>
        <v>0</v>
      </c>
      <c r="J314" s="8" t="n">
        <f aca="false">E314+I314</f>
        <v>24</v>
      </c>
      <c r="K314" s="8" t="str">
        <f aca="false">IF(I314=0,"OK",IF(D314="CBP","Complemento CBP","ERRO: excede CBTBE"))</f>
        <v>OK</v>
      </c>
    </row>
    <row r="315" customFormat="false" ht="15" hidden="false" customHeight="false" outlineLevel="0" collapsed="false">
      <c r="A315" s="8" t="s">
        <v>581</v>
      </c>
      <c r="B315" s="8" t="s">
        <v>582</v>
      </c>
      <c r="C315" s="8" t="s">
        <v>853</v>
      </c>
      <c r="D315" s="8" t="s">
        <v>20</v>
      </c>
      <c r="E315" s="8" t="n">
        <v>23</v>
      </c>
      <c r="F315" s="11" t="n">
        <f aca="false">IF(D315="CBP",SUMIF(Itens!$A:$A,A315,Itens!$I:$I),SUMIF(Itens!$A:$A,A315,Itens!$J:$J))</f>
        <v>23</v>
      </c>
      <c r="G315" s="8" t="n">
        <f aca="false">MAX(0,E315-F315)</f>
        <v>0</v>
      </c>
      <c r="H315" s="14" t="n">
        <f aca="false">IF(E315=0,0,MIN(1,F315/E315))</f>
        <v>1</v>
      </c>
      <c r="I315" s="8" t="n">
        <f aca="false">MAX(0,F315-E315)</f>
        <v>0</v>
      </c>
      <c r="J315" s="8" t="n">
        <f aca="false">E315+I315</f>
        <v>23</v>
      </c>
      <c r="K315" s="8" t="str">
        <f aca="false">IF(I315=0,"OK",IF(D315="CBP","Complemento CBP","ERRO: excede CBTBE"))</f>
        <v>OK</v>
      </c>
    </row>
    <row r="316" customFormat="false" ht="15" hidden="false" customHeight="false" outlineLevel="0" collapsed="false">
      <c r="A316" s="8" t="s">
        <v>639</v>
      </c>
      <c r="B316" s="8" t="s">
        <v>640</v>
      </c>
      <c r="C316" s="8" t="s">
        <v>815</v>
      </c>
      <c r="D316" s="8" t="s">
        <v>20</v>
      </c>
      <c r="E316" s="8" t="n">
        <v>23</v>
      </c>
      <c r="F316" s="11" t="n">
        <f aca="false">IF(D316="CBP",SUMIF(Itens!$A:$A,A316,Itens!$I:$I),SUMIF(Itens!$A:$A,A316,Itens!$J:$J))</f>
        <v>23</v>
      </c>
      <c r="G316" s="8" t="n">
        <f aca="false">MAX(0,E316-F316)</f>
        <v>0</v>
      </c>
      <c r="H316" s="14" t="n">
        <f aca="false">IF(E316=0,0,MIN(1,F316/E316))</f>
        <v>1</v>
      </c>
      <c r="I316" s="8" t="n">
        <f aca="false">MAX(0,F316-E316)</f>
        <v>0</v>
      </c>
      <c r="J316" s="8" t="n">
        <f aca="false">E316+I316</f>
        <v>23</v>
      </c>
      <c r="K316" s="8" t="str">
        <f aca="false">IF(I316=0,"OK",IF(D316="CBP","Complemento CBP","ERRO: excede CBTBE"))</f>
        <v>OK</v>
      </c>
    </row>
    <row r="317" customFormat="false" ht="15" hidden="false" customHeight="false" outlineLevel="0" collapsed="false">
      <c r="A317" s="8" t="s">
        <v>689</v>
      </c>
      <c r="B317" s="8" t="s">
        <v>690</v>
      </c>
      <c r="C317" s="8" t="s">
        <v>1092</v>
      </c>
      <c r="D317" s="8" t="s">
        <v>20</v>
      </c>
      <c r="E317" s="8" t="n">
        <v>23</v>
      </c>
      <c r="F317" s="11" t="n">
        <f aca="false">IF(D317="CBP",SUMIF(Itens!$A:$A,A317,Itens!$I:$I),SUMIF(Itens!$A:$A,A317,Itens!$J:$J))</f>
        <v>23</v>
      </c>
      <c r="G317" s="8" t="n">
        <f aca="false">MAX(0,E317-F317)</f>
        <v>0</v>
      </c>
      <c r="H317" s="14" t="n">
        <f aca="false">IF(E317=0,0,MIN(1,F317/E317))</f>
        <v>1</v>
      </c>
      <c r="I317" s="8" t="n">
        <f aca="false">MAX(0,F317-E317)</f>
        <v>0</v>
      </c>
      <c r="J317" s="8" t="n">
        <f aca="false">E317+I317</f>
        <v>23</v>
      </c>
      <c r="K317" s="8" t="str">
        <f aca="false">IF(I317=0,"OK",IF(D317="CBP","Complemento CBP","ERRO: excede CBTBE"))</f>
        <v>OK</v>
      </c>
    </row>
    <row r="318" customFormat="false" ht="15" hidden="false" customHeight="false" outlineLevel="0" collapsed="false">
      <c r="A318" s="8" t="s">
        <v>467</v>
      </c>
      <c r="B318" s="8" t="s">
        <v>468</v>
      </c>
      <c r="C318" s="8" t="s">
        <v>900</v>
      </c>
      <c r="D318" s="8" t="s">
        <v>20</v>
      </c>
      <c r="E318" s="8" t="n">
        <v>22</v>
      </c>
      <c r="F318" s="11" t="n">
        <f aca="false">IF(D318="CBP",SUMIF(Itens!$A:$A,A318,Itens!$I:$I),SUMIF(Itens!$A:$A,A318,Itens!$J:$J))</f>
        <v>22</v>
      </c>
      <c r="G318" s="8" t="n">
        <f aca="false">MAX(0,E318-F318)</f>
        <v>0</v>
      </c>
      <c r="H318" s="14" t="n">
        <f aca="false">IF(E318=0,0,MIN(1,F318/E318))</f>
        <v>1</v>
      </c>
      <c r="I318" s="8" t="n">
        <f aca="false">MAX(0,F318-E318)</f>
        <v>0</v>
      </c>
      <c r="J318" s="8" t="n">
        <f aca="false">E318+I318</f>
        <v>22</v>
      </c>
      <c r="K318" s="8" t="str">
        <f aca="false">IF(I318=0,"OK",IF(D318="CBP","Complemento CBP","ERRO: excede CBTBE"))</f>
        <v>OK</v>
      </c>
    </row>
    <row r="319" customFormat="false" ht="15" hidden="false" customHeight="false" outlineLevel="0" collapsed="false">
      <c r="A319" s="8" t="s">
        <v>619</v>
      </c>
      <c r="B319" s="8" t="s">
        <v>620</v>
      </c>
      <c r="C319" s="8" t="s">
        <v>806</v>
      </c>
      <c r="D319" s="8" t="s">
        <v>20</v>
      </c>
      <c r="E319" s="8" t="n">
        <v>21</v>
      </c>
      <c r="F319" s="11" t="n">
        <f aca="false">IF(D319="CBP",SUMIF(Itens!$A:$A,A319,Itens!$I:$I),SUMIF(Itens!$A:$A,A319,Itens!$J:$J))</f>
        <v>21</v>
      </c>
      <c r="G319" s="8" t="n">
        <f aca="false">MAX(0,E319-F319)</f>
        <v>0</v>
      </c>
      <c r="H319" s="14" t="n">
        <f aca="false">IF(E319=0,0,MIN(1,F319/E319))</f>
        <v>1</v>
      </c>
      <c r="I319" s="8" t="n">
        <f aca="false">MAX(0,F319-E319)</f>
        <v>0</v>
      </c>
      <c r="J319" s="8" t="n">
        <f aca="false">E319+I319</f>
        <v>21</v>
      </c>
      <c r="K319" s="8" t="str">
        <f aca="false">IF(I319=0,"OK",IF(D319="CBP","Complemento CBP","ERRO: excede CBTBE"))</f>
        <v>OK</v>
      </c>
    </row>
    <row r="320" customFormat="false" ht="15" hidden="false" customHeight="false" outlineLevel="0" collapsed="false">
      <c r="A320" s="8" t="s">
        <v>962</v>
      </c>
      <c r="B320" s="8" t="s">
        <v>963</v>
      </c>
      <c r="C320" s="8" t="s">
        <v>964</v>
      </c>
      <c r="D320" s="8" t="s">
        <v>20</v>
      </c>
      <c r="E320" s="8" t="n">
        <v>21</v>
      </c>
      <c r="F320" s="11" t="n">
        <f aca="false">IF(D320="CBP",SUMIF(Itens!$A:$A,A320,Itens!$I:$I),SUMIF(Itens!$A:$A,A320,Itens!$J:$J))</f>
        <v>0</v>
      </c>
      <c r="G320" s="8" t="n">
        <f aca="false">MAX(0,E320-F320)</f>
        <v>21</v>
      </c>
      <c r="H320" s="14" t="n">
        <f aca="false">IF(E320=0,0,MIN(1,F320/E320))</f>
        <v>0</v>
      </c>
      <c r="I320" s="8" t="n">
        <f aca="false">MAX(0,F320-E320)</f>
        <v>0</v>
      </c>
      <c r="J320" s="8" t="n">
        <f aca="false">E320+I320</f>
        <v>21</v>
      </c>
      <c r="K320" s="8" t="str">
        <f aca="false">IF(I320=0,"OK",IF(D320="CBP","Complemento CBP","ERRO: excede CBTBE"))</f>
        <v>OK</v>
      </c>
    </row>
    <row r="321" customFormat="false" ht="15" hidden="false" customHeight="false" outlineLevel="0" collapsed="false">
      <c r="A321" s="8" t="s">
        <v>629</v>
      </c>
      <c r="B321" s="8" t="s">
        <v>630</v>
      </c>
      <c r="C321" s="8" t="s">
        <v>837</v>
      </c>
      <c r="D321" s="8" t="s">
        <v>20</v>
      </c>
      <c r="E321" s="8" t="n">
        <v>21</v>
      </c>
      <c r="F321" s="11" t="n">
        <f aca="false">IF(D321="CBP",SUMIF(Itens!$A:$A,A321,Itens!$I:$I),SUMIF(Itens!$A:$A,A321,Itens!$J:$J))</f>
        <v>21</v>
      </c>
      <c r="G321" s="8" t="n">
        <f aca="false">MAX(0,E321-F321)</f>
        <v>0</v>
      </c>
      <c r="H321" s="14" t="n">
        <f aca="false">IF(E321=0,0,MIN(1,F321/E321))</f>
        <v>1</v>
      </c>
      <c r="I321" s="8" t="n">
        <f aca="false">MAX(0,F321-E321)</f>
        <v>0</v>
      </c>
      <c r="J321" s="8" t="n">
        <f aca="false">E321+I321</f>
        <v>21</v>
      </c>
      <c r="K321" s="8" t="str">
        <f aca="false">IF(I321=0,"OK",IF(D321="CBP","Complemento CBP","ERRO: excede CBTBE"))</f>
        <v>OK</v>
      </c>
    </row>
    <row r="322" customFormat="false" ht="15" hidden="false" customHeight="false" outlineLevel="0" collapsed="false">
      <c r="A322" s="8" t="s">
        <v>601</v>
      </c>
      <c r="B322" s="8" t="s">
        <v>602</v>
      </c>
      <c r="C322" s="8" t="s">
        <v>987</v>
      </c>
      <c r="D322" s="8" t="s">
        <v>20</v>
      </c>
      <c r="E322" s="8" t="n">
        <v>21</v>
      </c>
      <c r="F322" s="11" t="n">
        <f aca="false">IF(D322="CBP",SUMIF(Itens!$A:$A,A322,Itens!$I:$I),SUMIF(Itens!$A:$A,A322,Itens!$J:$J))</f>
        <v>21</v>
      </c>
      <c r="G322" s="8" t="n">
        <f aca="false">MAX(0,E322-F322)</f>
        <v>0</v>
      </c>
      <c r="H322" s="14" t="n">
        <f aca="false">IF(E322=0,0,MIN(1,F322/E322))</f>
        <v>1</v>
      </c>
      <c r="I322" s="8" t="n">
        <f aca="false">MAX(0,F322-E322)</f>
        <v>0</v>
      </c>
      <c r="J322" s="8" t="n">
        <f aca="false">E322+I322</f>
        <v>21</v>
      </c>
      <c r="K322" s="8" t="str">
        <f aca="false">IF(I322=0,"OK",IF(D322="CBP","Complemento CBP","ERRO: excede CBTBE"))</f>
        <v>OK</v>
      </c>
    </row>
    <row r="323" customFormat="false" ht="15" hidden="false" customHeight="false" outlineLevel="0" collapsed="false">
      <c r="A323" s="8" t="s">
        <v>886</v>
      </c>
      <c r="B323" s="8" t="s">
        <v>887</v>
      </c>
      <c r="C323" s="8" t="s">
        <v>888</v>
      </c>
      <c r="D323" s="8" t="s">
        <v>20</v>
      </c>
      <c r="E323" s="8" t="n">
        <v>21</v>
      </c>
      <c r="F323" s="11" t="n">
        <f aca="false">IF(D323="CBP",SUMIF(Itens!$A:$A,A323,Itens!$I:$I),SUMIF(Itens!$A:$A,A323,Itens!$J:$J))</f>
        <v>0</v>
      </c>
      <c r="G323" s="8" t="n">
        <f aca="false">MAX(0,E323-F323)</f>
        <v>21</v>
      </c>
      <c r="H323" s="14" t="n">
        <f aca="false">IF(E323=0,0,MIN(1,F323/E323))</f>
        <v>0</v>
      </c>
      <c r="I323" s="8" t="n">
        <f aca="false">MAX(0,F323-E323)</f>
        <v>0</v>
      </c>
      <c r="J323" s="8" t="n">
        <f aca="false">E323+I323</f>
        <v>21</v>
      </c>
      <c r="K323" s="8" t="str">
        <f aca="false">IF(I323=0,"OK",IF(D323="CBP","Complemento CBP","ERRO: excede CBTBE"))</f>
        <v>OK</v>
      </c>
    </row>
    <row r="324" customFormat="false" ht="15" hidden="false" customHeight="false" outlineLevel="0" collapsed="false">
      <c r="A324" s="8" t="s">
        <v>663</v>
      </c>
      <c r="B324" s="8" t="s">
        <v>664</v>
      </c>
      <c r="C324" s="8" t="s">
        <v>776</v>
      </c>
      <c r="D324" s="8" t="s">
        <v>20</v>
      </c>
      <c r="E324" s="8" t="n">
        <v>21</v>
      </c>
      <c r="F324" s="11" t="n">
        <f aca="false">IF(D324="CBP",SUMIF(Itens!$A:$A,A324,Itens!$I:$I),SUMIF(Itens!$A:$A,A324,Itens!$J:$J))</f>
        <v>0</v>
      </c>
      <c r="G324" s="8" t="n">
        <f aca="false">MAX(0,E324-F324)</f>
        <v>21</v>
      </c>
      <c r="H324" s="14" t="n">
        <f aca="false">IF(E324=0,0,MIN(1,F324/E324))</f>
        <v>0</v>
      </c>
      <c r="I324" s="8" t="n">
        <f aca="false">MAX(0,F324-E324)</f>
        <v>0</v>
      </c>
      <c r="J324" s="8" t="n">
        <f aca="false">E324+I324</f>
        <v>21</v>
      </c>
      <c r="K324" s="8" t="str">
        <f aca="false">IF(I324=0,"OK",IF(D324="CBP","Complemento CBP","ERRO: excede CBTBE"))</f>
        <v>OK</v>
      </c>
    </row>
    <row r="325" customFormat="false" ht="15" hidden="false" customHeight="false" outlineLevel="0" collapsed="false">
      <c r="A325" s="8" t="s">
        <v>463</v>
      </c>
      <c r="B325" s="8" t="s">
        <v>464</v>
      </c>
      <c r="C325" s="8" t="s">
        <v>786</v>
      </c>
      <c r="D325" s="8" t="s">
        <v>20</v>
      </c>
      <c r="E325" s="8" t="n">
        <v>20</v>
      </c>
      <c r="F325" s="11" t="n">
        <f aca="false">IF(D325="CBP",SUMIF(Itens!$A:$A,A325,Itens!$I:$I),SUMIF(Itens!$A:$A,A325,Itens!$J:$J))</f>
        <v>20</v>
      </c>
      <c r="G325" s="8" t="n">
        <f aca="false">MAX(0,E325-F325)</f>
        <v>0</v>
      </c>
      <c r="H325" s="14" t="n">
        <f aca="false">IF(E325=0,0,MIN(1,F325/E325))</f>
        <v>1</v>
      </c>
      <c r="I325" s="8" t="n">
        <f aca="false">MAX(0,F325-E325)</f>
        <v>0</v>
      </c>
      <c r="J325" s="8" t="n">
        <f aca="false">E325+I325</f>
        <v>20</v>
      </c>
      <c r="K325" s="8" t="str">
        <f aca="false">IF(I325=0,"OK",IF(D325="CBP","Complemento CBP","ERRO: excede CBTBE"))</f>
        <v>OK</v>
      </c>
    </row>
    <row r="326" customFormat="false" ht="15" hidden="false" customHeight="false" outlineLevel="0" collapsed="false">
      <c r="A326" s="8" t="s">
        <v>447</v>
      </c>
      <c r="B326" s="8" t="s">
        <v>448</v>
      </c>
      <c r="C326" s="8" t="s">
        <v>787</v>
      </c>
      <c r="D326" s="8" t="s">
        <v>20</v>
      </c>
      <c r="E326" s="8" t="n">
        <v>20</v>
      </c>
      <c r="F326" s="11" t="n">
        <f aca="false">IF(D326="CBP",SUMIF(Itens!$A:$A,A326,Itens!$I:$I),SUMIF(Itens!$A:$A,A326,Itens!$J:$J))</f>
        <v>20</v>
      </c>
      <c r="G326" s="8" t="n">
        <f aca="false">MAX(0,E326-F326)</f>
        <v>0</v>
      </c>
      <c r="H326" s="14" t="n">
        <f aca="false">IF(E326=0,0,MIN(1,F326/E326))</f>
        <v>1</v>
      </c>
      <c r="I326" s="8" t="n">
        <f aca="false">MAX(0,F326-E326)</f>
        <v>0</v>
      </c>
      <c r="J326" s="8" t="n">
        <f aca="false">E326+I326</f>
        <v>20</v>
      </c>
      <c r="K326" s="8" t="str">
        <f aca="false">IF(I326=0,"OK",IF(D326="CBP","Complemento CBP","ERRO: excede CBTBE"))</f>
        <v>OK</v>
      </c>
    </row>
    <row r="327" customFormat="false" ht="15" hidden="false" customHeight="false" outlineLevel="0" collapsed="false">
      <c r="A327" s="8" t="s">
        <v>705</v>
      </c>
      <c r="B327" s="8" t="s">
        <v>706</v>
      </c>
      <c r="C327" s="8" t="s">
        <v>950</v>
      </c>
      <c r="D327" s="8" t="s">
        <v>20</v>
      </c>
      <c r="E327" s="8" t="n">
        <v>20</v>
      </c>
      <c r="F327" s="11" t="n">
        <f aca="false">IF(D327="CBP",SUMIF(Itens!$A:$A,A327,Itens!$I:$I),SUMIF(Itens!$A:$A,A327,Itens!$J:$J))</f>
        <v>20</v>
      </c>
      <c r="G327" s="8" t="n">
        <f aca="false">MAX(0,E327-F327)</f>
        <v>0</v>
      </c>
      <c r="H327" s="14" t="n">
        <f aca="false">IF(E327=0,0,MIN(1,F327/E327))</f>
        <v>1</v>
      </c>
      <c r="I327" s="8" t="n">
        <f aca="false">MAX(0,F327-E327)</f>
        <v>0</v>
      </c>
      <c r="J327" s="8" t="n">
        <f aca="false">E327+I327</f>
        <v>20</v>
      </c>
      <c r="K327" s="8" t="str">
        <f aca="false">IF(I327=0,"OK",IF(D327="CBP","Complemento CBP","ERRO: excede CBTBE"))</f>
        <v>OK</v>
      </c>
    </row>
    <row r="328" customFormat="false" ht="15" hidden="false" customHeight="false" outlineLevel="0" collapsed="false">
      <c r="A328" s="8" t="s">
        <v>1017</v>
      </c>
      <c r="B328" s="8" t="s">
        <v>1018</v>
      </c>
      <c r="C328" s="8" t="s">
        <v>1019</v>
      </c>
      <c r="D328" s="8" t="s">
        <v>20</v>
      </c>
      <c r="E328" s="8" t="n">
        <v>20</v>
      </c>
      <c r="F328" s="11" t="n">
        <f aca="false">IF(D328="CBP",SUMIF(Itens!$A:$A,A328,Itens!$I:$I),SUMIF(Itens!$A:$A,A328,Itens!$J:$J))</f>
        <v>0</v>
      </c>
      <c r="G328" s="8" t="n">
        <f aca="false">MAX(0,E328-F328)</f>
        <v>20</v>
      </c>
      <c r="H328" s="14" t="n">
        <f aca="false">IF(E328=0,0,MIN(1,F328/E328))</f>
        <v>0</v>
      </c>
      <c r="I328" s="8" t="n">
        <f aca="false">MAX(0,F328-E328)</f>
        <v>0</v>
      </c>
      <c r="J328" s="8" t="n">
        <f aca="false">E328+I328</f>
        <v>20</v>
      </c>
      <c r="K328" s="8" t="str">
        <f aca="false">IF(I328=0,"OK",IF(D328="CBP","Complemento CBP","ERRO: excede CBTBE"))</f>
        <v>OK</v>
      </c>
    </row>
    <row r="329" customFormat="false" ht="15" hidden="false" customHeight="false" outlineLevel="0" collapsed="false">
      <c r="A329" s="8" t="s">
        <v>1023</v>
      </c>
      <c r="B329" s="8" t="s">
        <v>1024</v>
      </c>
      <c r="C329" s="8" t="s">
        <v>899</v>
      </c>
      <c r="D329" s="8" t="s">
        <v>20</v>
      </c>
      <c r="E329" s="8" t="n">
        <v>20</v>
      </c>
      <c r="F329" s="11" t="n">
        <f aca="false">IF(D329="CBP",SUMIF(Itens!$A:$A,A329,Itens!$I:$I),SUMIF(Itens!$A:$A,A329,Itens!$J:$J))</f>
        <v>0</v>
      </c>
      <c r="G329" s="8" t="n">
        <f aca="false">MAX(0,E329-F329)</f>
        <v>20</v>
      </c>
      <c r="H329" s="14" t="n">
        <f aca="false">IF(E329=0,0,MIN(1,F329/E329))</f>
        <v>0</v>
      </c>
      <c r="I329" s="8" t="n">
        <f aca="false">MAX(0,F329-E329)</f>
        <v>0</v>
      </c>
      <c r="J329" s="8" t="n">
        <f aca="false">E329+I329</f>
        <v>20</v>
      </c>
      <c r="K329" s="8" t="str">
        <f aca="false">IF(I329=0,"OK",IF(D329="CBP","Complemento CBP","ERRO: excede CBTBE"))</f>
        <v>OK</v>
      </c>
    </row>
    <row r="330" customFormat="false" ht="15" hidden="false" customHeight="false" outlineLevel="0" collapsed="false">
      <c r="A330" s="8" t="s">
        <v>507</v>
      </c>
      <c r="B330" s="8" t="s">
        <v>508</v>
      </c>
      <c r="C330" s="8" t="s">
        <v>791</v>
      </c>
      <c r="D330" s="8" t="s">
        <v>20</v>
      </c>
      <c r="E330" s="8" t="n">
        <v>20</v>
      </c>
      <c r="F330" s="11" t="n">
        <f aca="false">IF(D330="CBP",SUMIF(Itens!$A:$A,A330,Itens!$I:$I),SUMIF(Itens!$A:$A,A330,Itens!$J:$J))</f>
        <v>20</v>
      </c>
      <c r="G330" s="8" t="n">
        <f aca="false">MAX(0,E330-F330)</f>
        <v>0</v>
      </c>
      <c r="H330" s="14" t="n">
        <f aca="false">IF(E330=0,0,MIN(1,F330/E330))</f>
        <v>1</v>
      </c>
      <c r="I330" s="8" t="n">
        <f aca="false">MAX(0,F330-E330)</f>
        <v>0</v>
      </c>
      <c r="J330" s="8" t="n">
        <f aca="false">E330+I330</f>
        <v>20</v>
      </c>
      <c r="K330" s="8" t="str">
        <f aca="false">IF(I330=0,"OK",IF(D330="CBP","Complemento CBP","ERRO: excede CBTBE"))</f>
        <v>OK</v>
      </c>
    </row>
    <row r="331" customFormat="false" ht="15" hidden="false" customHeight="false" outlineLevel="0" collapsed="false">
      <c r="A331" s="8" t="s">
        <v>1093</v>
      </c>
      <c r="B331" s="8" t="s">
        <v>1094</v>
      </c>
      <c r="C331" s="8" t="s">
        <v>1095</v>
      </c>
      <c r="D331" s="8" t="s">
        <v>20</v>
      </c>
      <c r="E331" s="8" t="n">
        <v>20</v>
      </c>
      <c r="F331" s="11" t="n">
        <f aca="false">IF(D331="CBP",SUMIF(Itens!$A:$A,A331,Itens!$I:$I),SUMIF(Itens!$A:$A,A331,Itens!$J:$J))</f>
        <v>0</v>
      </c>
      <c r="G331" s="8" t="n">
        <f aca="false">MAX(0,E331-F331)</f>
        <v>20</v>
      </c>
      <c r="H331" s="14" t="n">
        <f aca="false">IF(E331=0,0,MIN(1,F331/E331))</f>
        <v>0</v>
      </c>
      <c r="I331" s="8" t="n">
        <f aca="false">MAX(0,F331-E331)</f>
        <v>0</v>
      </c>
      <c r="J331" s="8" t="n">
        <f aca="false">E331+I331</f>
        <v>20</v>
      </c>
      <c r="K331" s="8" t="str">
        <f aca="false">IF(I331=0,"OK",IF(D331="CBP","Complemento CBP","ERRO: excede CBTBE"))</f>
        <v>OK</v>
      </c>
    </row>
    <row r="332" customFormat="false" ht="15" hidden="false" customHeight="false" outlineLevel="0" collapsed="false">
      <c r="A332" s="8" t="s">
        <v>1096</v>
      </c>
      <c r="B332" s="8" t="s">
        <v>1097</v>
      </c>
      <c r="C332" s="8" t="s">
        <v>1098</v>
      </c>
      <c r="D332" s="8" t="s">
        <v>20</v>
      </c>
      <c r="E332" s="8" t="n">
        <v>20</v>
      </c>
      <c r="F332" s="11" t="n">
        <f aca="false">IF(D332="CBP",SUMIF(Itens!$A:$A,A332,Itens!$I:$I),SUMIF(Itens!$A:$A,A332,Itens!$J:$J))</f>
        <v>0</v>
      </c>
      <c r="G332" s="8" t="n">
        <f aca="false">MAX(0,E332-F332)</f>
        <v>20</v>
      </c>
      <c r="H332" s="14" t="n">
        <f aca="false">IF(E332=0,0,MIN(1,F332/E332))</f>
        <v>0</v>
      </c>
      <c r="I332" s="8" t="n">
        <f aca="false">MAX(0,F332-E332)</f>
        <v>0</v>
      </c>
      <c r="J332" s="8" t="n">
        <f aca="false">E332+I332</f>
        <v>20</v>
      </c>
      <c r="K332" s="8" t="str">
        <f aca="false">IF(I332=0,"OK",IF(D332="CBP","Complemento CBP","ERRO: excede CBTBE"))</f>
        <v>OK</v>
      </c>
    </row>
    <row r="333" customFormat="false" ht="15" hidden="false" customHeight="false" outlineLevel="0" collapsed="false">
      <c r="A333" s="8" t="s">
        <v>497</v>
      </c>
      <c r="B333" s="8" t="s">
        <v>498</v>
      </c>
      <c r="C333" s="8" t="s">
        <v>951</v>
      </c>
      <c r="D333" s="8" t="s">
        <v>20</v>
      </c>
      <c r="E333" s="8" t="n">
        <v>20</v>
      </c>
      <c r="F333" s="11" t="n">
        <f aca="false">IF(D333="CBP",SUMIF(Itens!$A:$A,A333,Itens!$I:$I),SUMIF(Itens!$A:$A,A333,Itens!$J:$J))</f>
        <v>20</v>
      </c>
      <c r="G333" s="8" t="n">
        <f aca="false">MAX(0,E333-F333)</f>
        <v>0</v>
      </c>
      <c r="H333" s="14" t="n">
        <f aca="false">IF(E333=0,0,MIN(1,F333/E333))</f>
        <v>1</v>
      </c>
      <c r="I333" s="8" t="n">
        <f aca="false">MAX(0,F333-E333)</f>
        <v>0</v>
      </c>
      <c r="J333" s="8" t="n">
        <f aca="false">E333+I333</f>
        <v>20</v>
      </c>
      <c r="K333" s="8" t="str">
        <f aca="false">IF(I333=0,"OK",IF(D333="CBP","Complemento CBP","ERRO: excede CBTBE"))</f>
        <v>OK</v>
      </c>
    </row>
    <row r="334" customFormat="false" ht="15" hidden="false" customHeight="false" outlineLevel="0" collapsed="false">
      <c r="A334" s="8" t="s">
        <v>982</v>
      </c>
      <c r="B334" s="8" t="s">
        <v>983</v>
      </c>
      <c r="C334" s="8" t="s">
        <v>984</v>
      </c>
      <c r="D334" s="8" t="s">
        <v>20</v>
      </c>
      <c r="E334" s="8" t="n">
        <v>20</v>
      </c>
      <c r="F334" s="11" t="n">
        <f aca="false">IF(D334="CBP",SUMIF(Itens!$A:$A,A334,Itens!$I:$I),SUMIF(Itens!$A:$A,A334,Itens!$J:$J))</f>
        <v>0</v>
      </c>
      <c r="G334" s="8" t="n">
        <f aca="false">MAX(0,E334-F334)</f>
        <v>20</v>
      </c>
      <c r="H334" s="14" t="n">
        <f aca="false">IF(E334=0,0,MIN(1,F334/E334))</f>
        <v>0</v>
      </c>
      <c r="I334" s="8" t="n">
        <f aca="false">MAX(0,F334-E334)</f>
        <v>0</v>
      </c>
      <c r="J334" s="8" t="n">
        <f aca="false">E334+I334</f>
        <v>20</v>
      </c>
      <c r="K334" s="8" t="str">
        <f aca="false">IF(I334=0,"OK",IF(D334="CBP","Complemento CBP","ERRO: excede CBTBE"))</f>
        <v>OK</v>
      </c>
    </row>
    <row r="335" customFormat="false" ht="15" hidden="false" customHeight="false" outlineLevel="0" collapsed="false">
      <c r="A335" s="8" t="s">
        <v>557</v>
      </c>
      <c r="B335" s="8" t="s">
        <v>558</v>
      </c>
      <c r="C335" s="8" t="s">
        <v>792</v>
      </c>
      <c r="D335" s="8" t="s">
        <v>20</v>
      </c>
      <c r="E335" s="8" t="n">
        <v>20</v>
      </c>
      <c r="F335" s="11" t="n">
        <f aca="false">IF(D335="CBP",SUMIF(Itens!$A:$A,A335,Itens!$I:$I),SUMIF(Itens!$A:$A,A335,Itens!$J:$J))</f>
        <v>20</v>
      </c>
      <c r="G335" s="8" t="n">
        <f aca="false">MAX(0,E335-F335)</f>
        <v>0</v>
      </c>
      <c r="H335" s="14" t="n">
        <f aca="false">IF(E335=0,0,MIN(1,F335/E335))</f>
        <v>1</v>
      </c>
      <c r="I335" s="8" t="n">
        <f aca="false">MAX(0,F335-E335)</f>
        <v>0</v>
      </c>
      <c r="J335" s="8" t="n">
        <f aca="false">E335+I335</f>
        <v>20</v>
      </c>
      <c r="K335" s="8" t="str">
        <f aca="false">IF(I335=0,"OK",IF(D335="CBP","Complemento CBP","ERRO: excede CBTBE"))</f>
        <v>OK</v>
      </c>
    </row>
    <row r="336" customFormat="false" ht="15" hidden="false" customHeight="false" outlineLevel="0" collapsed="false">
      <c r="A336" s="8" t="s">
        <v>1031</v>
      </c>
      <c r="B336" s="8" t="s">
        <v>1032</v>
      </c>
      <c r="C336" s="8" t="s">
        <v>772</v>
      </c>
      <c r="D336" s="8" t="s">
        <v>20</v>
      </c>
      <c r="E336" s="8" t="n">
        <v>20</v>
      </c>
      <c r="F336" s="11" t="n">
        <f aca="false">IF(D336="CBP",SUMIF(Itens!$A:$A,A336,Itens!$I:$I),SUMIF(Itens!$A:$A,A336,Itens!$J:$J))</f>
        <v>0</v>
      </c>
      <c r="G336" s="8" t="n">
        <f aca="false">MAX(0,E336-F336)</f>
        <v>20</v>
      </c>
      <c r="H336" s="14" t="n">
        <f aca="false">IF(E336=0,0,MIN(1,F336/E336))</f>
        <v>0</v>
      </c>
      <c r="I336" s="8" t="n">
        <f aca="false">MAX(0,F336-E336)</f>
        <v>0</v>
      </c>
      <c r="J336" s="8" t="n">
        <f aca="false">E336+I336</f>
        <v>20</v>
      </c>
      <c r="K336" s="8" t="str">
        <f aca="false">IF(I336=0,"OK",IF(D336="CBP","Complemento CBP","ERRO: excede CBTBE"))</f>
        <v>OK</v>
      </c>
    </row>
    <row r="337" customFormat="false" ht="15" hidden="false" customHeight="false" outlineLevel="0" collapsed="false">
      <c r="A337" s="8" t="s">
        <v>479</v>
      </c>
      <c r="B337" s="8" t="s">
        <v>480</v>
      </c>
      <c r="C337" s="8" t="s">
        <v>829</v>
      </c>
      <c r="D337" s="8" t="s">
        <v>20</v>
      </c>
      <c r="E337" s="8" t="n">
        <v>20</v>
      </c>
      <c r="F337" s="11" t="n">
        <f aca="false">IF(D337="CBP",SUMIF(Itens!$A:$A,A337,Itens!$I:$I),SUMIF(Itens!$A:$A,A337,Itens!$J:$J))</f>
        <v>20</v>
      </c>
      <c r="G337" s="8" t="n">
        <f aca="false">MAX(0,E337-F337)</f>
        <v>0</v>
      </c>
      <c r="H337" s="14" t="n">
        <f aca="false">IF(E337=0,0,MIN(1,F337/E337))</f>
        <v>1</v>
      </c>
      <c r="I337" s="8" t="n">
        <f aca="false">MAX(0,F337-E337)</f>
        <v>0</v>
      </c>
      <c r="J337" s="8" t="n">
        <f aca="false">E337+I337</f>
        <v>20</v>
      </c>
      <c r="K337" s="8" t="str">
        <f aca="false">IF(I337=0,"OK",IF(D337="CBP","Complemento CBP","ERRO: excede CBTBE"))</f>
        <v>OK</v>
      </c>
    </row>
    <row r="338" customFormat="false" ht="15" hidden="false" customHeight="false" outlineLevel="0" collapsed="false">
      <c r="A338" s="8" t="s">
        <v>543</v>
      </c>
      <c r="B338" s="8" t="s">
        <v>544</v>
      </c>
      <c r="C338" s="8" t="s">
        <v>917</v>
      </c>
      <c r="D338" s="8" t="s">
        <v>20</v>
      </c>
      <c r="E338" s="8" t="n">
        <v>20</v>
      </c>
      <c r="F338" s="11" t="n">
        <f aca="false">IF(D338="CBP",SUMIF(Itens!$A:$A,A338,Itens!$I:$I),SUMIF(Itens!$A:$A,A338,Itens!$J:$J))</f>
        <v>20</v>
      </c>
      <c r="G338" s="8" t="n">
        <f aca="false">MAX(0,E338-F338)</f>
        <v>0</v>
      </c>
      <c r="H338" s="14" t="n">
        <f aca="false">IF(E338=0,0,MIN(1,F338/E338))</f>
        <v>1</v>
      </c>
      <c r="I338" s="8" t="n">
        <f aca="false">MAX(0,F338-E338)</f>
        <v>0</v>
      </c>
      <c r="J338" s="8" t="n">
        <f aca="false">E338+I338</f>
        <v>20</v>
      </c>
      <c r="K338" s="8" t="str">
        <f aca="false">IF(I338=0,"OK",IF(D338="CBP","Complemento CBP","ERRO: excede CBTBE"))</f>
        <v>OK</v>
      </c>
    </row>
    <row r="339" customFormat="false" ht="15" hidden="false" customHeight="false" outlineLevel="0" collapsed="false">
      <c r="A339" s="8" t="s">
        <v>1033</v>
      </c>
      <c r="B339" s="8" t="s">
        <v>1034</v>
      </c>
      <c r="C339" s="8" t="s">
        <v>1035</v>
      </c>
      <c r="D339" s="8" t="s">
        <v>20</v>
      </c>
      <c r="E339" s="8" t="n">
        <v>20</v>
      </c>
      <c r="F339" s="11" t="n">
        <f aca="false">IF(D339="CBP",SUMIF(Itens!$A:$A,A339,Itens!$I:$I),SUMIF(Itens!$A:$A,A339,Itens!$J:$J))</f>
        <v>0</v>
      </c>
      <c r="G339" s="8" t="n">
        <f aca="false">MAX(0,E339-F339)</f>
        <v>20</v>
      </c>
      <c r="H339" s="14" t="n">
        <f aca="false">IF(E339=0,0,MIN(1,F339/E339))</f>
        <v>0</v>
      </c>
      <c r="I339" s="8" t="n">
        <f aca="false">MAX(0,F339-E339)</f>
        <v>0</v>
      </c>
      <c r="J339" s="8" t="n">
        <f aca="false">E339+I339</f>
        <v>20</v>
      </c>
      <c r="K339" s="8" t="str">
        <f aca="false">IF(I339=0,"OK",IF(D339="CBP","Complemento CBP","ERRO: excede CBTBE"))</f>
        <v>OK</v>
      </c>
    </row>
    <row r="340" customFormat="false" ht="15" hidden="false" customHeight="false" outlineLevel="0" collapsed="false">
      <c r="A340" s="8" t="s">
        <v>627</v>
      </c>
      <c r="B340" s="8" t="s">
        <v>628</v>
      </c>
      <c r="C340" s="8" t="s">
        <v>885</v>
      </c>
      <c r="D340" s="8" t="s">
        <v>20</v>
      </c>
      <c r="E340" s="8" t="n">
        <v>20</v>
      </c>
      <c r="F340" s="11" t="n">
        <f aca="false">IF(D340="CBP",SUMIF(Itens!$A:$A,A340,Itens!$I:$I),SUMIF(Itens!$A:$A,A340,Itens!$J:$J))</f>
        <v>20</v>
      </c>
      <c r="G340" s="8" t="n">
        <f aca="false">MAX(0,E340-F340)</f>
        <v>0</v>
      </c>
      <c r="H340" s="14" t="n">
        <f aca="false">IF(E340=0,0,MIN(1,F340/E340))</f>
        <v>1</v>
      </c>
      <c r="I340" s="8" t="n">
        <f aca="false">MAX(0,F340-E340)</f>
        <v>0</v>
      </c>
      <c r="J340" s="8" t="n">
        <f aca="false">E340+I340</f>
        <v>20</v>
      </c>
      <c r="K340" s="8" t="str">
        <f aca="false">IF(I340=0,"OK",IF(D340="CBP","Complemento CBP","ERRO: excede CBTBE"))</f>
        <v>OK</v>
      </c>
    </row>
    <row r="341" customFormat="false" ht="15" hidden="false" customHeight="false" outlineLevel="0" collapsed="false">
      <c r="A341" s="8" t="s">
        <v>707</v>
      </c>
      <c r="B341" s="8" t="s">
        <v>708</v>
      </c>
      <c r="C341" s="8" t="s">
        <v>777</v>
      </c>
      <c r="D341" s="8" t="s">
        <v>20</v>
      </c>
      <c r="E341" s="8" t="n">
        <v>20</v>
      </c>
      <c r="F341" s="11" t="n">
        <f aca="false">IF(D341="CBP",SUMIF(Itens!$A:$A,A341,Itens!$I:$I),SUMIF(Itens!$A:$A,A341,Itens!$J:$J))</f>
        <v>20</v>
      </c>
      <c r="G341" s="8" t="n">
        <f aca="false">MAX(0,E341-F341)</f>
        <v>0</v>
      </c>
      <c r="H341" s="14" t="n">
        <f aca="false">IF(E341=0,0,MIN(1,F341/E341))</f>
        <v>1</v>
      </c>
      <c r="I341" s="8" t="n">
        <f aca="false">MAX(0,F341-E341)</f>
        <v>0</v>
      </c>
      <c r="J341" s="8" t="n">
        <f aca="false">E341+I341</f>
        <v>20</v>
      </c>
      <c r="K341" s="8" t="str">
        <f aca="false">IF(I341=0,"OK",IF(D341="CBP","Complemento CBP","ERRO: excede CBTBE"))</f>
        <v>OK</v>
      </c>
    </row>
    <row r="342" customFormat="false" ht="15" hidden="false" customHeight="false" outlineLevel="0" collapsed="false">
      <c r="A342" s="8" t="s">
        <v>697</v>
      </c>
      <c r="B342" s="8" t="s">
        <v>698</v>
      </c>
      <c r="C342" s="8" t="s">
        <v>895</v>
      </c>
      <c r="D342" s="8" t="s">
        <v>20</v>
      </c>
      <c r="E342" s="8" t="n">
        <v>20</v>
      </c>
      <c r="F342" s="11" t="n">
        <f aca="false">IF(D342="CBP",SUMIF(Itens!$A:$A,A342,Itens!$I:$I),SUMIF(Itens!$A:$A,A342,Itens!$J:$J))</f>
        <v>20</v>
      </c>
      <c r="G342" s="8" t="n">
        <f aca="false">MAX(0,E342-F342)</f>
        <v>0</v>
      </c>
      <c r="H342" s="14" t="n">
        <f aca="false">IF(E342=0,0,MIN(1,F342/E342))</f>
        <v>1</v>
      </c>
      <c r="I342" s="8" t="n">
        <f aca="false">MAX(0,F342-E342)</f>
        <v>0</v>
      </c>
      <c r="J342" s="8" t="n">
        <f aca="false">E342+I342</f>
        <v>20</v>
      </c>
      <c r="K342" s="8" t="str">
        <f aca="false">IF(I342=0,"OK",IF(D342="CBP","Complemento CBP","ERRO: excede CBTBE"))</f>
        <v>OK</v>
      </c>
    </row>
    <row r="343" customFormat="false" ht="15" hidden="false" customHeight="false" outlineLevel="0" collapsed="false">
      <c r="A343" s="8" t="s">
        <v>655</v>
      </c>
      <c r="B343" s="8" t="s">
        <v>656</v>
      </c>
      <c r="C343" s="8" t="s">
        <v>847</v>
      </c>
      <c r="D343" s="8" t="s">
        <v>20</v>
      </c>
      <c r="E343" s="8" t="n">
        <v>20</v>
      </c>
      <c r="F343" s="11" t="n">
        <f aca="false">IF(D343="CBP",SUMIF(Itens!$A:$A,A343,Itens!$I:$I),SUMIF(Itens!$A:$A,A343,Itens!$J:$J))</f>
        <v>20</v>
      </c>
      <c r="G343" s="8" t="n">
        <f aca="false">MAX(0,E343-F343)</f>
        <v>0</v>
      </c>
      <c r="H343" s="14" t="n">
        <f aca="false">IF(E343=0,0,MIN(1,F343/E343))</f>
        <v>1</v>
      </c>
      <c r="I343" s="8" t="n">
        <f aca="false">MAX(0,F343-E343)</f>
        <v>0</v>
      </c>
      <c r="J343" s="8" t="n">
        <f aca="false">E343+I343</f>
        <v>20</v>
      </c>
      <c r="K343" s="8" t="str">
        <f aca="false">IF(I343=0,"OK",IF(D343="CBP","Complemento CBP","ERRO: excede CBTBE"))</f>
        <v>OK</v>
      </c>
    </row>
    <row r="344" customFormat="false" ht="15" hidden="false" customHeight="false" outlineLevel="0" collapsed="false">
      <c r="A344" s="8" t="s">
        <v>1036</v>
      </c>
      <c r="B344" s="8" t="s">
        <v>1037</v>
      </c>
      <c r="C344" s="8" t="s">
        <v>1038</v>
      </c>
      <c r="D344" s="8" t="s">
        <v>20</v>
      </c>
      <c r="E344" s="8" t="n">
        <v>20</v>
      </c>
      <c r="F344" s="11" t="n">
        <f aca="false">IF(D344="CBP",SUMIF(Itens!$A:$A,A344,Itens!$I:$I),SUMIF(Itens!$A:$A,A344,Itens!$J:$J))</f>
        <v>0</v>
      </c>
      <c r="G344" s="8" t="n">
        <f aca="false">MAX(0,E344-F344)</f>
        <v>20</v>
      </c>
      <c r="H344" s="14" t="n">
        <f aca="false">IF(E344=0,0,MIN(1,F344/E344))</f>
        <v>0</v>
      </c>
      <c r="I344" s="8" t="n">
        <f aca="false">MAX(0,F344-E344)</f>
        <v>0</v>
      </c>
      <c r="J344" s="8" t="n">
        <f aca="false">E344+I344</f>
        <v>20</v>
      </c>
      <c r="K344" s="8" t="str">
        <f aca="false">IF(I344=0,"OK",IF(D344="CBP","Complemento CBP","ERRO: excede CBTBE"))</f>
        <v>OK</v>
      </c>
    </row>
    <row r="345" customFormat="false" ht="15" hidden="false" customHeight="false" outlineLevel="0" collapsed="false">
      <c r="A345" s="8" t="s">
        <v>657</v>
      </c>
      <c r="B345" s="8" t="s">
        <v>658</v>
      </c>
      <c r="C345" s="8" t="s">
        <v>949</v>
      </c>
      <c r="D345" s="8" t="s">
        <v>20</v>
      </c>
      <c r="E345" s="8" t="n">
        <v>20</v>
      </c>
      <c r="F345" s="11" t="n">
        <f aca="false">IF(D345="CBP",SUMIF(Itens!$A:$A,A345,Itens!$I:$I),SUMIF(Itens!$A:$A,A345,Itens!$J:$J))</f>
        <v>20</v>
      </c>
      <c r="G345" s="8" t="n">
        <f aca="false">MAX(0,E345-F345)</f>
        <v>0</v>
      </c>
      <c r="H345" s="14" t="n">
        <f aca="false">IF(E345=0,0,MIN(1,F345/E345))</f>
        <v>1</v>
      </c>
      <c r="I345" s="8" t="n">
        <f aca="false">MAX(0,F345-E345)</f>
        <v>0</v>
      </c>
      <c r="J345" s="8" t="n">
        <f aca="false">E345+I345</f>
        <v>20</v>
      </c>
      <c r="K345" s="8" t="str">
        <f aca="false">IF(I345=0,"OK",IF(D345="CBP","Complemento CBP","ERRO: excede CBTBE"))</f>
        <v>OK</v>
      </c>
    </row>
    <row r="346" customFormat="false" ht="15" hidden="false" customHeight="false" outlineLevel="0" collapsed="false">
      <c r="A346" s="8" t="s">
        <v>695</v>
      </c>
      <c r="B346" s="8" t="s">
        <v>696</v>
      </c>
      <c r="C346" s="8" t="s">
        <v>797</v>
      </c>
      <c r="D346" s="8" t="s">
        <v>20</v>
      </c>
      <c r="E346" s="8" t="n">
        <v>20</v>
      </c>
      <c r="F346" s="11" t="n">
        <f aca="false">IF(D346="CBP",SUMIF(Itens!$A:$A,A346,Itens!$I:$I),SUMIF(Itens!$A:$A,A346,Itens!$J:$J))</f>
        <v>20</v>
      </c>
      <c r="G346" s="8" t="n">
        <f aca="false">MAX(0,E346-F346)</f>
        <v>0</v>
      </c>
      <c r="H346" s="14" t="n">
        <f aca="false">IF(E346=0,0,MIN(1,F346/E346))</f>
        <v>1</v>
      </c>
      <c r="I346" s="8" t="n">
        <f aca="false">MAX(0,F346-E346)</f>
        <v>0</v>
      </c>
      <c r="J346" s="8" t="n">
        <f aca="false">E346+I346</f>
        <v>20</v>
      </c>
      <c r="K346" s="8" t="str">
        <f aca="false">IF(I346=0,"OK",IF(D346="CBP","Complemento CBP","ERRO: excede CBTBE"))</f>
        <v>OK</v>
      </c>
    </row>
    <row r="347" customFormat="false" ht="15" hidden="false" customHeight="false" outlineLevel="0" collapsed="false">
      <c r="A347" s="8" t="s">
        <v>901</v>
      </c>
      <c r="B347" s="8" t="s">
        <v>902</v>
      </c>
      <c r="C347" s="8" t="s">
        <v>903</v>
      </c>
      <c r="D347" s="8" t="s">
        <v>20</v>
      </c>
      <c r="E347" s="8" t="n">
        <v>20</v>
      </c>
      <c r="F347" s="11" t="n">
        <f aca="false">IF(D347="CBP",SUMIF(Itens!$A:$A,A347,Itens!$I:$I),SUMIF(Itens!$A:$A,A347,Itens!$J:$J))</f>
        <v>0</v>
      </c>
      <c r="G347" s="8" t="n">
        <f aca="false">MAX(0,E347-F347)</f>
        <v>20</v>
      </c>
      <c r="H347" s="14" t="n">
        <f aca="false">IF(E347=0,0,MIN(1,F347/E347))</f>
        <v>0</v>
      </c>
      <c r="I347" s="8" t="n">
        <f aca="false">MAX(0,F347-E347)</f>
        <v>0</v>
      </c>
      <c r="J347" s="8" t="n">
        <f aca="false">E347+I347</f>
        <v>20</v>
      </c>
      <c r="K347" s="8" t="str">
        <f aca="false">IF(I347=0,"OK",IF(D347="CBP","Complemento CBP","ERRO: excede CBTBE"))</f>
        <v>OK</v>
      </c>
    </row>
    <row r="348" customFormat="false" ht="15" hidden="false" customHeight="false" outlineLevel="0" collapsed="false">
      <c r="A348" s="8" t="s">
        <v>449</v>
      </c>
      <c r="B348" s="8" t="s">
        <v>450</v>
      </c>
      <c r="C348" s="8" t="s">
        <v>1039</v>
      </c>
      <c r="D348" s="8" t="s">
        <v>20</v>
      </c>
      <c r="E348" s="8" t="n">
        <v>20</v>
      </c>
      <c r="F348" s="11" t="n">
        <f aca="false">IF(D348="CBP",SUMIF(Itens!$A:$A,A348,Itens!$I:$I),SUMIF(Itens!$A:$A,A348,Itens!$J:$J))</f>
        <v>20</v>
      </c>
      <c r="G348" s="8" t="n">
        <f aca="false">MAX(0,E348-F348)</f>
        <v>0</v>
      </c>
      <c r="H348" s="14" t="n">
        <f aca="false">IF(E348=0,0,MIN(1,F348/E348))</f>
        <v>1</v>
      </c>
      <c r="I348" s="8" t="n">
        <f aca="false">MAX(0,F348-E348)</f>
        <v>0</v>
      </c>
      <c r="J348" s="8" t="n">
        <f aca="false">E348+I348</f>
        <v>20</v>
      </c>
      <c r="K348" s="8" t="str">
        <f aca="false">IF(I348=0,"OK",IF(D348="CBP","Complemento CBP","ERRO: excede CBTBE"))</f>
        <v>OK</v>
      </c>
    </row>
    <row r="349" customFormat="false" ht="15" hidden="false" customHeight="false" outlineLevel="0" collapsed="false">
      <c r="A349" s="8" t="s">
        <v>1099</v>
      </c>
      <c r="B349" s="8" t="s">
        <v>1100</v>
      </c>
      <c r="C349" s="8" t="s">
        <v>1095</v>
      </c>
      <c r="D349" s="8" t="s">
        <v>20</v>
      </c>
      <c r="E349" s="8" t="n">
        <v>20</v>
      </c>
      <c r="F349" s="11" t="n">
        <f aca="false">IF(D349="CBP",SUMIF(Itens!$A:$A,A349,Itens!$I:$I),SUMIF(Itens!$A:$A,A349,Itens!$J:$J))</f>
        <v>0</v>
      </c>
      <c r="G349" s="8" t="n">
        <f aca="false">MAX(0,E349-F349)</f>
        <v>20</v>
      </c>
      <c r="H349" s="14" t="n">
        <f aca="false">IF(E349=0,0,MIN(1,F349/E349))</f>
        <v>0</v>
      </c>
      <c r="I349" s="8" t="n">
        <f aca="false">MAX(0,F349-E349)</f>
        <v>0</v>
      </c>
      <c r="J349" s="8" t="n">
        <f aca="false">E349+I349</f>
        <v>20</v>
      </c>
      <c r="K349" s="8" t="str">
        <f aca="false">IF(I349=0,"OK",IF(D349="CBP","Complemento CBP","ERRO: excede CBTBE"))</f>
        <v>OK</v>
      </c>
    </row>
    <row r="350" customFormat="false" ht="15" hidden="false" customHeight="false" outlineLevel="0" collapsed="false">
      <c r="A350" s="8" t="s">
        <v>685</v>
      </c>
      <c r="B350" s="8" t="s">
        <v>686</v>
      </c>
      <c r="C350" s="8" t="s">
        <v>888</v>
      </c>
      <c r="D350" s="8" t="s">
        <v>20</v>
      </c>
      <c r="E350" s="8" t="n">
        <v>20</v>
      </c>
      <c r="F350" s="11" t="n">
        <f aca="false">IF(D350="CBP",SUMIF(Itens!$A:$A,A350,Itens!$I:$I),SUMIF(Itens!$A:$A,A350,Itens!$J:$J))</f>
        <v>20</v>
      </c>
      <c r="G350" s="8" t="n">
        <f aca="false">MAX(0,E350-F350)</f>
        <v>0</v>
      </c>
      <c r="H350" s="14" t="n">
        <f aca="false">IF(E350=0,0,MIN(1,F350/E350))</f>
        <v>1</v>
      </c>
      <c r="I350" s="8" t="n">
        <f aca="false">MAX(0,F350-E350)</f>
        <v>0</v>
      </c>
      <c r="J350" s="8" t="n">
        <f aca="false">E350+I350</f>
        <v>20</v>
      </c>
      <c r="K350" s="8" t="str">
        <f aca="false">IF(I350=0,"OK",IF(D350="CBP","Complemento CBP","ERRO: excede CBTBE"))</f>
        <v>OK</v>
      </c>
    </row>
    <row r="351" customFormat="false" ht="15" hidden="false" customHeight="false" outlineLevel="0" collapsed="false">
      <c r="A351" s="8" t="s">
        <v>665</v>
      </c>
      <c r="B351" s="8" t="s">
        <v>666</v>
      </c>
      <c r="C351" s="8" t="s">
        <v>974</v>
      </c>
      <c r="D351" s="8" t="s">
        <v>20</v>
      </c>
      <c r="E351" s="8" t="n">
        <v>20</v>
      </c>
      <c r="F351" s="11" t="n">
        <f aca="false">IF(D351="CBP",SUMIF(Itens!$A:$A,A351,Itens!$I:$I),SUMIF(Itens!$A:$A,A351,Itens!$J:$J))</f>
        <v>17</v>
      </c>
      <c r="G351" s="8" t="n">
        <f aca="false">MAX(0,E351-F351)</f>
        <v>3</v>
      </c>
      <c r="H351" s="14" t="n">
        <f aca="false">IF(E351=0,0,MIN(1,F351/E351))</f>
        <v>0.85</v>
      </c>
      <c r="I351" s="8" t="n">
        <f aca="false">MAX(0,F351-E351)</f>
        <v>0</v>
      </c>
      <c r="J351" s="8" t="n">
        <f aca="false">E351+I351</f>
        <v>20</v>
      </c>
      <c r="K351" s="8" t="str">
        <f aca="false">IF(I351=0,"OK",IF(D351="CBP","Complemento CBP","ERRO: excede CBTBE"))</f>
        <v>OK</v>
      </c>
    </row>
    <row r="352" customFormat="false" ht="15" hidden="false" customHeight="false" outlineLevel="0" collapsed="false">
      <c r="A352" s="8" t="s">
        <v>637</v>
      </c>
      <c r="B352" s="8" t="s">
        <v>638</v>
      </c>
      <c r="C352" s="8" t="s">
        <v>803</v>
      </c>
      <c r="D352" s="8" t="s">
        <v>20</v>
      </c>
      <c r="E352" s="8" t="n">
        <v>20</v>
      </c>
      <c r="F352" s="11" t="n">
        <f aca="false">IF(D352="CBP",SUMIF(Itens!$A:$A,A352,Itens!$I:$I),SUMIF(Itens!$A:$A,A352,Itens!$J:$J))</f>
        <v>0</v>
      </c>
      <c r="G352" s="8" t="n">
        <f aca="false">MAX(0,E352-F352)</f>
        <v>20</v>
      </c>
      <c r="H352" s="14" t="n">
        <f aca="false">IF(E352=0,0,MIN(1,F352/E352))</f>
        <v>0</v>
      </c>
      <c r="I352" s="8" t="n">
        <f aca="false">MAX(0,F352-E352)</f>
        <v>0</v>
      </c>
      <c r="J352" s="8" t="n">
        <f aca="false">E352+I352</f>
        <v>20</v>
      </c>
      <c r="K352" s="8" t="str">
        <f aca="false">IF(I352=0,"OK",IF(D352="CBP","Complemento CBP","ERRO: excede CBTBE"))</f>
        <v>OK</v>
      </c>
    </row>
    <row r="353" customFormat="false" ht="15" hidden="false" customHeight="false" outlineLevel="0" collapsed="false">
      <c r="A353" s="8" t="s">
        <v>667</v>
      </c>
      <c r="B353" s="8" t="s">
        <v>668</v>
      </c>
      <c r="C353" s="8" t="s">
        <v>782</v>
      </c>
      <c r="D353" s="8" t="s">
        <v>20</v>
      </c>
      <c r="E353" s="8" t="n">
        <v>20</v>
      </c>
      <c r="F353" s="11" t="n">
        <f aca="false">IF(D353="CBP",SUMIF(Itens!$A:$A,A353,Itens!$I:$I),SUMIF(Itens!$A:$A,A353,Itens!$J:$J))</f>
        <v>20</v>
      </c>
      <c r="G353" s="8" t="n">
        <f aca="false">MAX(0,E353-F353)</f>
        <v>0</v>
      </c>
      <c r="H353" s="14" t="n">
        <f aca="false">IF(E353=0,0,MIN(1,F353/E353))</f>
        <v>1</v>
      </c>
      <c r="I353" s="8" t="n">
        <f aca="false">MAX(0,F353-E353)</f>
        <v>0</v>
      </c>
      <c r="J353" s="8" t="n">
        <f aca="false">E353+I353</f>
        <v>20</v>
      </c>
      <c r="K353" s="8" t="str">
        <f aca="false">IF(I353=0,"OK",IF(D353="CBP","Complemento CBP","ERRO: excede CBTBE"))</f>
        <v>OK</v>
      </c>
    </row>
    <row r="354" customFormat="false" ht="15" hidden="false" customHeight="false" outlineLevel="0" collapsed="false">
      <c r="A354" s="8" t="s">
        <v>513</v>
      </c>
      <c r="B354" s="8" t="s">
        <v>514</v>
      </c>
      <c r="C354" s="8" t="s">
        <v>736</v>
      </c>
      <c r="D354" s="8" t="s">
        <v>20</v>
      </c>
      <c r="E354" s="8" t="n">
        <v>20</v>
      </c>
      <c r="F354" s="11" t="n">
        <f aca="false">IF(D354="CBP",SUMIF(Itens!$A:$A,A354,Itens!$I:$I),SUMIF(Itens!$A:$A,A354,Itens!$J:$J))</f>
        <v>0</v>
      </c>
      <c r="G354" s="8" t="n">
        <f aca="false">MAX(0,E354-F354)</f>
        <v>20</v>
      </c>
      <c r="H354" s="14" t="n">
        <f aca="false">IF(E354=0,0,MIN(1,F354/E354))</f>
        <v>0</v>
      </c>
      <c r="I354" s="8" t="n">
        <f aca="false">MAX(0,F354-E354)</f>
        <v>0</v>
      </c>
      <c r="J354" s="8" t="n">
        <f aca="false">E354+I354</f>
        <v>20</v>
      </c>
      <c r="K354" s="8" t="str">
        <f aca="false">IF(I354=0,"OK",IF(D354="CBP","Complemento CBP","ERRO: excede CBTBE"))</f>
        <v>OK</v>
      </c>
    </row>
    <row r="355" customFormat="false" ht="15" hidden="false" customHeight="false" outlineLevel="0" collapsed="false">
      <c r="A355" s="8" t="s">
        <v>551</v>
      </c>
      <c r="B355" s="8" t="s">
        <v>552</v>
      </c>
      <c r="C355" s="8" t="s">
        <v>733</v>
      </c>
      <c r="D355" s="8" t="s">
        <v>20</v>
      </c>
      <c r="E355" s="8" t="n">
        <v>20</v>
      </c>
      <c r="F355" s="11" t="n">
        <f aca="false">IF(D355="CBP",SUMIF(Itens!$A:$A,A355,Itens!$I:$I),SUMIF(Itens!$A:$A,A355,Itens!$J:$J))</f>
        <v>20</v>
      </c>
      <c r="G355" s="8" t="n">
        <f aca="false">MAX(0,E355-F355)</f>
        <v>0</v>
      </c>
      <c r="H355" s="14" t="n">
        <f aca="false">IF(E355=0,0,MIN(1,F355/E355))</f>
        <v>1</v>
      </c>
      <c r="I355" s="8" t="n">
        <f aca="false">MAX(0,F355-E355)</f>
        <v>0</v>
      </c>
      <c r="J355" s="8" t="n">
        <f aca="false">E355+I355</f>
        <v>20</v>
      </c>
      <c r="K355" s="8" t="str">
        <f aca="false">IF(I355=0,"OK",IF(D355="CBP","Complemento CBP","ERRO: excede CBTBE"))</f>
        <v>OK</v>
      </c>
    </row>
    <row r="356" customFormat="false" ht="15" hidden="false" customHeight="false" outlineLevel="0" collapsed="false">
      <c r="A356" s="8" t="s">
        <v>487</v>
      </c>
      <c r="B356" s="8" t="s">
        <v>488</v>
      </c>
      <c r="C356" s="8" t="s">
        <v>751</v>
      </c>
      <c r="D356" s="8" t="s">
        <v>20</v>
      </c>
      <c r="E356" s="8" t="n">
        <v>19</v>
      </c>
      <c r="F356" s="11" t="n">
        <f aca="false">IF(D356="CBP",SUMIF(Itens!$A:$A,A356,Itens!$I:$I),SUMIF(Itens!$A:$A,A356,Itens!$J:$J))</f>
        <v>10</v>
      </c>
      <c r="G356" s="8" t="n">
        <f aca="false">MAX(0,E356-F356)</f>
        <v>9</v>
      </c>
      <c r="H356" s="14" t="n">
        <f aca="false">IF(E356=0,0,MIN(1,F356/E356))</f>
        <v>0.526315789473684</v>
      </c>
      <c r="I356" s="8" t="n">
        <f aca="false">MAX(0,F356-E356)</f>
        <v>0</v>
      </c>
      <c r="J356" s="8" t="n">
        <f aca="false">E356+I356</f>
        <v>19</v>
      </c>
      <c r="K356" s="8" t="str">
        <f aca="false">IF(I356=0,"OK",IF(D356="CBP","Complemento CBP","ERRO: excede CBTBE"))</f>
        <v>OK</v>
      </c>
    </row>
    <row r="357" customFormat="false" ht="15" hidden="false" customHeight="false" outlineLevel="0" collapsed="false">
      <c r="A357" s="8" t="s">
        <v>910</v>
      </c>
      <c r="B357" s="8" t="s">
        <v>911</v>
      </c>
      <c r="C357" s="8" t="s">
        <v>912</v>
      </c>
      <c r="D357" s="8" t="s">
        <v>20</v>
      </c>
      <c r="E357" s="8" t="n">
        <v>17</v>
      </c>
      <c r="F357" s="11" t="n">
        <f aca="false">IF(D357="CBP",SUMIF(Itens!$A:$A,A357,Itens!$I:$I),SUMIF(Itens!$A:$A,A357,Itens!$J:$J))</f>
        <v>0</v>
      </c>
      <c r="G357" s="8" t="n">
        <f aca="false">MAX(0,E357-F357)</f>
        <v>17</v>
      </c>
      <c r="H357" s="14" t="n">
        <f aca="false">IF(E357=0,0,MIN(1,F357/E357))</f>
        <v>0</v>
      </c>
      <c r="I357" s="8" t="n">
        <f aca="false">MAX(0,F357-E357)</f>
        <v>0</v>
      </c>
      <c r="J357" s="8" t="n">
        <f aca="false">E357+I357</f>
        <v>17</v>
      </c>
      <c r="K357" s="8" t="str">
        <f aca="false">IF(I357=0,"OK",IF(D357="CBP","Complemento CBP","ERRO: excede CBTBE"))</f>
        <v>OK</v>
      </c>
    </row>
    <row r="358" customFormat="false" ht="15" hidden="false" customHeight="false" outlineLevel="0" collapsed="false">
      <c r="A358" s="8" t="s">
        <v>509</v>
      </c>
      <c r="B358" s="8" t="s">
        <v>510</v>
      </c>
      <c r="C358" s="8" t="s">
        <v>1101</v>
      </c>
      <c r="D358" s="8" t="s">
        <v>20</v>
      </c>
      <c r="E358" s="8" t="n">
        <v>17</v>
      </c>
      <c r="F358" s="11" t="n">
        <f aca="false">IF(D358="CBP",SUMIF(Itens!$A:$A,A358,Itens!$I:$I),SUMIF(Itens!$A:$A,A358,Itens!$J:$J))</f>
        <v>17</v>
      </c>
      <c r="G358" s="8" t="n">
        <f aca="false">MAX(0,E358-F358)</f>
        <v>0</v>
      </c>
      <c r="H358" s="14" t="n">
        <f aca="false">IF(E358=0,0,MIN(1,F358/E358))</f>
        <v>1</v>
      </c>
      <c r="I358" s="8" t="n">
        <f aca="false">MAX(0,F358-E358)</f>
        <v>0</v>
      </c>
      <c r="J358" s="8" t="n">
        <f aca="false">E358+I358</f>
        <v>17</v>
      </c>
      <c r="K358" s="8" t="str">
        <f aca="false">IF(I358=0,"OK",IF(D358="CBP","Complemento CBP","ERRO: excede CBTBE"))</f>
        <v>OK</v>
      </c>
    </row>
    <row r="359" customFormat="false" ht="15" hidden="false" customHeight="false" outlineLevel="0" collapsed="false">
      <c r="A359" s="8" t="s">
        <v>673</v>
      </c>
      <c r="B359" s="8" t="s">
        <v>674</v>
      </c>
      <c r="C359" s="8" t="s">
        <v>1008</v>
      </c>
      <c r="D359" s="8" t="s">
        <v>20</v>
      </c>
      <c r="E359" s="8" t="n">
        <v>15</v>
      </c>
      <c r="F359" s="11" t="n">
        <f aca="false">IF(D359="CBP",SUMIF(Itens!$A:$A,A359,Itens!$I:$I),SUMIF(Itens!$A:$A,A359,Itens!$J:$J))</f>
        <v>15</v>
      </c>
      <c r="G359" s="8" t="n">
        <f aca="false">MAX(0,E359-F359)</f>
        <v>0</v>
      </c>
      <c r="H359" s="14" t="n">
        <f aca="false">IF(E359=0,0,MIN(1,F359/E359))</f>
        <v>1</v>
      </c>
      <c r="I359" s="8" t="n">
        <f aca="false">MAX(0,F359-E359)</f>
        <v>0</v>
      </c>
      <c r="J359" s="8" t="n">
        <f aca="false">E359+I359</f>
        <v>15</v>
      </c>
      <c r="K359" s="8" t="str">
        <f aca="false">IF(I359=0,"OK",IF(D359="CBP","Complemento CBP","ERRO: excede CBTBE"))</f>
        <v>OK</v>
      </c>
    </row>
    <row r="360" customFormat="false" ht="15" hidden="false" customHeight="false" outlineLevel="0" collapsed="false">
      <c r="A360" s="8" t="s">
        <v>1025</v>
      </c>
      <c r="B360" s="8" t="s">
        <v>1026</v>
      </c>
      <c r="C360" s="8" t="s">
        <v>1027</v>
      </c>
      <c r="D360" s="8" t="s">
        <v>20</v>
      </c>
      <c r="E360" s="8" t="n">
        <v>14</v>
      </c>
      <c r="F360" s="11" t="n">
        <f aca="false">IF(D360="CBP",SUMIF(Itens!$A:$A,A360,Itens!$I:$I),SUMIF(Itens!$A:$A,A360,Itens!$J:$J))</f>
        <v>0</v>
      </c>
      <c r="G360" s="8" t="n">
        <f aca="false">MAX(0,E360-F360)</f>
        <v>14</v>
      </c>
      <c r="H360" s="14" t="n">
        <f aca="false">IF(E360=0,0,MIN(1,F360/E360))</f>
        <v>0</v>
      </c>
      <c r="I360" s="8" t="n">
        <f aca="false">MAX(0,F360-E360)</f>
        <v>0</v>
      </c>
      <c r="J360" s="8" t="n">
        <f aca="false">E360+I360</f>
        <v>14</v>
      </c>
      <c r="K360" s="8" t="str">
        <f aca="false">IF(I360=0,"OK",IF(D360="CBP","Complemento CBP","ERRO: excede CBTBE"))</f>
        <v>OK</v>
      </c>
    </row>
    <row r="361" customFormat="false" ht="15" hidden="false" customHeight="false" outlineLevel="0" collapsed="false">
      <c r="A361" s="8" t="s">
        <v>874</v>
      </c>
      <c r="B361" s="8" t="s">
        <v>875</v>
      </c>
      <c r="C361" s="8" t="s">
        <v>876</v>
      </c>
      <c r="D361" s="8" t="s">
        <v>20</v>
      </c>
      <c r="E361" s="8" t="n">
        <v>14</v>
      </c>
      <c r="F361" s="11" t="n">
        <f aca="false">IF(D361="CBP",SUMIF(Itens!$A:$A,A361,Itens!$I:$I),SUMIF(Itens!$A:$A,A361,Itens!$J:$J))</f>
        <v>0</v>
      </c>
      <c r="G361" s="8" t="n">
        <f aca="false">MAX(0,E361-F361)</f>
        <v>14</v>
      </c>
      <c r="H361" s="14" t="n">
        <f aca="false">IF(E361=0,0,MIN(1,F361/E361))</f>
        <v>0</v>
      </c>
      <c r="I361" s="8" t="n">
        <f aca="false">MAX(0,F361-E361)</f>
        <v>0</v>
      </c>
      <c r="J361" s="8" t="n">
        <f aca="false">E361+I361</f>
        <v>14</v>
      </c>
      <c r="K361" s="8" t="str">
        <f aca="false">IF(I361=0,"OK",IF(D361="CBP","Complemento CBP","ERRO: excede CBTBE"))</f>
        <v>OK</v>
      </c>
    </row>
    <row r="362" customFormat="false" ht="15" hidden="false" customHeight="false" outlineLevel="0" collapsed="false">
      <c r="A362" s="8" t="s">
        <v>539</v>
      </c>
      <c r="B362" s="8" t="s">
        <v>540</v>
      </c>
      <c r="C362" s="8" t="s">
        <v>800</v>
      </c>
      <c r="D362" s="8" t="s">
        <v>20</v>
      </c>
      <c r="E362" s="8" t="n">
        <v>14</v>
      </c>
      <c r="F362" s="11" t="n">
        <f aca="false">IF(D362="CBP",SUMIF(Itens!$A:$A,A362,Itens!$I:$I),SUMIF(Itens!$A:$A,A362,Itens!$J:$J))</f>
        <v>14</v>
      </c>
      <c r="G362" s="8" t="n">
        <f aca="false">MAX(0,E362-F362)</f>
        <v>0</v>
      </c>
      <c r="H362" s="14" t="n">
        <f aca="false">IF(E362=0,0,MIN(1,F362/E362))</f>
        <v>1</v>
      </c>
      <c r="I362" s="8" t="n">
        <f aca="false">MAX(0,F362-E362)</f>
        <v>0</v>
      </c>
      <c r="J362" s="8" t="n">
        <f aca="false">E362+I362</f>
        <v>14</v>
      </c>
      <c r="K362" s="8" t="str">
        <f aca="false">IF(I362=0,"OK",IF(D362="CBP","Complemento CBP","ERRO: excede CBTBE"))</f>
        <v>OK</v>
      </c>
    </row>
    <row r="363" customFormat="false" ht="15" hidden="false" customHeight="false" outlineLevel="0" collapsed="false">
      <c r="A363" s="8" t="s">
        <v>549</v>
      </c>
      <c r="B363" s="8" t="s">
        <v>550</v>
      </c>
      <c r="C363" s="8" t="s">
        <v>846</v>
      </c>
      <c r="D363" s="8" t="s">
        <v>20</v>
      </c>
      <c r="E363" s="8" t="n">
        <v>12</v>
      </c>
      <c r="F363" s="11" t="n">
        <f aca="false">IF(D363="CBP",SUMIF(Itens!$A:$A,A363,Itens!$I:$I),SUMIF(Itens!$A:$A,A363,Itens!$J:$J))</f>
        <v>12</v>
      </c>
      <c r="G363" s="8" t="n">
        <f aca="false">MAX(0,E363-F363)</f>
        <v>0</v>
      </c>
      <c r="H363" s="14" t="n">
        <f aca="false">IF(E363=0,0,MIN(1,F363/E363))</f>
        <v>1</v>
      </c>
      <c r="I363" s="8" t="n">
        <f aca="false">MAX(0,F363-E363)</f>
        <v>0</v>
      </c>
      <c r="J363" s="8" t="n">
        <f aca="false">E363+I363</f>
        <v>12</v>
      </c>
      <c r="K363" s="8" t="str">
        <f aca="false">IF(I363=0,"OK",IF(D363="CBP","Complemento CBP","ERRO: excede CBTBE"))</f>
        <v>OK</v>
      </c>
    </row>
    <row r="364" customFormat="false" ht="15" hidden="false" customHeight="false" outlineLevel="0" collapsed="false">
      <c r="A364" s="8" t="s">
        <v>553</v>
      </c>
      <c r="B364" s="8" t="s">
        <v>554</v>
      </c>
      <c r="C364" s="8" t="s">
        <v>1070</v>
      </c>
      <c r="D364" s="8" t="s">
        <v>20</v>
      </c>
      <c r="E364" s="8" t="n">
        <v>12</v>
      </c>
      <c r="F364" s="11" t="n">
        <f aca="false">IF(D364="CBP",SUMIF(Itens!$A:$A,A364,Itens!$I:$I),SUMIF(Itens!$A:$A,A364,Itens!$J:$J))</f>
        <v>12</v>
      </c>
      <c r="G364" s="8" t="n">
        <f aca="false">MAX(0,E364-F364)</f>
        <v>0</v>
      </c>
      <c r="H364" s="14" t="n">
        <f aca="false">IF(E364=0,0,MIN(1,F364/E364))</f>
        <v>1</v>
      </c>
      <c r="I364" s="8" t="n">
        <f aca="false">MAX(0,F364-E364)</f>
        <v>0</v>
      </c>
      <c r="J364" s="8" t="n">
        <f aca="false">E364+I364</f>
        <v>12</v>
      </c>
      <c r="K364" s="8" t="str">
        <f aca="false">IF(I364=0,"OK",IF(D364="CBP","Complemento CBP","ERRO: excede CBTBE"))</f>
        <v>OK</v>
      </c>
    </row>
    <row r="365" customFormat="false" ht="15" hidden="false" customHeight="false" outlineLevel="0" collapsed="false">
      <c r="A365" s="8" t="s">
        <v>645</v>
      </c>
      <c r="B365" s="8" t="s">
        <v>646</v>
      </c>
      <c r="C365" s="8" t="s">
        <v>888</v>
      </c>
      <c r="D365" s="8" t="s">
        <v>20</v>
      </c>
      <c r="E365" s="8" t="n">
        <v>11</v>
      </c>
      <c r="F365" s="11" t="n">
        <f aca="false">IF(D365="CBP",SUMIF(Itens!$A:$A,A365,Itens!$I:$I),SUMIF(Itens!$A:$A,A365,Itens!$J:$J))</f>
        <v>11</v>
      </c>
      <c r="G365" s="8" t="n">
        <f aca="false">MAX(0,E365-F365)</f>
        <v>0</v>
      </c>
      <c r="H365" s="14" t="n">
        <f aca="false">IF(E365=0,0,MIN(1,F365/E365))</f>
        <v>1</v>
      </c>
      <c r="I365" s="8" t="n">
        <f aca="false">MAX(0,F365-E365)</f>
        <v>0</v>
      </c>
      <c r="J365" s="8" t="n">
        <f aca="false">E365+I365</f>
        <v>11</v>
      </c>
      <c r="K365" s="8" t="str">
        <f aca="false">IF(I365=0,"OK",IF(D365="CBP","Complemento CBP","ERRO: excede CBTBE"))</f>
        <v>OK</v>
      </c>
    </row>
    <row r="366" customFormat="false" ht="15" hidden="false" customHeight="false" outlineLevel="0" collapsed="false">
      <c r="A366" s="8" t="s">
        <v>1055</v>
      </c>
      <c r="B366" s="8" t="s">
        <v>1056</v>
      </c>
      <c r="C366" s="8" t="s">
        <v>1057</v>
      </c>
      <c r="D366" s="8" t="s">
        <v>20</v>
      </c>
      <c r="E366" s="8" t="n">
        <v>11</v>
      </c>
      <c r="F366" s="11" t="n">
        <f aca="false">IF(D366="CBP",SUMIF(Itens!$A:$A,A366,Itens!$I:$I),SUMIF(Itens!$A:$A,A366,Itens!$J:$J))</f>
        <v>0</v>
      </c>
      <c r="G366" s="8" t="n">
        <f aca="false">MAX(0,E366-F366)</f>
        <v>11</v>
      </c>
      <c r="H366" s="14" t="n">
        <f aca="false">IF(E366=0,0,MIN(1,F366/E366))</f>
        <v>0</v>
      </c>
      <c r="I366" s="8" t="n">
        <f aca="false">MAX(0,F366-E366)</f>
        <v>0</v>
      </c>
      <c r="J366" s="8" t="n">
        <f aca="false">E366+I366</f>
        <v>11</v>
      </c>
      <c r="K366" s="8" t="str">
        <f aca="false">IF(I366=0,"OK",IF(D366="CBP","Complemento CBP","ERRO: excede CBTBE"))</f>
        <v>OK</v>
      </c>
    </row>
    <row r="367" customFormat="false" ht="15" hidden="false" customHeight="false" outlineLevel="0" collapsed="false">
      <c r="A367" s="8" t="s">
        <v>1102</v>
      </c>
      <c r="B367" s="8" t="s">
        <v>1103</v>
      </c>
      <c r="C367" s="8" t="s">
        <v>1104</v>
      </c>
      <c r="D367" s="8" t="s">
        <v>20</v>
      </c>
      <c r="E367" s="8" t="n">
        <v>11</v>
      </c>
      <c r="F367" s="11" t="n">
        <f aca="false">IF(D367="CBP",SUMIF(Itens!$A:$A,A367,Itens!$I:$I),SUMIF(Itens!$A:$A,A367,Itens!$J:$J))</f>
        <v>0</v>
      </c>
      <c r="G367" s="8" t="n">
        <f aca="false">MAX(0,E367-F367)</f>
        <v>11</v>
      </c>
      <c r="H367" s="14" t="n">
        <f aca="false">IF(E367=0,0,MIN(1,F367/E367))</f>
        <v>0</v>
      </c>
      <c r="I367" s="8" t="n">
        <f aca="false">MAX(0,F367-E367)</f>
        <v>0</v>
      </c>
      <c r="J367" s="8" t="n">
        <f aca="false">E367+I367</f>
        <v>11</v>
      </c>
      <c r="K367" s="8" t="str">
        <f aca="false">IF(I367=0,"OK",IF(D367="CBP","Complemento CBP","ERRO: excede CBTBE"))</f>
        <v>OK</v>
      </c>
    </row>
    <row r="368" customFormat="false" ht="15" hidden="false" customHeight="false" outlineLevel="0" collapsed="false">
      <c r="A368" s="8" t="s">
        <v>1051</v>
      </c>
      <c r="B368" s="8" t="s">
        <v>1052</v>
      </c>
      <c r="C368" s="8" t="s">
        <v>1053</v>
      </c>
      <c r="D368" s="8" t="s">
        <v>20</v>
      </c>
      <c r="E368" s="8" t="n">
        <v>11</v>
      </c>
      <c r="F368" s="11" t="n">
        <f aca="false">IF(D368="CBP",SUMIF(Itens!$A:$A,A368,Itens!$I:$I),SUMIF(Itens!$A:$A,A368,Itens!$J:$J))</f>
        <v>0</v>
      </c>
      <c r="G368" s="8" t="n">
        <f aca="false">MAX(0,E368-F368)</f>
        <v>11</v>
      </c>
      <c r="H368" s="14" t="n">
        <f aca="false">IF(E368=0,0,MIN(1,F368/E368))</f>
        <v>0</v>
      </c>
      <c r="I368" s="8" t="n">
        <f aca="false">MAX(0,F368-E368)</f>
        <v>0</v>
      </c>
      <c r="J368" s="8" t="n">
        <f aca="false">E368+I368</f>
        <v>11</v>
      </c>
      <c r="K368" s="8" t="str">
        <f aca="false">IF(I368=0,"OK",IF(D368="CBP","Complemento CBP","ERRO: excede CBTBE"))</f>
        <v>OK</v>
      </c>
    </row>
    <row r="369" customFormat="false" ht="15" hidden="false" customHeight="false" outlineLevel="0" collapsed="false">
      <c r="A369" s="8" t="s">
        <v>871</v>
      </c>
      <c r="B369" s="8" t="s">
        <v>872</v>
      </c>
      <c r="C369" s="8" t="s">
        <v>873</v>
      </c>
      <c r="D369" s="8" t="s">
        <v>20</v>
      </c>
      <c r="E369" s="8" t="n">
        <v>11</v>
      </c>
      <c r="F369" s="11" t="n">
        <f aca="false">IF(D369="CBP",SUMIF(Itens!$A:$A,A369,Itens!$I:$I),SUMIF(Itens!$A:$A,A369,Itens!$J:$J))</f>
        <v>0</v>
      </c>
      <c r="G369" s="8" t="n">
        <f aca="false">MAX(0,E369-F369)</f>
        <v>11</v>
      </c>
      <c r="H369" s="14" t="n">
        <f aca="false">IF(E369=0,0,MIN(1,F369/E369))</f>
        <v>0</v>
      </c>
      <c r="I369" s="8" t="n">
        <f aca="false">MAX(0,F369-E369)</f>
        <v>0</v>
      </c>
      <c r="J369" s="8" t="n">
        <f aca="false">E369+I369</f>
        <v>11</v>
      </c>
      <c r="K369" s="8" t="str">
        <f aca="false">IF(I369=0,"OK",IF(D369="CBP","Complemento CBP","ERRO: excede CBTBE"))</f>
        <v>OK</v>
      </c>
    </row>
    <row r="370" customFormat="false" ht="15" hidden="false" customHeight="false" outlineLevel="0" collapsed="false">
      <c r="A370" s="8" t="s">
        <v>679</v>
      </c>
      <c r="B370" s="8" t="s">
        <v>680</v>
      </c>
      <c r="C370" s="8" t="s">
        <v>1009</v>
      </c>
      <c r="D370" s="8" t="s">
        <v>20</v>
      </c>
      <c r="E370" s="8" t="n">
        <v>11</v>
      </c>
      <c r="F370" s="11" t="n">
        <f aca="false">IF(D370="CBP",SUMIF(Itens!$A:$A,A370,Itens!$I:$I),SUMIF(Itens!$A:$A,A370,Itens!$J:$J))</f>
        <v>11</v>
      </c>
      <c r="G370" s="8" t="n">
        <f aca="false">MAX(0,E370-F370)</f>
        <v>0</v>
      </c>
      <c r="H370" s="14" t="n">
        <f aca="false">IF(E370=0,0,MIN(1,F370/E370))</f>
        <v>1</v>
      </c>
      <c r="I370" s="8" t="n">
        <f aca="false">MAX(0,F370-E370)</f>
        <v>0</v>
      </c>
      <c r="J370" s="8" t="n">
        <f aca="false">E370+I370</f>
        <v>11</v>
      </c>
      <c r="K370" s="8" t="str">
        <f aca="false">IF(I370=0,"OK",IF(D370="CBP","Complemento CBP","ERRO: excede CBTBE"))</f>
        <v>OK</v>
      </c>
    </row>
    <row r="371" customFormat="false" ht="15" hidden="false" customHeight="false" outlineLevel="0" collapsed="false">
      <c r="A371" s="8" t="s">
        <v>541</v>
      </c>
      <c r="B371" s="8" t="s">
        <v>542</v>
      </c>
      <c r="C371" s="8" t="s">
        <v>777</v>
      </c>
      <c r="D371" s="8" t="s">
        <v>20</v>
      </c>
      <c r="E371" s="8" t="n">
        <v>9</v>
      </c>
      <c r="F371" s="11" t="n">
        <f aca="false">IF(D371="CBP",SUMIF(Itens!$A:$A,A371,Itens!$I:$I),SUMIF(Itens!$A:$A,A371,Itens!$J:$J))</f>
        <v>0</v>
      </c>
      <c r="G371" s="8" t="n">
        <f aca="false">MAX(0,E371-F371)</f>
        <v>9</v>
      </c>
      <c r="H371" s="14" t="n">
        <f aca="false">IF(E371=0,0,MIN(1,F371/E371))</f>
        <v>0</v>
      </c>
      <c r="I371" s="8" t="n">
        <f aca="false">MAX(0,F371-E371)</f>
        <v>0</v>
      </c>
      <c r="J371" s="8" t="n">
        <f aca="false">E371+I371</f>
        <v>9</v>
      </c>
      <c r="K371" s="8" t="str">
        <f aca="false">IF(I371=0,"OK",IF(D371="CBP","Complemento CBP","ERRO: excede CBTBE"))</f>
        <v>OK</v>
      </c>
    </row>
    <row r="372" customFormat="false" ht="15" hidden="false" customHeight="false" outlineLevel="0" collapsed="false">
      <c r="A372" s="8" t="s">
        <v>555</v>
      </c>
      <c r="B372" s="8" t="s">
        <v>556</v>
      </c>
      <c r="C372" s="8" t="s">
        <v>1028</v>
      </c>
      <c r="D372" s="8" t="s">
        <v>20</v>
      </c>
      <c r="E372" s="8" t="n">
        <v>9</v>
      </c>
      <c r="F372" s="11" t="n">
        <f aca="false">IF(D372="CBP",SUMIF(Itens!$A:$A,A372,Itens!$I:$I),SUMIF(Itens!$A:$A,A372,Itens!$J:$J))</f>
        <v>9</v>
      </c>
      <c r="G372" s="8" t="n">
        <f aca="false">MAX(0,E372-F372)</f>
        <v>0</v>
      </c>
      <c r="H372" s="14" t="n">
        <f aca="false">IF(E372=0,0,MIN(1,F372/E372))</f>
        <v>1</v>
      </c>
      <c r="I372" s="8" t="n">
        <f aca="false">MAX(0,F372-E372)</f>
        <v>0</v>
      </c>
      <c r="J372" s="8" t="n">
        <f aca="false">E372+I372</f>
        <v>9</v>
      </c>
      <c r="K372" s="8" t="str">
        <f aca="false">IF(I372=0,"OK",IF(D372="CBP","Complemento CBP","ERRO: excede CBTBE"))</f>
        <v>OK</v>
      </c>
    </row>
    <row r="373" customFormat="false" ht="15" hidden="false" customHeight="false" outlineLevel="0" collapsed="false">
      <c r="A373" s="8" t="s">
        <v>1105</v>
      </c>
      <c r="B373" s="8" t="s">
        <v>1106</v>
      </c>
      <c r="C373" s="8" t="s">
        <v>1107</v>
      </c>
      <c r="D373" s="8" t="s">
        <v>20</v>
      </c>
      <c r="E373" s="8" t="n">
        <v>9</v>
      </c>
      <c r="F373" s="11" t="n">
        <f aca="false">IF(D373="CBP",SUMIF(Itens!$A:$A,A373,Itens!$I:$I),SUMIF(Itens!$A:$A,A373,Itens!$J:$J))</f>
        <v>0</v>
      </c>
      <c r="G373" s="8" t="n">
        <f aca="false">MAX(0,E373-F373)</f>
        <v>9</v>
      </c>
      <c r="H373" s="14" t="n">
        <f aca="false">IF(E373=0,0,MIN(1,F373/E373))</f>
        <v>0</v>
      </c>
      <c r="I373" s="8" t="n">
        <f aca="false">MAX(0,F373-E373)</f>
        <v>0</v>
      </c>
      <c r="J373" s="8" t="n">
        <f aca="false">E373+I373</f>
        <v>9</v>
      </c>
      <c r="K373" s="8" t="str">
        <f aca="false">IF(I373=0,"OK",IF(D373="CBP","Complemento CBP","ERRO: excede CBTBE"))</f>
        <v>OK</v>
      </c>
    </row>
    <row r="374" customFormat="false" ht="15" hidden="false" customHeight="false" outlineLevel="0" collapsed="false">
      <c r="A374" s="8" t="s">
        <v>1108</v>
      </c>
      <c r="B374" s="8" t="s">
        <v>1109</v>
      </c>
      <c r="C374" s="8" t="s">
        <v>900</v>
      </c>
      <c r="D374" s="8" t="s">
        <v>20</v>
      </c>
      <c r="E374" s="8" t="n">
        <v>9</v>
      </c>
      <c r="F374" s="11" t="n">
        <f aca="false">IF(D374="CBP",SUMIF(Itens!$A:$A,A374,Itens!$I:$I),SUMIF(Itens!$A:$A,A374,Itens!$J:$J))</f>
        <v>0</v>
      </c>
      <c r="G374" s="8" t="n">
        <f aca="false">MAX(0,E374-F374)</f>
        <v>9</v>
      </c>
      <c r="H374" s="14" t="n">
        <f aca="false">IF(E374=0,0,MIN(1,F374/E374))</f>
        <v>0</v>
      </c>
      <c r="I374" s="8" t="n">
        <f aca="false">MAX(0,F374-E374)</f>
        <v>0</v>
      </c>
      <c r="J374" s="8" t="n">
        <f aca="false">E374+I374</f>
        <v>9</v>
      </c>
      <c r="K374" s="8" t="str">
        <f aca="false">IF(I374=0,"OK",IF(D374="CBP","Complemento CBP","ERRO: excede CBTBE"))</f>
        <v>OK</v>
      </c>
    </row>
    <row r="375" customFormat="false" ht="15" hidden="false" customHeight="false" outlineLevel="0" collapsed="false">
      <c r="A375" s="8" t="s">
        <v>519</v>
      </c>
      <c r="B375" s="8" t="s">
        <v>520</v>
      </c>
      <c r="C375" s="8" t="s">
        <v>953</v>
      </c>
      <c r="D375" s="8" t="s">
        <v>20</v>
      </c>
      <c r="E375" s="8" t="n">
        <v>9</v>
      </c>
      <c r="F375" s="11" t="n">
        <f aca="false">IF(D375="CBP",SUMIF(Itens!$A:$A,A375,Itens!$I:$I),SUMIF(Itens!$A:$A,A375,Itens!$J:$J))</f>
        <v>9</v>
      </c>
      <c r="G375" s="8" t="n">
        <f aca="false">MAX(0,E375-F375)</f>
        <v>0</v>
      </c>
      <c r="H375" s="14" t="n">
        <f aca="false">IF(E375=0,0,MIN(1,F375/E375))</f>
        <v>1</v>
      </c>
      <c r="I375" s="8" t="n">
        <f aca="false">MAX(0,F375-E375)</f>
        <v>0</v>
      </c>
      <c r="J375" s="8" t="n">
        <f aca="false">E375+I375</f>
        <v>9</v>
      </c>
      <c r="K375" s="8" t="str">
        <f aca="false">IF(I375=0,"OK",IF(D375="CBP","Complemento CBP","ERRO: excede CBTBE"))</f>
        <v>OK</v>
      </c>
    </row>
    <row r="376" customFormat="false" ht="15" hidden="false" customHeight="false" outlineLevel="0" collapsed="false">
      <c r="A376" s="8" t="s">
        <v>533</v>
      </c>
      <c r="B376" s="8" t="s">
        <v>534</v>
      </c>
      <c r="C376" s="8" t="s">
        <v>1054</v>
      </c>
      <c r="D376" s="8" t="s">
        <v>20</v>
      </c>
      <c r="E376" s="8" t="n">
        <v>9</v>
      </c>
      <c r="F376" s="11" t="n">
        <f aca="false">IF(D376="CBP",SUMIF(Itens!$A:$A,A376,Itens!$I:$I),SUMIF(Itens!$A:$A,A376,Itens!$J:$J))</f>
        <v>9</v>
      </c>
      <c r="G376" s="8" t="n">
        <f aca="false">MAX(0,E376-F376)</f>
        <v>0</v>
      </c>
      <c r="H376" s="14" t="n">
        <f aca="false">IF(E376=0,0,MIN(1,F376/E376))</f>
        <v>1</v>
      </c>
      <c r="I376" s="8" t="n">
        <f aca="false">MAX(0,F376-E376)</f>
        <v>0</v>
      </c>
      <c r="J376" s="8" t="n">
        <f aca="false">E376+I376</f>
        <v>9</v>
      </c>
      <c r="K376" s="8" t="str">
        <f aca="false">IF(I376=0,"OK",IF(D376="CBP","Complemento CBP","ERRO: excede CBTBE"))</f>
        <v>OK</v>
      </c>
    </row>
    <row r="377" customFormat="false" ht="15" hidden="false" customHeight="false" outlineLevel="0" collapsed="false">
      <c r="A377" s="8" t="s">
        <v>501</v>
      </c>
      <c r="B377" s="8" t="s">
        <v>502</v>
      </c>
      <c r="C377" s="8" t="s">
        <v>1110</v>
      </c>
      <c r="D377" s="8" t="s">
        <v>20</v>
      </c>
      <c r="E377" s="8" t="n">
        <v>9</v>
      </c>
      <c r="F377" s="11" t="n">
        <f aca="false">IF(D377="CBP",SUMIF(Itens!$A:$A,A377,Itens!$I:$I),SUMIF(Itens!$A:$A,A377,Itens!$J:$J))</f>
        <v>9</v>
      </c>
      <c r="G377" s="8" t="n">
        <f aca="false">MAX(0,E377-F377)</f>
        <v>0</v>
      </c>
      <c r="H377" s="14" t="n">
        <f aca="false">IF(E377=0,0,MIN(1,F377/E377))</f>
        <v>1</v>
      </c>
      <c r="I377" s="8" t="n">
        <f aca="false">MAX(0,F377-E377)</f>
        <v>0</v>
      </c>
      <c r="J377" s="8" t="n">
        <f aca="false">E377+I377</f>
        <v>9</v>
      </c>
      <c r="K377" s="8" t="str">
        <f aca="false">IF(I377=0,"OK",IF(D377="CBP","Complemento CBP","ERRO: excede CBTBE"))</f>
        <v>OK</v>
      </c>
    </row>
    <row r="378" customFormat="false" ht="15" hidden="false" customHeight="false" outlineLevel="0" collapsed="false">
      <c r="A378" s="8" t="s">
        <v>495</v>
      </c>
      <c r="B378" s="8" t="s">
        <v>496</v>
      </c>
      <c r="C378" s="8" t="s">
        <v>899</v>
      </c>
      <c r="D378" s="8" t="s">
        <v>20</v>
      </c>
      <c r="E378" s="8" t="n">
        <v>8</v>
      </c>
      <c r="F378" s="11" t="n">
        <f aca="false">IF(D378="CBP",SUMIF(Itens!$A:$A,A378,Itens!$I:$I),SUMIF(Itens!$A:$A,A378,Itens!$J:$J))</f>
        <v>8</v>
      </c>
      <c r="G378" s="8" t="n">
        <f aca="false">MAX(0,E378-F378)</f>
        <v>0</v>
      </c>
      <c r="H378" s="14" t="n">
        <f aca="false">IF(E378=0,0,MIN(1,F378/E378))</f>
        <v>1</v>
      </c>
      <c r="I378" s="8" t="n">
        <f aca="false">MAX(0,F378-E378)</f>
        <v>0</v>
      </c>
      <c r="J378" s="8" t="n">
        <f aca="false">E378+I378</f>
        <v>8</v>
      </c>
      <c r="K378" s="8" t="str">
        <f aca="false">IF(I378=0,"OK",IF(D378="CBP","Complemento CBP","ERRO: excede CBTBE"))</f>
        <v>OK</v>
      </c>
    </row>
    <row r="379" customFormat="false" ht="15" hidden="false" customHeight="false" outlineLevel="0" collapsed="false">
      <c r="A379" s="8" t="s">
        <v>1029</v>
      </c>
      <c r="B379" s="8" t="s">
        <v>1030</v>
      </c>
      <c r="C379" s="8" t="s">
        <v>965</v>
      </c>
      <c r="D379" s="8" t="s">
        <v>20</v>
      </c>
      <c r="E379" s="8" t="n">
        <v>8</v>
      </c>
      <c r="F379" s="11" t="n">
        <f aca="false">IF(D379="CBP",SUMIF(Itens!$A:$A,A379,Itens!$I:$I),SUMIF(Itens!$A:$A,A379,Itens!$J:$J))</f>
        <v>0</v>
      </c>
      <c r="G379" s="8" t="n">
        <f aca="false">MAX(0,E379-F379)</f>
        <v>8</v>
      </c>
      <c r="H379" s="14" t="n">
        <f aca="false">IF(E379=0,0,MIN(1,F379/E379))</f>
        <v>0</v>
      </c>
      <c r="I379" s="8" t="n">
        <f aca="false">MAX(0,F379-E379)</f>
        <v>0</v>
      </c>
      <c r="J379" s="8" t="n">
        <f aca="false">E379+I379</f>
        <v>8</v>
      </c>
      <c r="K379" s="8" t="str">
        <f aca="false">IF(I379=0,"OK",IF(D379="CBP","Complemento CBP","ERRO: excede CBTBE"))</f>
        <v>OK</v>
      </c>
    </row>
    <row r="380" customFormat="false" ht="15" hidden="false" customHeight="false" outlineLevel="0" collapsed="false">
      <c r="A380" s="8" t="s">
        <v>473</v>
      </c>
      <c r="B380" s="8" t="s">
        <v>474</v>
      </c>
      <c r="C380" s="8" t="s">
        <v>904</v>
      </c>
      <c r="D380" s="8" t="s">
        <v>20</v>
      </c>
      <c r="E380" s="8" t="n">
        <v>8</v>
      </c>
      <c r="F380" s="11" t="n">
        <f aca="false">IF(D380="CBP",SUMIF(Itens!$A:$A,A380,Itens!$I:$I),SUMIF(Itens!$A:$A,A380,Itens!$J:$J))</f>
        <v>4</v>
      </c>
      <c r="G380" s="8" t="n">
        <f aca="false">MAX(0,E380-F380)</f>
        <v>4</v>
      </c>
      <c r="H380" s="14" t="n">
        <f aca="false">IF(E380=0,0,MIN(1,F380/E380))</f>
        <v>0.5</v>
      </c>
      <c r="I380" s="8" t="n">
        <f aca="false">MAX(0,F380-E380)</f>
        <v>0</v>
      </c>
      <c r="J380" s="8" t="n">
        <f aca="false">E380+I380</f>
        <v>8</v>
      </c>
      <c r="K380" s="8" t="str">
        <f aca="false">IF(I380=0,"OK",IF(D380="CBP","Complemento CBP","ERRO: excede CBTBE"))</f>
        <v>OK</v>
      </c>
    </row>
    <row r="381" customFormat="false" ht="15" hidden="false" customHeight="false" outlineLevel="0" collapsed="false">
      <c r="A381" s="8" t="s">
        <v>569</v>
      </c>
      <c r="B381" s="8" t="s">
        <v>570</v>
      </c>
      <c r="C381" s="8" t="s">
        <v>806</v>
      </c>
      <c r="D381" s="8" t="s">
        <v>20</v>
      </c>
      <c r="E381" s="8" t="n">
        <v>6</v>
      </c>
      <c r="F381" s="11" t="n">
        <f aca="false">IF(D381="CBP",SUMIF(Itens!$A:$A,A381,Itens!$I:$I),SUMIF(Itens!$A:$A,A381,Itens!$J:$J))</f>
        <v>6</v>
      </c>
      <c r="G381" s="8" t="n">
        <f aca="false">MAX(0,E381-F381)</f>
        <v>0</v>
      </c>
      <c r="H381" s="14" t="n">
        <f aca="false">IF(E381=0,0,MIN(1,F381/E381))</f>
        <v>1</v>
      </c>
      <c r="I381" s="8" t="n">
        <f aca="false">MAX(0,F381-E381)</f>
        <v>0</v>
      </c>
      <c r="J381" s="8" t="n">
        <f aca="false">E381+I381</f>
        <v>6</v>
      </c>
      <c r="K381" s="8" t="str">
        <f aca="false">IF(I381=0,"OK",IF(D381="CBP","Complemento CBP","ERRO: excede CBTBE"))</f>
        <v>OK</v>
      </c>
    </row>
    <row r="382" customFormat="false" ht="15" hidden="false" customHeight="false" outlineLevel="0" collapsed="false">
      <c r="A382" s="8" t="s">
        <v>1048</v>
      </c>
      <c r="B382" s="8" t="s">
        <v>1049</v>
      </c>
      <c r="C382" s="8" t="s">
        <v>1050</v>
      </c>
      <c r="D382" s="8" t="s">
        <v>20</v>
      </c>
      <c r="E382" s="8" t="n">
        <v>5</v>
      </c>
      <c r="F382" s="11" t="n">
        <f aca="false">IF(D382="CBP",SUMIF(Itens!$A:$A,A382,Itens!$I:$I),SUMIF(Itens!$A:$A,A382,Itens!$J:$J))</f>
        <v>0</v>
      </c>
      <c r="G382" s="8" t="n">
        <f aca="false">MAX(0,E382-F382)</f>
        <v>5</v>
      </c>
      <c r="H382" s="14" t="n">
        <f aca="false">IF(E382=0,0,MIN(1,F382/E382))</f>
        <v>0</v>
      </c>
      <c r="I382" s="8" t="n">
        <f aca="false">MAX(0,F382-E382)</f>
        <v>0</v>
      </c>
      <c r="J382" s="8" t="n">
        <f aca="false">E382+I382</f>
        <v>5</v>
      </c>
      <c r="K382" s="8" t="str">
        <f aca="false">IF(I382=0,"OK",IF(D382="CBP","Complemento CBP","ERRO: excede CBTBE"))</f>
        <v>OK</v>
      </c>
    </row>
    <row r="383" customFormat="false" ht="15" hidden="false" customHeight="false" outlineLevel="0" collapsed="false">
      <c r="A383" s="8" t="s">
        <v>1111</v>
      </c>
      <c r="B383" s="8" t="s">
        <v>1112</v>
      </c>
      <c r="C383" s="8" t="s">
        <v>1113</v>
      </c>
      <c r="D383" s="8" t="s">
        <v>20</v>
      </c>
      <c r="E383" s="8" t="n">
        <v>5</v>
      </c>
      <c r="F383" s="11" t="n">
        <f aca="false">IF(D383="CBP",SUMIF(Itens!$A:$A,A383,Itens!$I:$I),SUMIF(Itens!$A:$A,A383,Itens!$J:$J))</f>
        <v>0</v>
      </c>
      <c r="G383" s="8" t="n">
        <f aca="false">MAX(0,E383-F383)</f>
        <v>5</v>
      </c>
      <c r="H383" s="14" t="n">
        <f aca="false">IF(E383=0,0,MIN(1,F383/E383))</f>
        <v>0</v>
      </c>
      <c r="I383" s="8" t="n">
        <f aca="false">MAX(0,F383-E383)</f>
        <v>0</v>
      </c>
      <c r="J383" s="8" t="n">
        <f aca="false">E383+I383</f>
        <v>5</v>
      </c>
      <c r="K383" s="8" t="str">
        <f aca="false">IF(I383=0,"OK",IF(D383="CBP","Complemento CBP","ERRO: excede CBTBE"))</f>
        <v>OK</v>
      </c>
    </row>
    <row r="384" customFormat="false" ht="15" hidden="false" customHeight="false" outlineLevel="0" collapsed="false">
      <c r="A384" s="8" t="s">
        <v>1010</v>
      </c>
      <c r="B384" s="8" t="s">
        <v>1011</v>
      </c>
      <c r="C384" s="8" t="s">
        <v>1009</v>
      </c>
      <c r="D384" s="8" t="s">
        <v>20</v>
      </c>
      <c r="E384" s="8" t="n">
        <v>5</v>
      </c>
      <c r="F384" s="11" t="n">
        <f aca="false">IF(D384="CBP",SUMIF(Itens!$A:$A,A384,Itens!$I:$I),SUMIF(Itens!$A:$A,A384,Itens!$J:$J))</f>
        <v>0</v>
      </c>
      <c r="G384" s="8" t="n">
        <f aca="false">MAX(0,E384-F384)</f>
        <v>5</v>
      </c>
      <c r="H384" s="14" t="n">
        <f aca="false">IF(E384=0,0,MIN(1,F384/E384))</f>
        <v>0</v>
      </c>
      <c r="I384" s="8" t="n">
        <f aca="false">MAX(0,F384-E384)</f>
        <v>0</v>
      </c>
      <c r="J384" s="8" t="n">
        <f aca="false">E384+I384</f>
        <v>5</v>
      </c>
      <c r="K384" s="8" t="str">
        <f aca="false">IF(I384=0,"OK",IF(D384="CBP","Complemento CBP","ERRO: excede CBTBE"))</f>
        <v>OK</v>
      </c>
    </row>
    <row r="385" customFormat="false" ht="15" hidden="false" customHeight="false" outlineLevel="0" collapsed="false">
      <c r="A385" s="8" t="s">
        <v>1114</v>
      </c>
      <c r="B385" s="8" t="s">
        <v>1115</v>
      </c>
      <c r="C385" s="8" t="s">
        <v>1116</v>
      </c>
      <c r="D385" s="8" t="s">
        <v>20</v>
      </c>
      <c r="E385" s="8" t="n">
        <v>5</v>
      </c>
      <c r="F385" s="11" t="n">
        <f aca="false">IF(D385="CBP",SUMIF(Itens!$A:$A,A385,Itens!$I:$I),SUMIF(Itens!$A:$A,A385,Itens!$J:$J))</f>
        <v>0</v>
      </c>
      <c r="G385" s="8" t="n">
        <f aca="false">MAX(0,E385-F385)</f>
        <v>5</v>
      </c>
      <c r="H385" s="14" t="n">
        <f aca="false">IF(E385=0,0,MIN(1,F385/E385))</f>
        <v>0</v>
      </c>
      <c r="I385" s="8" t="n">
        <f aca="false">MAX(0,F385-E385)</f>
        <v>0</v>
      </c>
      <c r="J385" s="8" t="n">
        <f aca="false">E385+I385</f>
        <v>5</v>
      </c>
      <c r="K385" s="8" t="str">
        <f aca="false">IF(I385=0,"OK",IF(D385="CBP","Complemento CBP","ERRO: excede CBTBE"))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7" t="s">
        <v>422</v>
      </c>
      <c r="B1" s="7" t="s">
        <v>36</v>
      </c>
      <c r="C1" s="7" t="s">
        <v>1117</v>
      </c>
      <c r="D1" s="7" t="s">
        <v>419</v>
      </c>
      <c r="E1" s="7" t="s">
        <v>420</v>
      </c>
      <c r="F1" s="7" t="s">
        <v>428</v>
      </c>
    </row>
    <row r="2" customFormat="false" ht="15" hidden="false" customHeight="false" outlineLevel="0" collapsed="false">
      <c r="A2" s="8" t="n">
        <v>475799</v>
      </c>
      <c r="B2" s="8" t="s">
        <v>403</v>
      </c>
      <c r="C2" s="8" t="s">
        <v>11</v>
      </c>
      <c r="D2" s="8" t="s">
        <v>695</v>
      </c>
      <c r="E2" s="8" t="s">
        <v>696</v>
      </c>
      <c r="F2" s="11" t="n">
        <f aca="false">SUMIFS(Itens!$K:$K,Itens!$C:$C,B2,Itens!$A:$A,D2)</f>
        <v>27</v>
      </c>
    </row>
    <row r="3" customFormat="false" ht="15" hidden="false" customHeight="false" outlineLevel="0" collapsed="false">
      <c r="A3" s="8" t="n">
        <v>475799</v>
      </c>
      <c r="B3" s="8" t="s">
        <v>403</v>
      </c>
      <c r="C3" s="8" t="s">
        <v>11</v>
      </c>
      <c r="D3" s="8" t="s">
        <v>537</v>
      </c>
      <c r="E3" s="8" t="s">
        <v>538</v>
      </c>
      <c r="F3" s="11" t="n">
        <f aca="false">SUMIFS(Itens!$K:$K,Itens!$C:$C,B3,Itens!$A:$A,D3)</f>
        <v>66</v>
      </c>
    </row>
    <row r="4" customFormat="false" ht="15" hidden="false" customHeight="false" outlineLevel="0" collapsed="false">
      <c r="A4" s="8" t="n">
        <v>475799</v>
      </c>
      <c r="B4" s="8" t="s">
        <v>403</v>
      </c>
      <c r="C4" s="8" t="s">
        <v>11</v>
      </c>
      <c r="D4" s="8" t="s">
        <v>497</v>
      </c>
      <c r="E4" s="8" t="s">
        <v>498</v>
      </c>
      <c r="F4" s="11" t="n">
        <f aca="false">SUMIFS(Itens!$K:$K,Itens!$C:$C,B4,Itens!$A:$A,D4)</f>
        <v>45</v>
      </c>
    </row>
    <row r="5" customFormat="false" ht="15" hidden="false" customHeight="false" outlineLevel="0" collapsed="false">
      <c r="A5" s="8" t="n">
        <v>475799</v>
      </c>
      <c r="B5" s="8" t="s">
        <v>403</v>
      </c>
      <c r="C5" s="8" t="s">
        <v>11</v>
      </c>
      <c r="D5" s="8" t="s">
        <v>697</v>
      </c>
      <c r="E5" s="8" t="s">
        <v>698</v>
      </c>
      <c r="F5" s="11" t="n">
        <f aca="false">SUMIFS(Itens!$K:$K,Itens!$C:$C,B5,Itens!$A:$A,D5)</f>
        <v>113</v>
      </c>
    </row>
    <row r="6" customFormat="false" ht="15" hidden="false" customHeight="false" outlineLevel="0" collapsed="false">
      <c r="A6" s="8" t="n">
        <v>475799</v>
      </c>
      <c r="B6" s="8" t="s">
        <v>403</v>
      </c>
      <c r="C6" s="8" t="s">
        <v>11</v>
      </c>
      <c r="D6" s="8" t="s">
        <v>583</v>
      </c>
      <c r="E6" s="8" t="s">
        <v>584</v>
      </c>
      <c r="F6" s="11" t="n">
        <f aca="false">SUMIFS(Itens!$K:$K,Itens!$C:$C,B6,Itens!$A:$A,D6)</f>
        <v>10</v>
      </c>
    </row>
    <row r="7" customFormat="false" ht="15" hidden="false" customHeight="false" outlineLevel="0" collapsed="false">
      <c r="A7" s="8" t="n">
        <v>475799</v>
      </c>
      <c r="B7" s="8" t="s">
        <v>403</v>
      </c>
      <c r="C7" s="8" t="s">
        <v>11</v>
      </c>
      <c r="D7" s="8" t="s">
        <v>699</v>
      </c>
      <c r="E7" s="8" t="s">
        <v>700</v>
      </c>
      <c r="F7" s="11" t="n">
        <f aca="false">SUMIFS(Itens!$K:$K,Itens!$C:$C,B7,Itens!$A:$A,D7)</f>
        <v>47</v>
      </c>
    </row>
    <row r="8" customFormat="false" ht="15" hidden="false" customHeight="false" outlineLevel="0" collapsed="false">
      <c r="A8" s="8" t="n">
        <v>475799</v>
      </c>
      <c r="B8" s="8" t="s">
        <v>403</v>
      </c>
      <c r="C8" s="8" t="s">
        <v>11</v>
      </c>
      <c r="D8" s="8" t="s">
        <v>701</v>
      </c>
      <c r="E8" s="8" t="s">
        <v>702</v>
      </c>
      <c r="F8" s="11" t="n">
        <f aca="false">SUMIFS(Itens!$K:$K,Itens!$C:$C,B8,Itens!$A:$A,D8)</f>
        <v>26</v>
      </c>
    </row>
    <row r="9" customFormat="false" ht="15" hidden="false" customHeight="false" outlineLevel="0" collapsed="false">
      <c r="A9" s="8" t="n">
        <v>475799</v>
      </c>
      <c r="B9" s="8" t="s">
        <v>403</v>
      </c>
      <c r="C9" s="8" t="s">
        <v>11</v>
      </c>
      <c r="D9" s="8" t="s">
        <v>441</v>
      </c>
      <c r="E9" s="8" t="s">
        <v>442</v>
      </c>
      <c r="F9" s="11" t="n">
        <f aca="false">SUMIFS(Itens!$K:$K,Itens!$C:$C,B9,Itens!$A:$A,D9)</f>
        <v>30</v>
      </c>
    </row>
    <row r="10" customFormat="false" ht="15" hidden="false" customHeight="false" outlineLevel="0" collapsed="false">
      <c r="A10" s="8" t="n">
        <v>475799</v>
      </c>
      <c r="B10" s="8" t="s">
        <v>403</v>
      </c>
      <c r="C10" s="8" t="s">
        <v>11</v>
      </c>
      <c r="D10" s="8" t="s">
        <v>507</v>
      </c>
      <c r="E10" s="8" t="s">
        <v>508</v>
      </c>
      <c r="F10" s="11" t="n">
        <f aca="false">SUMIFS(Itens!$K:$K,Itens!$C:$C,B10,Itens!$A:$A,D10)</f>
        <v>80</v>
      </c>
    </row>
    <row r="11" customFormat="false" ht="15" hidden="false" customHeight="false" outlineLevel="0" collapsed="false">
      <c r="A11" s="8" t="n">
        <v>475799</v>
      </c>
      <c r="B11" s="8" t="s">
        <v>403</v>
      </c>
      <c r="C11" s="8" t="s">
        <v>11</v>
      </c>
      <c r="D11" s="8" t="s">
        <v>705</v>
      </c>
      <c r="E11" s="8" t="s">
        <v>706</v>
      </c>
      <c r="F11" s="11" t="n">
        <f aca="false">SUMIFS(Itens!$K:$K,Itens!$C:$C,B11,Itens!$A:$A,D11)</f>
        <v>120</v>
      </c>
    </row>
    <row r="12" customFormat="false" ht="15" hidden="false" customHeight="false" outlineLevel="0" collapsed="false">
      <c r="A12" s="8" t="n">
        <v>475799</v>
      </c>
      <c r="B12" s="8" t="s">
        <v>403</v>
      </c>
      <c r="C12" s="8" t="s">
        <v>11</v>
      </c>
      <c r="D12" s="8" t="s">
        <v>707</v>
      </c>
      <c r="E12" s="8" t="s">
        <v>708</v>
      </c>
      <c r="F12" s="11" t="n">
        <f aca="false">SUMIFS(Itens!$K:$K,Itens!$C:$C,B12,Itens!$A:$A,D12)</f>
        <v>20</v>
      </c>
    </row>
    <row r="13" customFormat="false" ht="15" hidden="false" customHeight="false" outlineLevel="0" collapsed="false">
      <c r="A13" s="8" t="n">
        <v>475799</v>
      </c>
      <c r="B13" s="8" t="s">
        <v>403</v>
      </c>
      <c r="C13" s="8" t="s">
        <v>11</v>
      </c>
      <c r="D13" s="8" t="s">
        <v>557</v>
      </c>
      <c r="E13" s="8" t="s">
        <v>558</v>
      </c>
      <c r="F13" s="11" t="n">
        <f aca="false">SUMIFS(Itens!$K:$K,Itens!$C:$C,B13,Itens!$A:$A,D13)</f>
        <v>100</v>
      </c>
    </row>
    <row r="14" customFormat="false" ht="15" hidden="false" customHeight="false" outlineLevel="0" collapsed="false">
      <c r="A14" s="8" t="n">
        <v>475799</v>
      </c>
      <c r="B14" s="8" t="s">
        <v>403</v>
      </c>
      <c r="C14" s="8" t="s">
        <v>11</v>
      </c>
      <c r="D14" s="8" t="s">
        <v>447</v>
      </c>
      <c r="E14" s="8" t="s">
        <v>448</v>
      </c>
      <c r="F14" s="11" t="n">
        <f aca="false">SUMIFS(Itens!$K:$K,Itens!$C:$C,B14,Itens!$A:$A,D14)</f>
        <v>70</v>
      </c>
    </row>
    <row r="15" customFormat="false" ht="15" hidden="false" customHeight="false" outlineLevel="0" collapsed="false">
      <c r="A15" s="8" t="n">
        <v>475799</v>
      </c>
      <c r="B15" s="8" t="s">
        <v>403</v>
      </c>
      <c r="C15" s="8" t="s">
        <v>11</v>
      </c>
      <c r="D15" s="8" t="s">
        <v>463</v>
      </c>
      <c r="E15" s="8" t="s">
        <v>464</v>
      </c>
      <c r="F15" s="11" t="n">
        <f aca="false">SUMIFS(Itens!$K:$K,Itens!$C:$C,B15,Itens!$A:$A,D15)</f>
        <v>140</v>
      </c>
    </row>
    <row r="16" customFormat="false" ht="15" hidden="false" customHeight="false" outlineLevel="0" collapsed="false">
      <c r="A16" s="8" t="n">
        <v>475799</v>
      </c>
      <c r="B16" s="8" t="s">
        <v>403</v>
      </c>
      <c r="C16" s="8" t="s">
        <v>11</v>
      </c>
      <c r="D16" s="8" t="s">
        <v>437</v>
      </c>
      <c r="E16" s="8" t="s">
        <v>438</v>
      </c>
      <c r="F16" s="11" t="n">
        <f aca="false">SUMIFS(Itens!$K:$K,Itens!$C:$C,B16,Itens!$A:$A,D16)</f>
        <v>266</v>
      </c>
    </row>
    <row r="17" customFormat="false" ht="15" hidden="false" customHeight="false" outlineLevel="0" collapsed="false">
      <c r="A17" s="8" t="n">
        <v>476043</v>
      </c>
      <c r="B17" s="8" t="s">
        <v>42</v>
      </c>
      <c r="C17" s="8" t="s">
        <v>1118</v>
      </c>
      <c r="D17" s="8" t="s">
        <v>433</v>
      </c>
      <c r="E17" s="8" t="s">
        <v>434</v>
      </c>
      <c r="F17" s="11" t="n">
        <f aca="false">SUMIFS(Itens!$K:$K,Itens!$C:$C,B17,Itens!$A:$A,D17)</f>
        <v>24</v>
      </c>
    </row>
    <row r="18" customFormat="false" ht="15" hidden="false" customHeight="false" outlineLevel="0" collapsed="false">
      <c r="A18" s="8" t="n">
        <v>476043</v>
      </c>
      <c r="B18" s="8" t="s">
        <v>45</v>
      </c>
      <c r="C18" s="8" t="s">
        <v>1119</v>
      </c>
      <c r="D18" s="8" t="s">
        <v>433</v>
      </c>
      <c r="E18" s="8" t="s">
        <v>434</v>
      </c>
      <c r="F18" s="11" t="n">
        <f aca="false">SUMIFS(Itens!$K:$K,Itens!$C:$C,B18,Itens!$A:$A,D18)</f>
        <v>24</v>
      </c>
    </row>
    <row r="19" customFormat="false" ht="15" hidden="false" customHeight="false" outlineLevel="0" collapsed="false">
      <c r="A19" s="8" t="n">
        <v>476043</v>
      </c>
      <c r="B19" s="8" t="s">
        <v>47</v>
      </c>
      <c r="C19" s="8" t="s">
        <v>1119</v>
      </c>
      <c r="D19" s="8" t="s">
        <v>433</v>
      </c>
      <c r="E19" s="8" t="s">
        <v>434</v>
      </c>
      <c r="F19" s="11" t="n">
        <f aca="false">SUMIFS(Itens!$K:$K,Itens!$C:$C,B19,Itens!$A:$A,D19)</f>
        <v>24</v>
      </c>
    </row>
    <row r="20" customFormat="false" ht="15" hidden="false" customHeight="false" outlineLevel="0" collapsed="false">
      <c r="A20" s="8" t="n">
        <v>476043</v>
      </c>
      <c r="B20" s="8" t="s">
        <v>48</v>
      </c>
      <c r="C20" s="8" t="s">
        <v>1119</v>
      </c>
      <c r="D20" s="8" t="s">
        <v>433</v>
      </c>
      <c r="E20" s="8" t="s">
        <v>434</v>
      </c>
      <c r="F20" s="11" t="n">
        <f aca="false">SUMIFS(Itens!$K:$K,Itens!$C:$C,B20,Itens!$A:$A,D20)</f>
        <v>24</v>
      </c>
    </row>
    <row r="21" customFormat="false" ht="15" hidden="false" customHeight="false" outlineLevel="0" collapsed="false">
      <c r="A21" s="8" t="n">
        <v>476043</v>
      </c>
      <c r="B21" s="8" t="s">
        <v>53</v>
      </c>
      <c r="C21" s="8" t="s">
        <v>1119</v>
      </c>
      <c r="D21" s="8" t="s">
        <v>433</v>
      </c>
      <c r="E21" s="8" t="s">
        <v>434</v>
      </c>
      <c r="F21" s="11" t="n">
        <f aca="false">SUMIFS(Itens!$K:$K,Itens!$C:$C,B21,Itens!$A:$A,D21)</f>
        <v>24</v>
      </c>
    </row>
    <row r="22" customFormat="false" ht="15" hidden="false" customHeight="false" outlineLevel="0" collapsed="false">
      <c r="A22" s="8" t="n">
        <v>476043</v>
      </c>
      <c r="B22" s="8" t="s">
        <v>57</v>
      </c>
      <c r="C22" s="8" t="s">
        <v>1119</v>
      </c>
      <c r="D22" s="8" t="s">
        <v>443</v>
      </c>
      <c r="E22" s="8" t="s">
        <v>444</v>
      </c>
      <c r="F22" s="11" t="n">
        <f aca="false">SUMIFS(Itens!$K:$K,Itens!$C:$C,B22,Itens!$A:$A,D22)</f>
        <v>28</v>
      </c>
    </row>
    <row r="23" customFormat="false" ht="15" hidden="false" customHeight="false" outlineLevel="0" collapsed="false">
      <c r="A23" s="8" t="n">
        <v>476043</v>
      </c>
      <c r="B23" s="8" t="s">
        <v>71</v>
      </c>
      <c r="C23" s="8" t="s">
        <v>1119</v>
      </c>
      <c r="D23" s="8" t="s">
        <v>457</v>
      </c>
      <c r="E23" s="8" t="s">
        <v>458</v>
      </c>
      <c r="F23" s="11" t="n">
        <f aca="false">SUMIFS(Itens!$K:$K,Itens!$C:$C,B23,Itens!$A:$A,D23)</f>
        <v>18</v>
      </c>
    </row>
    <row r="24" customFormat="false" ht="15" hidden="false" customHeight="false" outlineLevel="0" collapsed="false">
      <c r="A24" s="8" t="n">
        <v>476043</v>
      </c>
      <c r="B24" s="8" t="s">
        <v>72</v>
      </c>
      <c r="C24" s="8" t="s">
        <v>1118</v>
      </c>
      <c r="D24" s="8" t="s">
        <v>459</v>
      </c>
      <c r="E24" s="8" t="s">
        <v>460</v>
      </c>
      <c r="F24" s="11" t="n">
        <f aca="false">SUMIFS(Itens!$K:$K,Itens!$C:$C,B24,Itens!$A:$A,D24)</f>
        <v>26</v>
      </c>
    </row>
    <row r="25" customFormat="false" ht="15" hidden="false" customHeight="false" outlineLevel="0" collapsed="false">
      <c r="A25" s="8" t="n">
        <v>476043</v>
      </c>
      <c r="B25" s="8" t="s">
        <v>75</v>
      </c>
      <c r="C25" s="8" t="s">
        <v>1119</v>
      </c>
      <c r="D25" s="8" t="s">
        <v>459</v>
      </c>
      <c r="E25" s="8" t="s">
        <v>460</v>
      </c>
      <c r="F25" s="11" t="n">
        <f aca="false">SUMIFS(Itens!$K:$K,Itens!$C:$C,B25,Itens!$A:$A,D25)</f>
        <v>38</v>
      </c>
    </row>
    <row r="26" customFormat="false" ht="15" hidden="false" customHeight="false" outlineLevel="0" collapsed="false">
      <c r="A26" s="8" t="n">
        <v>476043</v>
      </c>
      <c r="B26" s="8" t="s">
        <v>78</v>
      </c>
      <c r="C26" s="8" t="s">
        <v>1118</v>
      </c>
      <c r="D26" s="8" t="s">
        <v>465</v>
      </c>
      <c r="E26" s="8" t="s">
        <v>466</v>
      </c>
      <c r="F26" s="11" t="n">
        <f aca="false">SUMIFS(Itens!$K:$K,Itens!$C:$C,B26,Itens!$A:$A,D26)</f>
        <v>3</v>
      </c>
    </row>
    <row r="27" customFormat="false" ht="15" hidden="false" customHeight="false" outlineLevel="0" collapsed="false">
      <c r="A27" s="8" t="n">
        <v>476043</v>
      </c>
      <c r="B27" s="8" t="s">
        <v>79</v>
      </c>
      <c r="C27" s="8" t="s">
        <v>1119</v>
      </c>
      <c r="D27" s="8" t="s">
        <v>465</v>
      </c>
      <c r="E27" s="8" t="s">
        <v>466</v>
      </c>
      <c r="F27" s="11" t="n">
        <f aca="false">SUMIFS(Itens!$K:$K,Itens!$C:$C,B27,Itens!$A:$A,D27)</f>
        <v>30</v>
      </c>
    </row>
    <row r="28" customFormat="false" ht="15" hidden="false" customHeight="false" outlineLevel="0" collapsed="false">
      <c r="A28" s="8" t="n">
        <v>476043</v>
      </c>
      <c r="B28" s="8" t="s">
        <v>80</v>
      </c>
      <c r="C28" s="8" t="s">
        <v>1118</v>
      </c>
      <c r="D28" s="8" t="s">
        <v>469</v>
      </c>
      <c r="E28" s="8" t="s">
        <v>470</v>
      </c>
      <c r="F28" s="11" t="n">
        <f aca="false">SUMIFS(Itens!$K:$K,Itens!$C:$C,B28,Itens!$A:$A,D28)</f>
        <v>22</v>
      </c>
    </row>
    <row r="29" customFormat="false" ht="15" hidden="false" customHeight="false" outlineLevel="0" collapsed="false">
      <c r="A29" s="8" t="n">
        <v>476043</v>
      </c>
      <c r="B29" s="8" t="s">
        <v>81</v>
      </c>
      <c r="C29" s="8" t="s">
        <v>1119</v>
      </c>
      <c r="D29" s="8" t="s">
        <v>469</v>
      </c>
      <c r="E29" s="8" t="s">
        <v>470</v>
      </c>
      <c r="F29" s="11" t="n">
        <f aca="false">SUMIFS(Itens!$K:$K,Itens!$C:$C,B29,Itens!$A:$A,D29)</f>
        <v>36</v>
      </c>
    </row>
    <row r="30" customFormat="false" ht="15" hidden="false" customHeight="false" outlineLevel="0" collapsed="false">
      <c r="A30" s="8" t="n">
        <v>476043</v>
      </c>
      <c r="B30" s="8" t="s">
        <v>83</v>
      </c>
      <c r="C30" s="8" t="s">
        <v>1118</v>
      </c>
      <c r="D30" s="8" t="s">
        <v>433</v>
      </c>
      <c r="E30" s="8" t="s">
        <v>434</v>
      </c>
      <c r="F30" s="11" t="n">
        <f aca="false">SUMIFS(Itens!$K:$K,Itens!$C:$C,B30,Itens!$A:$A,D30)</f>
        <v>24</v>
      </c>
    </row>
    <row r="31" customFormat="false" ht="15" hidden="false" customHeight="false" outlineLevel="0" collapsed="false">
      <c r="A31" s="8" t="n">
        <v>476043</v>
      </c>
      <c r="B31" s="8" t="s">
        <v>84</v>
      </c>
      <c r="C31" s="8" t="s">
        <v>1118</v>
      </c>
      <c r="D31" s="8" t="s">
        <v>433</v>
      </c>
      <c r="E31" s="8" t="s">
        <v>434</v>
      </c>
      <c r="F31" s="11" t="n">
        <f aca="false">SUMIFS(Itens!$K:$K,Itens!$C:$C,B31,Itens!$A:$A,D31)</f>
        <v>1</v>
      </c>
    </row>
    <row r="32" customFormat="false" ht="15" hidden="false" customHeight="false" outlineLevel="0" collapsed="false">
      <c r="A32" s="8" t="n">
        <v>476043</v>
      </c>
      <c r="B32" s="8" t="s">
        <v>86</v>
      </c>
      <c r="C32" s="8" t="s">
        <v>1118</v>
      </c>
      <c r="D32" s="8" t="s">
        <v>465</v>
      </c>
      <c r="E32" s="8" t="s">
        <v>466</v>
      </c>
      <c r="F32" s="11" t="n">
        <f aca="false">SUMIFS(Itens!$K:$K,Itens!$C:$C,B32,Itens!$A:$A,D32)</f>
        <v>6</v>
      </c>
    </row>
    <row r="33" customFormat="false" ht="15" hidden="false" customHeight="false" outlineLevel="0" collapsed="false">
      <c r="A33" s="8" t="n">
        <v>476043</v>
      </c>
      <c r="B33" s="8" t="s">
        <v>86</v>
      </c>
      <c r="C33" s="8" t="s">
        <v>1118</v>
      </c>
      <c r="D33" s="8" t="s">
        <v>469</v>
      </c>
      <c r="E33" s="8" t="s">
        <v>470</v>
      </c>
      <c r="F33" s="11" t="n">
        <f aca="false">SUMIFS(Itens!$K:$K,Itens!$C:$C,B33,Itens!$A:$A,D33)</f>
        <v>32</v>
      </c>
    </row>
    <row r="34" customFormat="false" ht="15" hidden="false" customHeight="false" outlineLevel="0" collapsed="false">
      <c r="A34" s="8" t="n">
        <v>476043</v>
      </c>
      <c r="B34" s="8" t="s">
        <v>86</v>
      </c>
      <c r="C34" s="8" t="s">
        <v>1118</v>
      </c>
      <c r="D34" s="8" t="s">
        <v>457</v>
      </c>
      <c r="E34" s="8" t="s">
        <v>458</v>
      </c>
      <c r="F34" s="11" t="n">
        <f aca="false">SUMIFS(Itens!$K:$K,Itens!$C:$C,B34,Itens!$A:$A,D34)</f>
        <v>2</v>
      </c>
    </row>
    <row r="35" customFormat="false" ht="15" hidden="false" customHeight="false" outlineLevel="0" collapsed="false">
      <c r="A35" s="8" t="n">
        <v>476043</v>
      </c>
      <c r="B35" s="8" t="s">
        <v>87</v>
      </c>
      <c r="C35" s="8" t="s">
        <v>1118</v>
      </c>
      <c r="D35" s="8" t="s">
        <v>465</v>
      </c>
      <c r="E35" s="8" t="s">
        <v>466</v>
      </c>
      <c r="F35" s="11" t="n">
        <f aca="false">SUMIFS(Itens!$K:$K,Itens!$C:$C,B35,Itens!$A:$A,D35)</f>
        <v>4</v>
      </c>
    </row>
    <row r="36" customFormat="false" ht="15" hidden="false" customHeight="false" outlineLevel="0" collapsed="false">
      <c r="A36" s="8" t="n">
        <v>476043</v>
      </c>
      <c r="B36" s="8" t="s">
        <v>89</v>
      </c>
      <c r="C36" s="8" t="s">
        <v>1119</v>
      </c>
      <c r="D36" s="8" t="s">
        <v>443</v>
      </c>
      <c r="E36" s="8" t="s">
        <v>444</v>
      </c>
      <c r="F36" s="11" t="n">
        <f aca="false">SUMIFS(Itens!$K:$K,Itens!$C:$C,B36,Itens!$A:$A,D36)</f>
        <v>21</v>
      </c>
    </row>
    <row r="37" customFormat="false" ht="15" hidden="false" customHeight="false" outlineLevel="0" collapsed="false">
      <c r="A37" s="8" t="n">
        <v>476043</v>
      </c>
      <c r="B37" s="8" t="s">
        <v>90</v>
      </c>
      <c r="C37" s="8" t="s">
        <v>1118</v>
      </c>
      <c r="D37" s="8" t="s">
        <v>479</v>
      </c>
      <c r="E37" s="8" t="s">
        <v>480</v>
      </c>
      <c r="F37" s="11" t="n">
        <f aca="false">SUMIFS(Itens!$K:$K,Itens!$C:$C,B37,Itens!$A:$A,D37)</f>
        <v>16</v>
      </c>
    </row>
    <row r="38" customFormat="false" ht="15" hidden="false" customHeight="false" outlineLevel="0" collapsed="false">
      <c r="A38" s="8" t="n">
        <v>476043</v>
      </c>
      <c r="B38" s="8" t="s">
        <v>92</v>
      </c>
      <c r="C38" s="8" t="s">
        <v>1119</v>
      </c>
      <c r="D38" s="8" t="s">
        <v>479</v>
      </c>
      <c r="E38" s="8" t="s">
        <v>480</v>
      </c>
      <c r="F38" s="11" t="n">
        <f aca="false">SUMIFS(Itens!$K:$K,Itens!$C:$C,B38,Itens!$A:$A,D38)</f>
        <v>36</v>
      </c>
    </row>
    <row r="39" customFormat="false" ht="15" hidden="false" customHeight="false" outlineLevel="0" collapsed="false">
      <c r="A39" s="8" t="n">
        <v>476043</v>
      </c>
      <c r="B39" s="8" t="s">
        <v>93</v>
      </c>
      <c r="C39" s="8" t="s">
        <v>1119</v>
      </c>
      <c r="D39" s="8" t="s">
        <v>483</v>
      </c>
      <c r="E39" s="8" t="s">
        <v>484</v>
      </c>
      <c r="F39" s="11" t="n">
        <f aca="false">SUMIFS(Itens!$K:$K,Itens!$C:$C,B39,Itens!$A:$A,D39)</f>
        <v>30</v>
      </c>
    </row>
    <row r="40" customFormat="false" ht="15" hidden="false" customHeight="false" outlineLevel="0" collapsed="false">
      <c r="A40" s="8" t="n">
        <v>476043</v>
      </c>
      <c r="B40" s="8" t="s">
        <v>94</v>
      </c>
      <c r="C40" s="8" t="s">
        <v>1119</v>
      </c>
      <c r="D40" s="8" t="s">
        <v>479</v>
      </c>
      <c r="E40" s="8" t="s">
        <v>480</v>
      </c>
      <c r="F40" s="11" t="n">
        <f aca="false">SUMIFS(Itens!$K:$K,Itens!$C:$C,B40,Itens!$A:$A,D40)</f>
        <v>36</v>
      </c>
    </row>
    <row r="41" customFormat="false" ht="15" hidden="false" customHeight="false" outlineLevel="0" collapsed="false">
      <c r="A41" s="8" t="n">
        <v>476043</v>
      </c>
      <c r="B41" s="8" t="s">
        <v>103</v>
      </c>
      <c r="C41" s="8" t="s">
        <v>1119</v>
      </c>
      <c r="D41" s="8" t="s">
        <v>485</v>
      </c>
      <c r="E41" s="8" t="s">
        <v>486</v>
      </c>
      <c r="F41" s="11" t="n">
        <f aca="false">SUMIFS(Itens!$K:$K,Itens!$C:$C,B41,Itens!$A:$A,D41)</f>
        <v>20</v>
      </c>
    </row>
    <row r="42" customFormat="false" ht="15" hidden="false" customHeight="false" outlineLevel="0" collapsed="false">
      <c r="A42" s="8" t="n">
        <v>476043</v>
      </c>
      <c r="B42" s="8" t="s">
        <v>104</v>
      </c>
      <c r="C42" s="8" t="s">
        <v>1118</v>
      </c>
      <c r="D42" s="8" t="s">
        <v>485</v>
      </c>
      <c r="E42" s="8" t="s">
        <v>486</v>
      </c>
      <c r="F42" s="11" t="n">
        <f aca="false">SUMIFS(Itens!$K:$K,Itens!$C:$C,B42,Itens!$A:$A,D42)</f>
        <v>8</v>
      </c>
    </row>
    <row r="43" customFormat="false" ht="15" hidden="false" customHeight="false" outlineLevel="0" collapsed="false">
      <c r="A43" s="8" t="n">
        <v>476043</v>
      </c>
      <c r="B43" s="8" t="s">
        <v>105</v>
      </c>
      <c r="C43" s="8" t="s">
        <v>1119</v>
      </c>
      <c r="D43" s="8" t="s">
        <v>485</v>
      </c>
      <c r="E43" s="8" t="s">
        <v>486</v>
      </c>
      <c r="F43" s="11" t="n">
        <f aca="false">SUMIFS(Itens!$K:$K,Itens!$C:$C,B43,Itens!$A:$A,D43)</f>
        <v>20</v>
      </c>
    </row>
    <row r="44" customFormat="false" ht="15" hidden="false" customHeight="false" outlineLevel="0" collapsed="false">
      <c r="A44" s="8" t="n">
        <v>476043</v>
      </c>
      <c r="B44" s="8" t="s">
        <v>107</v>
      </c>
      <c r="C44" s="8" t="s">
        <v>1118</v>
      </c>
      <c r="D44" s="8" t="s">
        <v>485</v>
      </c>
      <c r="E44" s="8" t="s">
        <v>486</v>
      </c>
      <c r="F44" s="11" t="n">
        <f aca="false">SUMIFS(Itens!$K:$K,Itens!$C:$C,B44,Itens!$A:$A,D44)</f>
        <v>20</v>
      </c>
    </row>
    <row r="45" customFormat="false" ht="15" hidden="false" customHeight="false" outlineLevel="0" collapsed="false">
      <c r="A45" s="8" t="n">
        <v>476043</v>
      </c>
      <c r="B45" s="8" t="s">
        <v>108</v>
      </c>
      <c r="C45" s="8" t="s">
        <v>1118</v>
      </c>
      <c r="D45" s="8" t="s">
        <v>493</v>
      </c>
      <c r="E45" s="8" t="s">
        <v>494</v>
      </c>
      <c r="F45" s="11" t="n">
        <f aca="false">SUMIFS(Itens!$K:$K,Itens!$C:$C,B45,Itens!$A:$A,D45)</f>
        <v>2</v>
      </c>
    </row>
    <row r="46" customFormat="false" ht="15" hidden="false" customHeight="false" outlineLevel="0" collapsed="false">
      <c r="A46" s="8" t="n">
        <v>476043</v>
      </c>
      <c r="B46" s="8" t="s">
        <v>111</v>
      </c>
      <c r="C46" s="8" t="s">
        <v>1118</v>
      </c>
      <c r="D46" s="8" t="s">
        <v>483</v>
      </c>
      <c r="E46" s="8" t="s">
        <v>484</v>
      </c>
      <c r="F46" s="11" t="n">
        <f aca="false">SUMIFS(Itens!$K:$K,Itens!$C:$C,B46,Itens!$A:$A,D46)</f>
        <v>9</v>
      </c>
    </row>
    <row r="47" customFormat="false" ht="15" hidden="false" customHeight="false" outlineLevel="0" collapsed="false">
      <c r="A47" s="8" t="n">
        <v>476043</v>
      </c>
      <c r="B47" s="8" t="s">
        <v>112</v>
      </c>
      <c r="C47" s="8" t="s">
        <v>1119</v>
      </c>
      <c r="D47" s="8" t="s">
        <v>483</v>
      </c>
      <c r="E47" s="8" t="s">
        <v>484</v>
      </c>
      <c r="F47" s="11" t="n">
        <f aca="false">SUMIFS(Itens!$K:$K,Itens!$C:$C,B47,Itens!$A:$A,D47)</f>
        <v>30</v>
      </c>
    </row>
    <row r="48" customFormat="false" ht="15" hidden="false" customHeight="false" outlineLevel="0" collapsed="false">
      <c r="A48" s="8" t="n">
        <v>476043</v>
      </c>
      <c r="B48" s="8" t="s">
        <v>113</v>
      </c>
      <c r="C48" s="8" t="s">
        <v>1119</v>
      </c>
      <c r="D48" s="8" t="s">
        <v>483</v>
      </c>
      <c r="E48" s="8" t="s">
        <v>484</v>
      </c>
      <c r="F48" s="11" t="n">
        <f aca="false">SUMIFS(Itens!$K:$K,Itens!$C:$C,B48,Itens!$A:$A,D48)</f>
        <v>30</v>
      </c>
    </row>
    <row r="49" customFormat="false" ht="15" hidden="false" customHeight="false" outlineLevel="0" collapsed="false">
      <c r="A49" s="8" t="n">
        <v>476043</v>
      </c>
      <c r="B49" s="8" t="s">
        <v>114</v>
      </c>
      <c r="C49" s="8" t="s">
        <v>1119</v>
      </c>
      <c r="D49" s="8" t="s">
        <v>483</v>
      </c>
      <c r="E49" s="8" t="s">
        <v>484</v>
      </c>
      <c r="F49" s="11" t="n">
        <f aca="false">SUMIFS(Itens!$K:$K,Itens!$C:$C,B49,Itens!$A:$A,D49)</f>
        <v>30</v>
      </c>
    </row>
    <row r="50" customFormat="false" ht="15" hidden="false" customHeight="false" outlineLevel="0" collapsed="false">
      <c r="A50" s="8" t="n">
        <v>476043</v>
      </c>
      <c r="B50" s="8" t="s">
        <v>120</v>
      </c>
      <c r="C50" s="8" t="s">
        <v>1119</v>
      </c>
      <c r="D50" s="8" t="s">
        <v>499</v>
      </c>
      <c r="E50" s="8" t="s">
        <v>500</v>
      </c>
      <c r="F50" s="11" t="n">
        <f aca="false">SUMIFS(Itens!$K:$K,Itens!$C:$C,B50,Itens!$A:$A,D50)</f>
        <v>5</v>
      </c>
    </row>
    <row r="51" customFormat="false" ht="15" hidden="false" customHeight="false" outlineLevel="0" collapsed="false">
      <c r="A51" s="8" t="n">
        <v>476043</v>
      </c>
      <c r="B51" s="8" t="s">
        <v>121</v>
      </c>
      <c r="C51" s="8" t="s">
        <v>1119</v>
      </c>
      <c r="D51" s="8" t="s">
        <v>499</v>
      </c>
      <c r="E51" s="8" t="s">
        <v>500</v>
      </c>
      <c r="F51" s="11" t="n">
        <f aca="false">SUMIFS(Itens!$K:$K,Itens!$C:$C,B51,Itens!$A:$A,D51)</f>
        <v>5</v>
      </c>
    </row>
    <row r="52" customFormat="false" ht="15" hidden="false" customHeight="false" outlineLevel="0" collapsed="false">
      <c r="A52" s="8" t="n">
        <v>476043</v>
      </c>
      <c r="B52" s="8" t="s">
        <v>122</v>
      </c>
      <c r="C52" s="8" t="s">
        <v>1119</v>
      </c>
      <c r="D52" s="8" t="s">
        <v>499</v>
      </c>
      <c r="E52" s="8" t="s">
        <v>500</v>
      </c>
      <c r="F52" s="11" t="n">
        <f aca="false">SUMIFS(Itens!$K:$K,Itens!$C:$C,B52,Itens!$A:$A,D52)</f>
        <v>5</v>
      </c>
    </row>
    <row r="53" customFormat="false" ht="15" hidden="false" customHeight="false" outlineLevel="0" collapsed="false">
      <c r="A53" s="8" t="n">
        <v>476043</v>
      </c>
      <c r="B53" s="8" t="s">
        <v>123</v>
      </c>
      <c r="C53" s="8" t="s">
        <v>1119</v>
      </c>
      <c r="D53" s="8" t="s">
        <v>499</v>
      </c>
      <c r="E53" s="8" t="s">
        <v>500</v>
      </c>
      <c r="F53" s="11" t="n">
        <f aca="false">SUMIFS(Itens!$K:$K,Itens!$C:$C,B53,Itens!$A:$A,D53)</f>
        <v>5</v>
      </c>
    </row>
    <row r="54" customFormat="false" ht="15" hidden="false" customHeight="false" outlineLevel="0" collapsed="false">
      <c r="A54" s="8" t="n">
        <v>476043</v>
      </c>
      <c r="B54" s="8" t="s">
        <v>124</v>
      </c>
      <c r="C54" s="8" t="s">
        <v>1119</v>
      </c>
      <c r="D54" s="8" t="s">
        <v>501</v>
      </c>
      <c r="E54" s="8" t="s">
        <v>502</v>
      </c>
      <c r="F54" s="11" t="n">
        <f aca="false">SUMIFS(Itens!$K:$K,Itens!$C:$C,B54,Itens!$A:$A,D54)</f>
        <v>40</v>
      </c>
    </row>
    <row r="55" customFormat="false" ht="15" hidden="false" customHeight="false" outlineLevel="0" collapsed="false">
      <c r="A55" s="8" t="n">
        <v>476043</v>
      </c>
      <c r="B55" s="8" t="s">
        <v>125</v>
      </c>
      <c r="C55" s="8" t="s">
        <v>1119</v>
      </c>
      <c r="D55" s="8" t="s">
        <v>499</v>
      </c>
      <c r="E55" s="8" t="s">
        <v>500</v>
      </c>
      <c r="F55" s="11" t="n">
        <f aca="false">SUMIFS(Itens!$K:$K,Itens!$C:$C,B55,Itens!$A:$A,D55)</f>
        <v>5</v>
      </c>
    </row>
    <row r="56" customFormat="false" ht="15" hidden="false" customHeight="false" outlineLevel="0" collapsed="false">
      <c r="A56" s="8" t="n">
        <v>476043</v>
      </c>
      <c r="B56" s="8" t="s">
        <v>128</v>
      </c>
      <c r="C56" s="8" t="s">
        <v>1119</v>
      </c>
      <c r="D56" s="8" t="s">
        <v>499</v>
      </c>
      <c r="E56" s="8" t="s">
        <v>500</v>
      </c>
      <c r="F56" s="11" t="n">
        <f aca="false">SUMIFS(Itens!$K:$K,Itens!$C:$C,B56,Itens!$A:$A,D56)</f>
        <v>5</v>
      </c>
    </row>
    <row r="57" customFormat="false" ht="15" hidden="false" customHeight="false" outlineLevel="0" collapsed="false">
      <c r="A57" s="8" t="n">
        <v>476043</v>
      </c>
      <c r="B57" s="8" t="s">
        <v>129</v>
      </c>
      <c r="C57" s="8" t="s">
        <v>1119</v>
      </c>
      <c r="D57" s="8" t="s">
        <v>499</v>
      </c>
      <c r="E57" s="8" t="s">
        <v>500</v>
      </c>
      <c r="F57" s="11" t="n">
        <f aca="false">SUMIFS(Itens!$K:$K,Itens!$C:$C,B57,Itens!$A:$A,D57)</f>
        <v>5</v>
      </c>
    </row>
    <row r="58" customFormat="false" ht="15" hidden="false" customHeight="false" outlineLevel="0" collapsed="false">
      <c r="A58" s="8" t="n">
        <v>476043</v>
      </c>
      <c r="B58" s="8" t="s">
        <v>130</v>
      </c>
      <c r="C58" s="8" t="s">
        <v>1119</v>
      </c>
      <c r="D58" s="8" t="s">
        <v>499</v>
      </c>
      <c r="E58" s="8" t="s">
        <v>500</v>
      </c>
      <c r="F58" s="11" t="n">
        <f aca="false">SUMIFS(Itens!$K:$K,Itens!$C:$C,B58,Itens!$A:$A,D58)</f>
        <v>5</v>
      </c>
    </row>
    <row r="59" customFormat="false" ht="15" hidden="false" customHeight="false" outlineLevel="0" collapsed="false">
      <c r="A59" s="8" t="n">
        <v>476043</v>
      </c>
      <c r="B59" s="8" t="s">
        <v>132</v>
      </c>
      <c r="C59" s="8" t="s">
        <v>1119</v>
      </c>
      <c r="D59" s="8" t="s">
        <v>499</v>
      </c>
      <c r="E59" s="8" t="s">
        <v>500</v>
      </c>
      <c r="F59" s="11" t="n">
        <f aca="false">SUMIFS(Itens!$K:$K,Itens!$C:$C,B59,Itens!$A:$A,D59)</f>
        <v>5</v>
      </c>
    </row>
    <row r="60" customFormat="false" ht="15" hidden="false" customHeight="false" outlineLevel="0" collapsed="false">
      <c r="A60" s="8" t="n">
        <v>476043</v>
      </c>
      <c r="B60" s="8" t="s">
        <v>137</v>
      </c>
      <c r="C60" s="8" t="s">
        <v>1119</v>
      </c>
      <c r="D60" s="8" t="s">
        <v>499</v>
      </c>
      <c r="E60" s="8" t="s">
        <v>500</v>
      </c>
      <c r="F60" s="11" t="n">
        <f aca="false">SUMIFS(Itens!$K:$K,Itens!$C:$C,B60,Itens!$A:$A,D60)</f>
        <v>5</v>
      </c>
    </row>
    <row r="61" customFormat="false" ht="15" hidden="false" customHeight="false" outlineLevel="0" collapsed="false">
      <c r="A61" s="8" t="n">
        <v>476043</v>
      </c>
      <c r="B61" s="8" t="s">
        <v>148</v>
      </c>
      <c r="C61" s="8" t="s">
        <v>1118</v>
      </c>
      <c r="D61" s="8" t="s">
        <v>499</v>
      </c>
      <c r="E61" s="8" t="s">
        <v>500</v>
      </c>
      <c r="F61" s="11" t="n">
        <f aca="false">SUMIFS(Itens!$K:$K,Itens!$C:$C,B61,Itens!$A:$A,D61)</f>
        <v>2</v>
      </c>
    </row>
    <row r="62" customFormat="false" ht="15" hidden="false" customHeight="false" outlineLevel="0" collapsed="false">
      <c r="A62" s="8" t="n">
        <v>476043</v>
      </c>
      <c r="B62" s="8" t="s">
        <v>149</v>
      </c>
      <c r="C62" s="8" t="s">
        <v>1119</v>
      </c>
      <c r="D62" s="8" t="s">
        <v>499</v>
      </c>
      <c r="E62" s="8" t="s">
        <v>500</v>
      </c>
      <c r="F62" s="11" t="n">
        <f aca="false">SUMIFS(Itens!$K:$K,Itens!$C:$C,B62,Itens!$A:$A,D62)</f>
        <v>5</v>
      </c>
    </row>
    <row r="63" customFormat="false" ht="15" hidden="false" customHeight="false" outlineLevel="0" collapsed="false">
      <c r="A63" s="8" t="n">
        <v>476043</v>
      </c>
      <c r="B63" s="8" t="s">
        <v>150</v>
      </c>
      <c r="C63" s="8" t="s">
        <v>1119</v>
      </c>
      <c r="D63" s="8" t="s">
        <v>499</v>
      </c>
      <c r="E63" s="8" t="s">
        <v>500</v>
      </c>
      <c r="F63" s="11" t="n">
        <f aca="false">SUMIFS(Itens!$K:$K,Itens!$C:$C,B63,Itens!$A:$A,D63)</f>
        <v>5</v>
      </c>
    </row>
    <row r="64" customFormat="false" ht="15" hidden="false" customHeight="false" outlineLevel="0" collapsed="false">
      <c r="A64" s="8" t="n">
        <v>476043</v>
      </c>
      <c r="B64" s="8" t="s">
        <v>153</v>
      </c>
      <c r="C64" s="8" t="s">
        <v>1119</v>
      </c>
      <c r="D64" s="8" t="s">
        <v>499</v>
      </c>
      <c r="E64" s="8" t="s">
        <v>500</v>
      </c>
      <c r="F64" s="11" t="n">
        <f aca="false">SUMIFS(Itens!$K:$K,Itens!$C:$C,B64,Itens!$A:$A,D64)</f>
        <v>5</v>
      </c>
    </row>
    <row r="65" customFormat="false" ht="15" hidden="false" customHeight="false" outlineLevel="0" collapsed="false">
      <c r="A65" s="8" t="n">
        <v>476043</v>
      </c>
      <c r="B65" s="8" t="s">
        <v>157</v>
      </c>
      <c r="C65" s="8" t="s">
        <v>1119</v>
      </c>
      <c r="D65" s="8" t="s">
        <v>499</v>
      </c>
      <c r="E65" s="8" t="s">
        <v>500</v>
      </c>
      <c r="F65" s="11" t="n">
        <f aca="false">SUMIFS(Itens!$K:$K,Itens!$C:$C,B65,Itens!$A:$A,D65)</f>
        <v>5</v>
      </c>
    </row>
    <row r="66" customFormat="false" ht="15" hidden="false" customHeight="false" outlineLevel="0" collapsed="false">
      <c r="A66" s="8" t="n">
        <v>476043</v>
      </c>
      <c r="B66" s="8" t="s">
        <v>164</v>
      </c>
      <c r="C66" s="8" t="s">
        <v>1118</v>
      </c>
      <c r="D66" s="8" t="s">
        <v>515</v>
      </c>
      <c r="E66" s="8" t="s">
        <v>516</v>
      </c>
      <c r="F66" s="11" t="n">
        <f aca="false">SUMIFS(Itens!$K:$K,Itens!$C:$C,B66,Itens!$A:$A,D66)</f>
        <v>35</v>
      </c>
    </row>
    <row r="67" customFormat="false" ht="15" hidden="false" customHeight="false" outlineLevel="0" collapsed="false">
      <c r="A67" s="8" t="n">
        <v>476043</v>
      </c>
      <c r="B67" s="8" t="s">
        <v>165</v>
      </c>
      <c r="C67" s="8" t="s">
        <v>1119</v>
      </c>
      <c r="D67" s="8" t="s">
        <v>515</v>
      </c>
      <c r="E67" s="8" t="s">
        <v>516</v>
      </c>
      <c r="F67" s="11" t="n">
        <f aca="false">SUMIFS(Itens!$K:$K,Itens!$C:$C,B67,Itens!$A:$A,D67)</f>
        <v>36</v>
      </c>
    </row>
    <row r="68" customFormat="false" ht="15" hidden="false" customHeight="false" outlineLevel="0" collapsed="false">
      <c r="A68" s="8" t="n">
        <v>476043</v>
      </c>
      <c r="B68" s="8" t="s">
        <v>168</v>
      </c>
      <c r="C68" s="8" t="s">
        <v>1119</v>
      </c>
      <c r="D68" s="8" t="s">
        <v>525</v>
      </c>
      <c r="E68" s="8" t="s">
        <v>526</v>
      </c>
      <c r="F68" s="11" t="n">
        <f aca="false">SUMIFS(Itens!$K:$K,Itens!$C:$C,B68,Itens!$A:$A,D68)</f>
        <v>22</v>
      </c>
    </row>
    <row r="69" customFormat="false" ht="15" hidden="false" customHeight="false" outlineLevel="0" collapsed="false">
      <c r="A69" s="8" t="n">
        <v>476043</v>
      </c>
      <c r="B69" s="8" t="s">
        <v>169</v>
      </c>
      <c r="C69" s="8" t="s">
        <v>1119</v>
      </c>
      <c r="D69" s="8" t="s">
        <v>525</v>
      </c>
      <c r="E69" s="8" t="s">
        <v>526</v>
      </c>
      <c r="F69" s="11" t="n">
        <f aca="false">SUMIFS(Itens!$K:$K,Itens!$C:$C,B69,Itens!$A:$A,D69)</f>
        <v>22</v>
      </c>
    </row>
    <row r="70" customFormat="false" ht="15" hidden="false" customHeight="false" outlineLevel="0" collapsed="false">
      <c r="A70" s="8" t="n">
        <v>476043</v>
      </c>
      <c r="B70" s="8" t="s">
        <v>172</v>
      </c>
      <c r="C70" s="8" t="s">
        <v>1119</v>
      </c>
      <c r="D70" s="8" t="s">
        <v>525</v>
      </c>
      <c r="E70" s="8" t="s">
        <v>526</v>
      </c>
      <c r="F70" s="11" t="n">
        <f aca="false">SUMIFS(Itens!$K:$K,Itens!$C:$C,B70,Itens!$A:$A,D70)</f>
        <v>22</v>
      </c>
    </row>
    <row r="71" customFormat="false" ht="15" hidden="false" customHeight="false" outlineLevel="0" collapsed="false">
      <c r="A71" s="8" t="n">
        <v>476043</v>
      </c>
      <c r="B71" s="8" t="s">
        <v>173</v>
      </c>
      <c r="C71" s="8" t="s">
        <v>1118</v>
      </c>
      <c r="D71" s="8" t="s">
        <v>525</v>
      </c>
      <c r="E71" s="8" t="s">
        <v>526</v>
      </c>
      <c r="F71" s="11" t="n">
        <f aca="false">SUMIFS(Itens!$K:$K,Itens!$C:$C,B71,Itens!$A:$A,D71)</f>
        <v>21</v>
      </c>
    </row>
    <row r="72" customFormat="false" ht="15" hidden="false" customHeight="false" outlineLevel="0" collapsed="false">
      <c r="A72" s="8" t="n">
        <v>476043</v>
      </c>
      <c r="B72" s="8" t="s">
        <v>174</v>
      </c>
      <c r="C72" s="8" t="s">
        <v>1118</v>
      </c>
      <c r="D72" s="8" t="s">
        <v>523</v>
      </c>
      <c r="E72" s="8" t="s">
        <v>524</v>
      </c>
      <c r="F72" s="11" t="n">
        <f aca="false">SUMIFS(Itens!$K:$K,Itens!$C:$C,B72,Itens!$A:$A,D72)</f>
        <v>4</v>
      </c>
    </row>
    <row r="73" customFormat="false" ht="15" hidden="false" customHeight="false" outlineLevel="0" collapsed="false">
      <c r="A73" s="8" t="n">
        <v>476043</v>
      </c>
      <c r="B73" s="8" t="s">
        <v>178</v>
      </c>
      <c r="C73" s="8" t="s">
        <v>1119</v>
      </c>
      <c r="D73" s="8" t="s">
        <v>527</v>
      </c>
      <c r="E73" s="8" t="s">
        <v>528</v>
      </c>
      <c r="F73" s="11" t="n">
        <f aca="false">SUMIFS(Itens!$K:$K,Itens!$C:$C,B73,Itens!$A:$A,D73)</f>
        <v>20</v>
      </c>
    </row>
    <row r="74" customFormat="false" ht="15" hidden="false" customHeight="false" outlineLevel="0" collapsed="false">
      <c r="A74" s="8" t="n">
        <v>476043</v>
      </c>
      <c r="B74" s="8" t="s">
        <v>183</v>
      </c>
      <c r="C74" s="8" t="s">
        <v>1119</v>
      </c>
      <c r="D74" s="8" t="s">
        <v>523</v>
      </c>
      <c r="E74" s="8" t="s">
        <v>524</v>
      </c>
      <c r="F74" s="11" t="n">
        <f aca="false">SUMIFS(Itens!$K:$K,Itens!$C:$C,B74,Itens!$A:$A,D74)</f>
        <v>22</v>
      </c>
    </row>
    <row r="75" customFormat="false" ht="15" hidden="false" customHeight="false" outlineLevel="0" collapsed="false">
      <c r="A75" s="8" t="n">
        <v>476043</v>
      </c>
      <c r="B75" s="8" t="s">
        <v>184</v>
      </c>
      <c r="C75" s="8" t="s">
        <v>1119</v>
      </c>
      <c r="D75" s="8" t="s">
        <v>523</v>
      </c>
      <c r="E75" s="8" t="s">
        <v>524</v>
      </c>
      <c r="F75" s="11" t="n">
        <f aca="false">SUMIFS(Itens!$K:$K,Itens!$C:$C,B75,Itens!$A:$A,D75)</f>
        <v>22</v>
      </c>
    </row>
    <row r="76" customFormat="false" ht="15" hidden="false" customHeight="false" outlineLevel="0" collapsed="false">
      <c r="A76" s="8" t="n">
        <v>476043</v>
      </c>
      <c r="B76" s="8" t="s">
        <v>185</v>
      </c>
      <c r="C76" s="8" t="s">
        <v>1119</v>
      </c>
      <c r="D76" s="8" t="s">
        <v>533</v>
      </c>
      <c r="E76" s="8" t="s">
        <v>534</v>
      </c>
      <c r="F76" s="11" t="n">
        <f aca="false">SUMIFS(Itens!$K:$K,Itens!$C:$C,B76,Itens!$A:$A,D76)</f>
        <v>24</v>
      </c>
    </row>
    <row r="77" customFormat="false" ht="15" hidden="false" customHeight="false" outlineLevel="0" collapsed="false">
      <c r="A77" s="8" t="n">
        <v>476043</v>
      </c>
      <c r="B77" s="8" t="s">
        <v>186</v>
      </c>
      <c r="C77" s="8" t="s">
        <v>1118</v>
      </c>
      <c r="D77" s="8" t="s">
        <v>533</v>
      </c>
      <c r="E77" s="8" t="s">
        <v>534</v>
      </c>
      <c r="F77" s="11" t="n">
        <f aca="false">SUMIFS(Itens!$K:$K,Itens!$C:$C,B77,Itens!$A:$A,D77)</f>
        <v>5</v>
      </c>
    </row>
    <row r="78" customFormat="false" ht="15" hidden="false" customHeight="false" outlineLevel="0" collapsed="false">
      <c r="A78" s="8" t="n">
        <v>476043</v>
      </c>
      <c r="B78" s="8" t="s">
        <v>187</v>
      </c>
      <c r="C78" s="8" t="s">
        <v>1119</v>
      </c>
      <c r="D78" s="8" t="s">
        <v>537</v>
      </c>
      <c r="E78" s="8" t="s">
        <v>538</v>
      </c>
      <c r="F78" s="11" t="n">
        <f aca="false">SUMIFS(Itens!$K:$K,Itens!$C:$C,B78,Itens!$A:$A,D78)</f>
        <v>18</v>
      </c>
    </row>
    <row r="79" customFormat="false" ht="15" hidden="false" customHeight="false" outlineLevel="0" collapsed="false">
      <c r="A79" s="8" t="n">
        <v>476043</v>
      </c>
      <c r="B79" s="8" t="s">
        <v>188</v>
      </c>
      <c r="C79" s="8" t="s">
        <v>1119</v>
      </c>
      <c r="D79" s="8" t="s">
        <v>537</v>
      </c>
      <c r="E79" s="8" t="s">
        <v>538</v>
      </c>
      <c r="F79" s="11" t="n">
        <f aca="false">SUMIFS(Itens!$K:$K,Itens!$C:$C,B79,Itens!$A:$A,D79)</f>
        <v>18</v>
      </c>
    </row>
    <row r="80" customFormat="false" ht="15" hidden="false" customHeight="false" outlineLevel="0" collapsed="false">
      <c r="A80" s="8" t="n">
        <v>476043</v>
      </c>
      <c r="B80" s="8" t="s">
        <v>189</v>
      </c>
      <c r="C80" s="8" t="s">
        <v>1119</v>
      </c>
      <c r="D80" s="8" t="s">
        <v>537</v>
      </c>
      <c r="E80" s="8" t="s">
        <v>538</v>
      </c>
      <c r="F80" s="11" t="n">
        <f aca="false">SUMIFS(Itens!$K:$K,Itens!$C:$C,B80,Itens!$A:$A,D80)</f>
        <v>18</v>
      </c>
    </row>
    <row r="81" customFormat="false" ht="15" hidden="false" customHeight="false" outlineLevel="0" collapsed="false">
      <c r="A81" s="8" t="n">
        <v>476043</v>
      </c>
      <c r="B81" s="8" t="s">
        <v>190</v>
      </c>
      <c r="C81" s="8" t="s">
        <v>1118</v>
      </c>
      <c r="D81" s="8" t="s">
        <v>527</v>
      </c>
      <c r="E81" s="8" t="s">
        <v>528</v>
      </c>
      <c r="F81" s="11" t="n">
        <f aca="false">SUMIFS(Itens!$K:$K,Itens!$C:$C,B81,Itens!$A:$A,D81)</f>
        <v>15</v>
      </c>
    </row>
    <row r="82" customFormat="false" ht="15" hidden="false" customHeight="false" outlineLevel="0" collapsed="false">
      <c r="A82" s="8" t="n">
        <v>476043</v>
      </c>
      <c r="B82" s="8" t="s">
        <v>191</v>
      </c>
      <c r="C82" s="8" t="s">
        <v>1119</v>
      </c>
      <c r="D82" s="8" t="s">
        <v>539</v>
      </c>
      <c r="E82" s="8" t="s">
        <v>540</v>
      </c>
      <c r="F82" s="11" t="n">
        <f aca="false">SUMIFS(Itens!$K:$K,Itens!$C:$C,B82,Itens!$A:$A,D82)</f>
        <v>60</v>
      </c>
    </row>
    <row r="83" customFormat="false" ht="15" hidden="false" customHeight="false" outlineLevel="0" collapsed="false">
      <c r="A83" s="8" t="n">
        <v>476043</v>
      </c>
      <c r="B83" s="8" t="s">
        <v>192</v>
      </c>
      <c r="C83" s="8" t="s">
        <v>1118</v>
      </c>
      <c r="D83" s="8" t="s">
        <v>543</v>
      </c>
      <c r="E83" s="8" t="s">
        <v>544</v>
      </c>
      <c r="F83" s="11" t="n">
        <f aca="false">SUMIFS(Itens!$K:$K,Itens!$C:$C,B83,Itens!$A:$A,D83)</f>
        <v>21</v>
      </c>
    </row>
    <row r="84" customFormat="false" ht="15" hidden="false" customHeight="false" outlineLevel="0" collapsed="false">
      <c r="A84" s="8" t="n">
        <v>476043</v>
      </c>
      <c r="B84" s="8" t="s">
        <v>193</v>
      </c>
      <c r="C84" s="8" t="s">
        <v>1119</v>
      </c>
      <c r="D84" s="8" t="s">
        <v>543</v>
      </c>
      <c r="E84" s="8" t="s">
        <v>544</v>
      </c>
      <c r="F84" s="11" t="n">
        <f aca="false">SUMIFS(Itens!$K:$K,Itens!$C:$C,B84,Itens!$A:$A,D84)</f>
        <v>44</v>
      </c>
    </row>
    <row r="85" customFormat="false" ht="15" hidden="false" customHeight="false" outlineLevel="0" collapsed="false">
      <c r="A85" s="8" t="n">
        <v>476043</v>
      </c>
      <c r="B85" s="8" t="s">
        <v>194</v>
      </c>
      <c r="C85" s="8" t="s">
        <v>1119</v>
      </c>
      <c r="D85" s="8" t="s">
        <v>539</v>
      </c>
      <c r="E85" s="8" t="s">
        <v>540</v>
      </c>
      <c r="F85" s="11" t="n">
        <f aca="false">SUMIFS(Itens!$K:$K,Itens!$C:$C,B85,Itens!$A:$A,D85)</f>
        <v>60</v>
      </c>
    </row>
    <row r="86" customFormat="false" ht="15" hidden="false" customHeight="false" outlineLevel="0" collapsed="false">
      <c r="A86" s="8" t="n">
        <v>476043</v>
      </c>
      <c r="B86" s="8" t="s">
        <v>195</v>
      </c>
      <c r="C86" s="8" t="s">
        <v>1118</v>
      </c>
      <c r="D86" s="8" t="s">
        <v>539</v>
      </c>
      <c r="E86" s="8" t="s">
        <v>540</v>
      </c>
      <c r="F86" s="11" t="n">
        <f aca="false">SUMIFS(Itens!$K:$K,Itens!$C:$C,B86,Itens!$A:$A,D86)</f>
        <v>46</v>
      </c>
    </row>
    <row r="87" customFormat="false" ht="15" hidden="false" customHeight="false" outlineLevel="0" collapsed="false">
      <c r="A87" s="8" t="n">
        <v>476043</v>
      </c>
      <c r="B87" s="8" t="s">
        <v>198</v>
      </c>
      <c r="C87" s="8" t="s">
        <v>1118</v>
      </c>
      <c r="D87" s="8" t="s">
        <v>549</v>
      </c>
      <c r="E87" s="8" t="s">
        <v>550</v>
      </c>
      <c r="F87" s="11" t="n">
        <f aca="false">SUMIFS(Itens!$K:$K,Itens!$C:$C,B87,Itens!$A:$A,D87)</f>
        <v>15</v>
      </c>
    </row>
    <row r="88" customFormat="false" ht="15" hidden="false" customHeight="false" outlineLevel="0" collapsed="false">
      <c r="A88" s="8" t="n">
        <v>476043</v>
      </c>
      <c r="B88" s="8" t="s">
        <v>203</v>
      </c>
      <c r="C88" s="8" t="s">
        <v>1118</v>
      </c>
      <c r="D88" s="8" t="s">
        <v>555</v>
      </c>
      <c r="E88" s="8" t="s">
        <v>556</v>
      </c>
      <c r="F88" s="11" t="n">
        <f aca="false">SUMIFS(Itens!$K:$K,Itens!$C:$C,B88,Itens!$A:$A,D88)</f>
        <v>20</v>
      </c>
    </row>
    <row r="89" customFormat="false" ht="15" hidden="false" customHeight="false" outlineLevel="0" collapsed="false">
      <c r="A89" s="8" t="n">
        <v>476043</v>
      </c>
      <c r="B89" s="8" t="s">
        <v>215</v>
      </c>
      <c r="C89" s="8" t="s">
        <v>1118</v>
      </c>
      <c r="D89" s="8" t="s">
        <v>561</v>
      </c>
      <c r="E89" s="8" t="s">
        <v>562</v>
      </c>
      <c r="F89" s="11" t="n">
        <f aca="false">SUMIFS(Itens!$K:$K,Itens!$C:$C,B89,Itens!$A:$A,D89)</f>
        <v>22</v>
      </c>
    </row>
    <row r="90" customFormat="false" ht="15" hidden="false" customHeight="false" outlineLevel="0" collapsed="false">
      <c r="A90" s="8" t="n">
        <v>476043</v>
      </c>
      <c r="B90" s="8" t="s">
        <v>220</v>
      </c>
      <c r="C90" s="8" t="s">
        <v>1118</v>
      </c>
      <c r="D90" s="8" t="s">
        <v>563</v>
      </c>
      <c r="E90" s="8" t="s">
        <v>564</v>
      </c>
      <c r="F90" s="11" t="n">
        <f aca="false">SUMIFS(Itens!$K:$K,Itens!$C:$C,B90,Itens!$A:$A,D90)</f>
        <v>5</v>
      </c>
    </row>
    <row r="91" customFormat="false" ht="15" hidden="false" customHeight="false" outlineLevel="0" collapsed="false">
      <c r="A91" s="8" t="n">
        <v>476043</v>
      </c>
      <c r="B91" s="8" t="s">
        <v>221</v>
      </c>
      <c r="C91" s="8" t="s">
        <v>1118</v>
      </c>
      <c r="D91" s="8" t="s">
        <v>563</v>
      </c>
      <c r="E91" s="8" t="s">
        <v>564</v>
      </c>
      <c r="F91" s="11" t="n">
        <f aca="false">SUMIFS(Itens!$K:$K,Itens!$C:$C,B91,Itens!$A:$A,D91)</f>
        <v>46</v>
      </c>
    </row>
    <row r="92" customFormat="false" ht="15" hidden="false" customHeight="false" outlineLevel="0" collapsed="false">
      <c r="A92" s="8" t="n">
        <v>476043</v>
      </c>
      <c r="B92" s="8" t="s">
        <v>222</v>
      </c>
      <c r="C92" s="8" t="s">
        <v>1119</v>
      </c>
      <c r="D92" s="8" t="s">
        <v>563</v>
      </c>
      <c r="E92" s="8" t="s">
        <v>564</v>
      </c>
      <c r="F92" s="11" t="n">
        <f aca="false">SUMIFS(Itens!$K:$K,Itens!$C:$C,B92,Itens!$A:$A,D92)</f>
        <v>46</v>
      </c>
    </row>
    <row r="93" customFormat="false" ht="15" hidden="false" customHeight="false" outlineLevel="0" collapsed="false">
      <c r="A93" s="8" t="n">
        <v>476043</v>
      </c>
      <c r="B93" s="8" t="s">
        <v>228</v>
      </c>
      <c r="C93" s="8" t="s">
        <v>1119</v>
      </c>
      <c r="D93" s="8" t="s">
        <v>583</v>
      </c>
      <c r="E93" s="8" t="s">
        <v>584</v>
      </c>
      <c r="F93" s="11" t="n">
        <f aca="false">SUMIFS(Itens!$K:$K,Itens!$C:$C,B93,Itens!$A:$A,D93)</f>
        <v>24</v>
      </c>
    </row>
    <row r="94" customFormat="false" ht="15" hidden="false" customHeight="false" outlineLevel="0" collapsed="false">
      <c r="A94" s="8" t="n">
        <v>476043</v>
      </c>
      <c r="B94" s="8" t="s">
        <v>229</v>
      </c>
      <c r="C94" s="8" t="s">
        <v>1119</v>
      </c>
      <c r="D94" s="8" t="s">
        <v>583</v>
      </c>
      <c r="E94" s="8" t="s">
        <v>584</v>
      </c>
      <c r="F94" s="11" t="n">
        <f aca="false">SUMIFS(Itens!$K:$K,Itens!$C:$C,B94,Itens!$A:$A,D94)</f>
        <v>24</v>
      </c>
    </row>
    <row r="95" customFormat="false" ht="15" hidden="false" customHeight="false" outlineLevel="0" collapsed="false">
      <c r="A95" s="8" t="n">
        <v>476043</v>
      </c>
      <c r="B95" s="8" t="s">
        <v>232</v>
      </c>
      <c r="C95" s="8" t="s">
        <v>1119</v>
      </c>
      <c r="D95" s="8" t="s">
        <v>585</v>
      </c>
      <c r="E95" s="8" t="s">
        <v>586</v>
      </c>
      <c r="F95" s="11" t="n">
        <f aca="false">SUMIFS(Itens!$K:$K,Itens!$C:$C,B95,Itens!$A:$A,D95)</f>
        <v>30</v>
      </c>
    </row>
    <row r="96" customFormat="false" ht="15" hidden="false" customHeight="false" outlineLevel="0" collapsed="false">
      <c r="A96" s="8" t="n">
        <v>476043</v>
      </c>
      <c r="B96" s="8" t="s">
        <v>233</v>
      </c>
      <c r="C96" s="8" t="s">
        <v>1119</v>
      </c>
      <c r="D96" s="8" t="s">
        <v>585</v>
      </c>
      <c r="E96" s="8" t="s">
        <v>586</v>
      </c>
      <c r="F96" s="11" t="n">
        <f aca="false">SUMIFS(Itens!$K:$K,Itens!$C:$C,B96,Itens!$A:$A,D96)</f>
        <v>30</v>
      </c>
    </row>
    <row r="97" customFormat="false" ht="15" hidden="false" customHeight="false" outlineLevel="0" collapsed="false">
      <c r="A97" s="8" t="n">
        <v>476043</v>
      </c>
      <c r="B97" s="8" t="s">
        <v>234</v>
      </c>
      <c r="C97" s="8" t="s">
        <v>1119</v>
      </c>
      <c r="D97" s="8" t="s">
        <v>583</v>
      </c>
      <c r="E97" s="8" t="s">
        <v>584</v>
      </c>
      <c r="F97" s="11" t="n">
        <f aca="false">SUMIFS(Itens!$K:$K,Itens!$C:$C,B97,Itens!$A:$A,D97)</f>
        <v>24</v>
      </c>
    </row>
    <row r="98" customFormat="false" ht="15" hidden="false" customHeight="false" outlineLevel="0" collapsed="false">
      <c r="A98" s="8" t="n">
        <v>476043</v>
      </c>
      <c r="B98" s="8" t="s">
        <v>235</v>
      </c>
      <c r="C98" s="8" t="s">
        <v>1119</v>
      </c>
      <c r="D98" s="8" t="s">
        <v>583</v>
      </c>
      <c r="E98" s="8" t="s">
        <v>584</v>
      </c>
      <c r="F98" s="11" t="n">
        <f aca="false">SUMIFS(Itens!$K:$K,Itens!$C:$C,B98,Itens!$A:$A,D98)</f>
        <v>24</v>
      </c>
    </row>
    <row r="99" customFormat="false" ht="15" hidden="false" customHeight="false" outlineLevel="0" collapsed="false">
      <c r="A99" s="8" t="n">
        <v>476043</v>
      </c>
      <c r="B99" s="8" t="s">
        <v>238</v>
      </c>
      <c r="C99" s="8" t="s">
        <v>1119</v>
      </c>
      <c r="D99" s="8" t="s">
        <v>585</v>
      </c>
      <c r="E99" s="8" t="s">
        <v>586</v>
      </c>
      <c r="F99" s="11" t="n">
        <f aca="false">SUMIFS(Itens!$K:$K,Itens!$C:$C,B99,Itens!$A:$A,D99)</f>
        <v>30</v>
      </c>
    </row>
    <row r="100" customFormat="false" ht="15" hidden="false" customHeight="false" outlineLevel="0" collapsed="false">
      <c r="A100" s="8" t="n">
        <v>476043</v>
      </c>
      <c r="B100" s="8" t="s">
        <v>241</v>
      </c>
      <c r="C100" s="8" t="s">
        <v>1118</v>
      </c>
      <c r="D100" s="8" t="s">
        <v>561</v>
      </c>
      <c r="E100" s="8" t="s">
        <v>562</v>
      </c>
      <c r="F100" s="11" t="n">
        <f aca="false">SUMIFS(Itens!$K:$K,Itens!$C:$C,B100,Itens!$A:$A,D100)</f>
        <v>22</v>
      </c>
    </row>
    <row r="101" customFormat="false" ht="15" hidden="false" customHeight="false" outlineLevel="0" collapsed="false">
      <c r="A101" s="8" t="n">
        <v>476043</v>
      </c>
      <c r="B101" s="8" t="s">
        <v>243</v>
      </c>
      <c r="C101" s="8" t="s">
        <v>1118</v>
      </c>
      <c r="D101" s="8" t="s">
        <v>561</v>
      </c>
      <c r="E101" s="8" t="s">
        <v>562</v>
      </c>
      <c r="F101" s="11" t="n">
        <f aca="false">SUMIFS(Itens!$K:$K,Itens!$C:$C,B101,Itens!$A:$A,D101)</f>
        <v>22</v>
      </c>
    </row>
    <row r="102" customFormat="false" ht="15" hidden="false" customHeight="false" outlineLevel="0" collapsed="false">
      <c r="A102" s="8" t="n">
        <v>476043</v>
      </c>
      <c r="B102" s="8" t="s">
        <v>244</v>
      </c>
      <c r="C102" s="8" t="s">
        <v>1118</v>
      </c>
      <c r="D102" s="8" t="s">
        <v>561</v>
      </c>
      <c r="E102" s="8" t="s">
        <v>562</v>
      </c>
      <c r="F102" s="11" t="n">
        <f aca="false">SUMIFS(Itens!$K:$K,Itens!$C:$C,B102,Itens!$A:$A,D102)</f>
        <v>22</v>
      </c>
    </row>
    <row r="103" customFormat="false" ht="15" hidden="false" customHeight="false" outlineLevel="0" collapsed="false">
      <c r="A103" s="8" t="n">
        <v>476043</v>
      </c>
      <c r="B103" s="8" t="s">
        <v>245</v>
      </c>
      <c r="C103" s="8" t="s">
        <v>1118</v>
      </c>
      <c r="D103" s="8" t="s">
        <v>561</v>
      </c>
      <c r="E103" s="8" t="s">
        <v>562</v>
      </c>
      <c r="F103" s="11" t="n">
        <f aca="false">SUMIFS(Itens!$K:$K,Itens!$C:$C,B103,Itens!$A:$A,D103)</f>
        <v>22</v>
      </c>
    </row>
    <row r="104" customFormat="false" ht="15" hidden="false" customHeight="false" outlineLevel="0" collapsed="false">
      <c r="A104" s="8" t="n">
        <v>476043</v>
      </c>
      <c r="B104" s="8" t="s">
        <v>246</v>
      </c>
      <c r="C104" s="8" t="s">
        <v>1118</v>
      </c>
      <c r="D104" s="8" t="s">
        <v>561</v>
      </c>
      <c r="E104" s="8" t="s">
        <v>562</v>
      </c>
      <c r="F104" s="11" t="n">
        <f aca="false">SUMIFS(Itens!$K:$K,Itens!$C:$C,B104,Itens!$A:$A,D104)</f>
        <v>22</v>
      </c>
    </row>
    <row r="105" customFormat="false" ht="15" hidden="false" customHeight="false" outlineLevel="0" collapsed="false">
      <c r="A105" s="8" t="n">
        <v>476043</v>
      </c>
      <c r="B105" s="8" t="s">
        <v>247</v>
      </c>
      <c r="C105" s="8" t="s">
        <v>1118</v>
      </c>
      <c r="D105" s="8" t="s">
        <v>583</v>
      </c>
      <c r="E105" s="8" t="s">
        <v>584</v>
      </c>
      <c r="F105" s="11" t="n">
        <f aca="false">SUMIFS(Itens!$K:$K,Itens!$C:$C,B105,Itens!$A:$A,D105)</f>
        <v>14</v>
      </c>
    </row>
    <row r="106" customFormat="false" ht="15" hidden="false" customHeight="false" outlineLevel="0" collapsed="false">
      <c r="A106" s="8" t="n">
        <v>476043</v>
      </c>
      <c r="B106" s="8" t="s">
        <v>248</v>
      </c>
      <c r="C106" s="8" t="s">
        <v>1118</v>
      </c>
      <c r="D106" s="8" t="s">
        <v>501</v>
      </c>
      <c r="E106" s="8" t="s">
        <v>502</v>
      </c>
      <c r="F106" s="11" t="n">
        <f aca="false">SUMIFS(Itens!$K:$K,Itens!$C:$C,B106,Itens!$A:$A,D106)</f>
        <v>21</v>
      </c>
    </row>
    <row r="107" customFormat="false" ht="15" hidden="false" customHeight="false" outlineLevel="0" collapsed="false">
      <c r="A107" s="8" t="n">
        <v>476043</v>
      </c>
      <c r="B107" s="8" t="s">
        <v>252</v>
      </c>
      <c r="C107" s="8" t="s">
        <v>1118</v>
      </c>
      <c r="D107" s="8" t="s">
        <v>603</v>
      </c>
      <c r="E107" s="8" t="s">
        <v>604</v>
      </c>
      <c r="F107" s="11" t="n">
        <f aca="false">SUMIFS(Itens!$K:$K,Itens!$C:$C,B107,Itens!$A:$A,D107)</f>
        <v>66</v>
      </c>
    </row>
    <row r="108" customFormat="false" ht="15" hidden="false" customHeight="false" outlineLevel="0" collapsed="false">
      <c r="A108" s="8" t="n">
        <v>476043</v>
      </c>
      <c r="B108" s="8" t="s">
        <v>253</v>
      </c>
      <c r="C108" s="8" t="s">
        <v>1118</v>
      </c>
      <c r="D108" s="8" t="s">
        <v>605</v>
      </c>
      <c r="E108" s="8" t="s">
        <v>606</v>
      </c>
      <c r="F108" s="11" t="n">
        <f aca="false">SUMIFS(Itens!$K:$K,Itens!$C:$C,B108,Itens!$A:$A,D108)</f>
        <v>7</v>
      </c>
    </row>
    <row r="109" customFormat="false" ht="15" hidden="false" customHeight="false" outlineLevel="0" collapsed="false">
      <c r="A109" s="8" t="n">
        <v>476043</v>
      </c>
      <c r="B109" s="8" t="s">
        <v>255</v>
      </c>
      <c r="C109" s="8" t="s">
        <v>1119</v>
      </c>
      <c r="D109" s="8" t="s">
        <v>605</v>
      </c>
      <c r="E109" s="8" t="s">
        <v>606</v>
      </c>
      <c r="F109" s="11" t="n">
        <f aca="false">SUMIFS(Itens!$K:$K,Itens!$C:$C,B109,Itens!$A:$A,D109)</f>
        <v>7</v>
      </c>
    </row>
    <row r="110" customFormat="false" ht="15" hidden="false" customHeight="false" outlineLevel="0" collapsed="false">
      <c r="A110" s="8" t="n">
        <v>476043</v>
      </c>
      <c r="B110" s="8" t="s">
        <v>256</v>
      </c>
      <c r="C110" s="8" t="s">
        <v>1119</v>
      </c>
      <c r="D110" s="8" t="s">
        <v>605</v>
      </c>
      <c r="E110" s="8" t="s">
        <v>606</v>
      </c>
      <c r="F110" s="11" t="n">
        <f aca="false">SUMIFS(Itens!$K:$K,Itens!$C:$C,B110,Itens!$A:$A,D110)</f>
        <v>7</v>
      </c>
    </row>
    <row r="111" customFormat="false" ht="15" hidden="false" customHeight="false" outlineLevel="0" collapsed="false">
      <c r="A111" s="8" t="n">
        <v>476043</v>
      </c>
      <c r="B111" s="8" t="s">
        <v>270</v>
      </c>
      <c r="C111" s="8" t="s">
        <v>1118</v>
      </c>
      <c r="D111" s="8" t="s">
        <v>629</v>
      </c>
      <c r="E111" s="8" t="s">
        <v>630</v>
      </c>
      <c r="F111" s="11" t="n">
        <f aca="false">SUMIFS(Itens!$K:$K,Itens!$C:$C,B111,Itens!$A:$A,D111)</f>
        <v>26</v>
      </c>
    </row>
    <row r="112" customFormat="false" ht="15" hidden="false" customHeight="false" outlineLevel="0" collapsed="false">
      <c r="A112" s="8" t="n">
        <v>476043</v>
      </c>
      <c r="B112" s="8" t="s">
        <v>272</v>
      </c>
      <c r="C112" s="8" t="s">
        <v>1119</v>
      </c>
      <c r="D112" s="8" t="s">
        <v>631</v>
      </c>
      <c r="E112" s="8" t="s">
        <v>632</v>
      </c>
      <c r="F112" s="11" t="n">
        <f aca="false">SUMIFS(Itens!$K:$K,Itens!$C:$C,B112,Itens!$A:$A,D112)</f>
        <v>36</v>
      </c>
    </row>
    <row r="113" customFormat="false" ht="15" hidden="false" customHeight="false" outlineLevel="0" collapsed="false">
      <c r="A113" s="8" t="n">
        <v>476043</v>
      </c>
      <c r="B113" s="8" t="s">
        <v>275</v>
      </c>
      <c r="C113" s="8" t="s">
        <v>1118</v>
      </c>
      <c r="D113" s="8" t="s">
        <v>605</v>
      </c>
      <c r="E113" s="8" t="s">
        <v>606</v>
      </c>
      <c r="F113" s="11" t="n">
        <f aca="false">SUMIFS(Itens!$K:$K,Itens!$C:$C,B113,Itens!$A:$A,D113)</f>
        <v>7</v>
      </c>
    </row>
    <row r="114" customFormat="false" ht="15" hidden="false" customHeight="false" outlineLevel="0" collapsed="false">
      <c r="A114" s="8" t="n">
        <v>476043</v>
      </c>
      <c r="B114" s="8" t="s">
        <v>277</v>
      </c>
      <c r="C114" s="8" t="s">
        <v>1119</v>
      </c>
      <c r="D114" s="8" t="s">
        <v>605</v>
      </c>
      <c r="E114" s="8" t="s">
        <v>606</v>
      </c>
      <c r="F114" s="11" t="n">
        <f aca="false">SUMIFS(Itens!$K:$K,Itens!$C:$C,B114,Itens!$A:$A,D114)</f>
        <v>7</v>
      </c>
    </row>
    <row r="115" customFormat="false" ht="15" hidden="false" customHeight="false" outlineLevel="0" collapsed="false">
      <c r="A115" s="8" t="n">
        <v>476043</v>
      </c>
      <c r="B115" s="8" t="s">
        <v>280</v>
      </c>
      <c r="C115" s="8" t="s">
        <v>1118</v>
      </c>
      <c r="D115" s="8" t="s">
        <v>631</v>
      </c>
      <c r="E115" s="8" t="s">
        <v>632</v>
      </c>
      <c r="F115" s="11" t="n">
        <f aca="false">SUMIFS(Itens!$K:$K,Itens!$C:$C,B115,Itens!$A:$A,D115)</f>
        <v>20</v>
      </c>
    </row>
    <row r="116" customFormat="false" ht="15" hidden="false" customHeight="false" outlineLevel="0" collapsed="false">
      <c r="A116" s="8" t="n">
        <v>476043</v>
      </c>
      <c r="B116" s="8" t="s">
        <v>281</v>
      </c>
      <c r="C116" s="8" t="s">
        <v>1118</v>
      </c>
      <c r="D116" s="8" t="s">
        <v>603</v>
      </c>
      <c r="E116" s="8" t="s">
        <v>604</v>
      </c>
      <c r="F116" s="11" t="n">
        <f aca="false">SUMIFS(Itens!$K:$K,Itens!$C:$C,B116,Itens!$A:$A,D116)</f>
        <v>29</v>
      </c>
    </row>
    <row r="117" customFormat="false" ht="15" hidden="false" customHeight="false" outlineLevel="0" collapsed="false">
      <c r="A117" s="8" t="n">
        <v>476043</v>
      </c>
      <c r="B117" s="8" t="s">
        <v>281</v>
      </c>
      <c r="C117" s="8" t="s">
        <v>1118</v>
      </c>
      <c r="D117" s="8" t="s">
        <v>629</v>
      </c>
      <c r="E117" s="8" t="s">
        <v>630</v>
      </c>
      <c r="F117" s="11" t="n">
        <f aca="false">SUMIFS(Itens!$K:$K,Itens!$C:$C,B117,Itens!$A:$A,D117)</f>
        <v>10</v>
      </c>
    </row>
    <row r="118" customFormat="false" ht="15" hidden="false" customHeight="false" outlineLevel="0" collapsed="false">
      <c r="A118" s="8" t="n">
        <v>476043</v>
      </c>
      <c r="B118" s="8" t="s">
        <v>282</v>
      </c>
      <c r="C118" s="8" t="s">
        <v>1118</v>
      </c>
      <c r="D118" s="8" t="s">
        <v>603</v>
      </c>
      <c r="E118" s="8" t="s">
        <v>604</v>
      </c>
      <c r="F118" s="11" t="n">
        <f aca="false">SUMIFS(Itens!$K:$K,Itens!$C:$C,B118,Itens!$A:$A,D118)</f>
        <v>20</v>
      </c>
    </row>
    <row r="119" customFormat="false" ht="15" hidden="false" customHeight="false" outlineLevel="0" collapsed="false">
      <c r="A119" s="8" t="n">
        <v>476061</v>
      </c>
      <c r="B119" s="8" t="s">
        <v>42</v>
      </c>
      <c r="C119" s="8" t="s">
        <v>1118</v>
      </c>
      <c r="D119" s="8" t="s">
        <v>431</v>
      </c>
      <c r="E119" s="8" t="s">
        <v>432</v>
      </c>
      <c r="F119" s="11" t="n">
        <f aca="false">SUMIFS(Itens!$K:$K,Itens!$C:$C,B119,Itens!$A:$A,D119)</f>
        <v>10</v>
      </c>
    </row>
    <row r="120" customFormat="false" ht="15" hidden="false" customHeight="false" outlineLevel="0" collapsed="false">
      <c r="A120" s="8" t="n">
        <v>476061</v>
      </c>
      <c r="B120" s="8" t="s">
        <v>45</v>
      </c>
      <c r="C120" s="8" t="s">
        <v>1119</v>
      </c>
      <c r="D120" s="8" t="s">
        <v>431</v>
      </c>
      <c r="E120" s="8" t="s">
        <v>432</v>
      </c>
      <c r="F120" s="11" t="n">
        <f aca="false">SUMIFS(Itens!$K:$K,Itens!$C:$C,B120,Itens!$A:$A,D120)</f>
        <v>30</v>
      </c>
    </row>
    <row r="121" customFormat="false" ht="15" hidden="false" customHeight="false" outlineLevel="0" collapsed="false">
      <c r="A121" s="8" t="n">
        <v>476061</v>
      </c>
      <c r="B121" s="8" t="s">
        <v>47</v>
      </c>
      <c r="C121" s="8" t="s">
        <v>1119</v>
      </c>
      <c r="D121" s="8" t="s">
        <v>431</v>
      </c>
      <c r="E121" s="8" t="s">
        <v>432</v>
      </c>
      <c r="F121" s="11" t="n">
        <f aca="false">SUMIFS(Itens!$K:$K,Itens!$C:$C,B121,Itens!$A:$A,D121)</f>
        <v>30</v>
      </c>
    </row>
    <row r="122" customFormat="false" ht="15" hidden="false" customHeight="false" outlineLevel="0" collapsed="false">
      <c r="A122" s="8" t="n">
        <v>476061</v>
      </c>
      <c r="B122" s="8" t="s">
        <v>48</v>
      </c>
      <c r="C122" s="8" t="s">
        <v>1119</v>
      </c>
      <c r="D122" s="8" t="s">
        <v>431</v>
      </c>
      <c r="E122" s="8" t="s">
        <v>432</v>
      </c>
      <c r="F122" s="11" t="n">
        <f aca="false">SUMIFS(Itens!$K:$K,Itens!$C:$C,B122,Itens!$A:$A,D122)</f>
        <v>30</v>
      </c>
    </row>
    <row r="123" customFormat="false" ht="15" hidden="false" customHeight="false" outlineLevel="0" collapsed="false">
      <c r="A123" s="8" t="n">
        <v>476061</v>
      </c>
      <c r="B123" s="8" t="s">
        <v>52</v>
      </c>
      <c r="C123" s="8" t="s">
        <v>1119</v>
      </c>
      <c r="D123" s="8" t="s">
        <v>431</v>
      </c>
      <c r="E123" s="8" t="s">
        <v>432</v>
      </c>
      <c r="F123" s="11" t="n">
        <f aca="false">SUMIFS(Itens!$K:$K,Itens!$C:$C,B123,Itens!$A:$A,D123)</f>
        <v>30</v>
      </c>
    </row>
    <row r="124" customFormat="false" ht="15" hidden="false" customHeight="false" outlineLevel="0" collapsed="false">
      <c r="A124" s="8" t="n">
        <v>476061</v>
      </c>
      <c r="B124" s="8" t="s">
        <v>53</v>
      </c>
      <c r="C124" s="8" t="s">
        <v>1119</v>
      </c>
      <c r="D124" s="8" t="s">
        <v>431</v>
      </c>
      <c r="E124" s="8" t="s">
        <v>432</v>
      </c>
      <c r="F124" s="11" t="n">
        <f aca="false">SUMIFS(Itens!$K:$K,Itens!$C:$C,B124,Itens!$A:$A,D124)</f>
        <v>30</v>
      </c>
    </row>
    <row r="125" customFormat="false" ht="15" hidden="false" customHeight="false" outlineLevel="0" collapsed="false">
      <c r="A125" s="8" t="n">
        <v>476061</v>
      </c>
      <c r="B125" s="8" t="s">
        <v>56</v>
      </c>
      <c r="C125" s="8" t="s">
        <v>1119</v>
      </c>
      <c r="D125" s="8" t="s">
        <v>431</v>
      </c>
      <c r="E125" s="8" t="s">
        <v>432</v>
      </c>
      <c r="F125" s="11" t="n">
        <f aca="false">SUMIFS(Itens!$K:$K,Itens!$C:$C,B125,Itens!$A:$A,D125)</f>
        <v>30</v>
      </c>
    </row>
    <row r="126" customFormat="false" ht="15" hidden="false" customHeight="false" outlineLevel="0" collapsed="false">
      <c r="A126" s="8" t="n">
        <v>476061</v>
      </c>
      <c r="B126" s="8" t="s">
        <v>57</v>
      </c>
      <c r="C126" s="8" t="s">
        <v>1119</v>
      </c>
      <c r="D126" s="8" t="s">
        <v>441</v>
      </c>
      <c r="E126" s="8" t="s">
        <v>442</v>
      </c>
      <c r="F126" s="11" t="n">
        <f aca="false">SUMIFS(Itens!$K:$K,Itens!$C:$C,B126,Itens!$A:$A,D126)</f>
        <v>14</v>
      </c>
    </row>
    <row r="127" customFormat="false" ht="15" hidden="false" customHeight="false" outlineLevel="0" collapsed="false">
      <c r="A127" s="8" t="n">
        <v>476061</v>
      </c>
      <c r="B127" s="8" t="s">
        <v>71</v>
      </c>
      <c r="C127" s="8" t="s">
        <v>1119</v>
      </c>
      <c r="D127" s="8" t="s">
        <v>455</v>
      </c>
      <c r="E127" s="8" t="s">
        <v>456</v>
      </c>
      <c r="F127" s="11" t="n">
        <f aca="false">SUMIFS(Itens!$K:$K,Itens!$C:$C,B127,Itens!$A:$A,D127)</f>
        <v>30</v>
      </c>
    </row>
    <row r="128" customFormat="false" ht="15" hidden="false" customHeight="false" outlineLevel="0" collapsed="false">
      <c r="A128" s="8" t="n">
        <v>476061</v>
      </c>
      <c r="B128" s="8" t="s">
        <v>78</v>
      </c>
      <c r="C128" s="8" t="s">
        <v>1118</v>
      </c>
      <c r="D128" s="8" t="s">
        <v>467</v>
      </c>
      <c r="E128" s="8" t="s">
        <v>468</v>
      </c>
      <c r="F128" s="11" t="n">
        <f aca="false">SUMIFS(Itens!$K:$K,Itens!$C:$C,B128,Itens!$A:$A,D128)</f>
        <v>57</v>
      </c>
    </row>
    <row r="129" customFormat="false" ht="15" hidden="false" customHeight="false" outlineLevel="0" collapsed="false">
      <c r="A129" s="8" t="n">
        <v>476061</v>
      </c>
      <c r="B129" s="8" t="s">
        <v>79</v>
      </c>
      <c r="C129" s="8" t="s">
        <v>1119</v>
      </c>
      <c r="D129" s="8" t="s">
        <v>467</v>
      </c>
      <c r="E129" s="8" t="s">
        <v>468</v>
      </c>
      <c r="F129" s="11" t="n">
        <f aca="false">SUMIFS(Itens!$K:$K,Itens!$C:$C,B129,Itens!$A:$A,D129)</f>
        <v>82</v>
      </c>
    </row>
    <row r="130" customFormat="false" ht="15" hidden="false" customHeight="false" outlineLevel="0" collapsed="false">
      <c r="A130" s="8" t="n">
        <v>476061</v>
      </c>
      <c r="B130" s="8" t="s">
        <v>82</v>
      </c>
      <c r="C130" s="8" t="s">
        <v>1118</v>
      </c>
      <c r="D130" s="8" t="s">
        <v>471</v>
      </c>
      <c r="E130" s="8" t="s">
        <v>472</v>
      </c>
      <c r="F130" s="11" t="n">
        <f aca="false">SUMIFS(Itens!$K:$K,Itens!$C:$C,B130,Itens!$A:$A,D130)</f>
        <v>12</v>
      </c>
    </row>
    <row r="131" customFormat="false" ht="15" hidden="false" customHeight="false" outlineLevel="0" collapsed="false">
      <c r="A131" s="8" t="n">
        <v>476061</v>
      </c>
      <c r="B131" s="8" t="s">
        <v>86</v>
      </c>
      <c r="C131" s="8" t="s">
        <v>1118</v>
      </c>
      <c r="D131" s="8" t="s">
        <v>467</v>
      </c>
      <c r="E131" s="8" t="s">
        <v>468</v>
      </c>
      <c r="F131" s="11" t="n">
        <f aca="false">SUMIFS(Itens!$K:$K,Itens!$C:$C,B131,Itens!$A:$A,D131)</f>
        <v>14</v>
      </c>
    </row>
    <row r="132" customFormat="false" ht="15" hidden="false" customHeight="false" outlineLevel="0" collapsed="false">
      <c r="A132" s="8" t="n">
        <v>476061</v>
      </c>
      <c r="B132" s="8" t="s">
        <v>86</v>
      </c>
      <c r="C132" s="8" t="s">
        <v>1118</v>
      </c>
      <c r="D132" s="8" t="s">
        <v>431</v>
      </c>
      <c r="E132" s="8" t="s">
        <v>432</v>
      </c>
      <c r="F132" s="11" t="n">
        <f aca="false">SUMIFS(Itens!$K:$K,Itens!$C:$C,B132,Itens!$A:$A,D132)</f>
        <v>10</v>
      </c>
    </row>
    <row r="133" customFormat="false" ht="15" hidden="false" customHeight="false" outlineLevel="0" collapsed="false">
      <c r="A133" s="8" t="n">
        <v>476061</v>
      </c>
      <c r="B133" s="8" t="s">
        <v>86</v>
      </c>
      <c r="C133" s="8" t="s">
        <v>1118</v>
      </c>
      <c r="D133" s="8" t="s">
        <v>441</v>
      </c>
      <c r="E133" s="8" t="s">
        <v>442</v>
      </c>
      <c r="F133" s="11" t="n">
        <f aca="false">SUMIFS(Itens!$K:$K,Itens!$C:$C,B133,Itens!$A:$A,D133)</f>
        <v>21</v>
      </c>
    </row>
    <row r="134" customFormat="false" ht="15" hidden="false" customHeight="false" outlineLevel="0" collapsed="false">
      <c r="A134" s="8" t="n">
        <v>476061</v>
      </c>
      <c r="B134" s="8" t="s">
        <v>87</v>
      </c>
      <c r="C134" s="8" t="s">
        <v>1118</v>
      </c>
      <c r="D134" s="8" t="s">
        <v>467</v>
      </c>
      <c r="E134" s="8" t="s">
        <v>468</v>
      </c>
      <c r="F134" s="11" t="n">
        <f aca="false">SUMIFS(Itens!$K:$K,Itens!$C:$C,B134,Itens!$A:$A,D134)</f>
        <v>10</v>
      </c>
    </row>
    <row r="135" customFormat="false" ht="15" hidden="false" customHeight="false" outlineLevel="0" collapsed="false">
      <c r="A135" s="8" t="n">
        <v>476061</v>
      </c>
      <c r="B135" s="8" t="s">
        <v>89</v>
      </c>
      <c r="C135" s="8" t="s">
        <v>1119</v>
      </c>
      <c r="D135" s="8" t="s">
        <v>477</v>
      </c>
      <c r="E135" s="8" t="s">
        <v>478</v>
      </c>
      <c r="F135" s="11" t="n">
        <f aca="false">SUMIFS(Itens!$K:$K,Itens!$C:$C,B135,Itens!$A:$A,D135)</f>
        <v>44</v>
      </c>
    </row>
    <row r="136" customFormat="false" ht="15" hidden="false" customHeight="false" outlineLevel="0" collapsed="false">
      <c r="A136" s="8" t="n">
        <v>476061</v>
      </c>
      <c r="B136" s="8" t="s">
        <v>90</v>
      </c>
      <c r="C136" s="8" t="s">
        <v>1118</v>
      </c>
      <c r="D136" s="8" t="s">
        <v>477</v>
      </c>
      <c r="E136" s="8" t="s">
        <v>478</v>
      </c>
      <c r="F136" s="11" t="n">
        <f aca="false">SUMIFS(Itens!$K:$K,Itens!$C:$C,B136,Itens!$A:$A,D136)</f>
        <v>34</v>
      </c>
    </row>
    <row r="137" customFormat="false" ht="15" hidden="false" customHeight="false" outlineLevel="0" collapsed="false">
      <c r="A137" s="8" t="n">
        <v>476061</v>
      </c>
      <c r="B137" s="8" t="s">
        <v>92</v>
      </c>
      <c r="C137" s="8" t="s">
        <v>1119</v>
      </c>
      <c r="D137" s="8" t="s">
        <v>477</v>
      </c>
      <c r="E137" s="8" t="s">
        <v>478</v>
      </c>
      <c r="F137" s="11" t="n">
        <f aca="false">SUMIFS(Itens!$K:$K,Itens!$C:$C,B137,Itens!$A:$A,D137)</f>
        <v>44</v>
      </c>
    </row>
    <row r="138" customFormat="false" ht="15" hidden="false" customHeight="false" outlineLevel="0" collapsed="false">
      <c r="A138" s="8" t="n">
        <v>476061</v>
      </c>
      <c r="B138" s="8" t="s">
        <v>93</v>
      </c>
      <c r="C138" s="8" t="s">
        <v>1119</v>
      </c>
      <c r="D138" s="8" t="s">
        <v>477</v>
      </c>
      <c r="E138" s="8" t="s">
        <v>478</v>
      </c>
      <c r="F138" s="11" t="n">
        <f aca="false">SUMIFS(Itens!$K:$K,Itens!$C:$C,B138,Itens!$A:$A,D138)</f>
        <v>44</v>
      </c>
    </row>
    <row r="139" customFormat="false" ht="15" hidden="false" customHeight="false" outlineLevel="0" collapsed="false">
      <c r="A139" s="8" t="n">
        <v>476061</v>
      </c>
      <c r="B139" s="8" t="s">
        <v>94</v>
      </c>
      <c r="C139" s="8" t="s">
        <v>1119</v>
      </c>
      <c r="D139" s="8" t="s">
        <v>477</v>
      </c>
      <c r="E139" s="8" t="s">
        <v>478</v>
      </c>
      <c r="F139" s="11" t="n">
        <f aca="false">SUMIFS(Itens!$K:$K,Itens!$C:$C,B139,Itens!$A:$A,D139)</f>
        <v>44</v>
      </c>
    </row>
    <row r="140" customFormat="false" ht="15" hidden="false" customHeight="false" outlineLevel="0" collapsed="false">
      <c r="A140" s="8" t="n">
        <v>476061</v>
      </c>
      <c r="B140" s="8" t="s">
        <v>103</v>
      </c>
      <c r="C140" s="8" t="s">
        <v>1119</v>
      </c>
      <c r="D140" s="8" t="s">
        <v>491</v>
      </c>
      <c r="E140" s="8" t="s">
        <v>492</v>
      </c>
      <c r="F140" s="11" t="n">
        <f aca="false">SUMIFS(Itens!$K:$K,Itens!$C:$C,B140,Itens!$A:$A,D140)</f>
        <v>40</v>
      </c>
    </row>
    <row r="141" customFormat="false" ht="15" hidden="false" customHeight="false" outlineLevel="0" collapsed="false">
      <c r="A141" s="8" t="n">
        <v>476061</v>
      </c>
      <c r="B141" s="8" t="s">
        <v>105</v>
      </c>
      <c r="C141" s="8" t="s">
        <v>1119</v>
      </c>
      <c r="D141" s="8" t="s">
        <v>491</v>
      </c>
      <c r="E141" s="8" t="s">
        <v>492</v>
      </c>
      <c r="F141" s="11" t="n">
        <f aca="false">SUMIFS(Itens!$K:$K,Itens!$C:$C,B141,Itens!$A:$A,D141)</f>
        <v>40</v>
      </c>
    </row>
    <row r="142" customFormat="false" ht="15" hidden="false" customHeight="false" outlineLevel="0" collapsed="false">
      <c r="A142" s="8" t="n">
        <v>476061</v>
      </c>
      <c r="B142" s="8" t="s">
        <v>108</v>
      </c>
      <c r="C142" s="8" t="s">
        <v>1118</v>
      </c>
      <c r="D142" s="8" t="s">
        <v>491</v>
      </c>
      <c r="E142" s="8" t="s">
        <v>492</v>
      </c>
      <c r="F142" s="11" t="n">
        <f aca="false">SUMIFS(Itens!$K:$K,Itens!$C:$C,B142,Itens!$A:$A,D142)</f>
        <v>17</v>
      </c>
    </row>
    <row r="143" customFormat="false" ht="15" hidden="false" customHeight="false" outlineLevel="0" collapsed="false">
      <c r="A143" s="8" t="n">
        <v>476061</v>
      </c>
      <c r="B143" s="8" t="s">
        <v>111</v>
      </c>
      <c r="C143" s="8" t="s">
        <v>1118</v>
      </c>
      <c r="D143" s="8" t="s">
        <v>495</v>
      </c>
      <c r="E143" s="8" t="s">
        <v>496</v>
      </c>
      <c r="F143" s="11" t="n">
        <f aca="false">SUMIFS(Itens!$K:$K,Itens!$C:$C,B143,Itens!$A:$A,D143)</f>
        <v>14</v>
      </c>
    </row>
    <row r="144" customFormat="false" ht="15" hidden="false" customHeight="false" outlineLevel="0" collapsed="false">
      <c r="A144" s="8" t="n">
        <v>476061</v>
      </c>
      <c r="B144" s="8" t="s">
        <v>112</v>
      </c>
      <c r="C144" s="8" t="s">
        <v>1119</v>
      </c>
      <c r="D144" s="8" t="s">
        <v>495</v>
      </c>
      <c r="E144" s="8" t="s">
        <v>496</v>
      </c>
      <c r="F144" s="11" t="n">
        <f aca="false">SUMIFS(Itens!$K:$K,Itens!$C:$C,B144,Itens!$A:$A,D144)</f>
        <v>22</v>
      </c>
    </row>
    <row r="145" customFormat="false" ht="15" hidden="false" customHeight="false" outlineLevel="0" collapsed="false">
      <c r="A145" s="8" t="n">
        <v>476061</v>
      </c>
      <c r="B145" s="8" t="s">
        <v>113</v>
      </c>
      <c r="C145" s="8" t="s">
        <v>1119</v>
      </c>
      <c r="D145" s="8" t="s">
        <v>495</v>
      </c>
      <c r="E145" s="8" t="s">
        <v>496</v>
      </c>
      <c r="F145" s="11" t="n">
        <f aca="false">SUMIFS(Itens!$K:$K,Itens!$C:$C,B145,Itens!$A:$A,D145)</f>
        <v>22</v>
      </c>
    </row>
    <row r="146" customFormat="false" ht="15" hidden="false" customHeight="false" outlineLevel="0" collapsed="false">
      <c r="A146" s="8" t="n">
        <v>476061</v>
      </c>
      <c r="B146" s="8" t="s">
        <v>114</v>
      </c>
      <c r="C146" s="8" t="s">
        <v>1119</v>
      </c>
      <c r="D146" s="8" t="s">
        <v>495</v>
      </c>
      <c r="E146" s="8" t="s">
        <v>496</v>
      </c>
      <c r="F146" s="11" t="n">
        <f aca="false">SUMIFS(Itens!$K:$K,Itens!$C:$C,B146,Itens!$A:$A,D146)</f>
        <v>22</v>
      </c>
    </row>
    <row r="147" customFormat="false" ht="15" hidden="false" customHeight="false" outlineLevel="0" collapsed="false">
      <c r="A147" s="8" t="n">
        <v>476061</v>
      </c>
      <c r="B147" s="8" t="s">
        <v>120</v>
      </c>
      <c r="C147" s="8" t="s">
        <v>1119</v>
      </c>
      <c r="D147" s="8" t="s">
        <v>475</v>
      </c>
      <c r="E147" s="8" t="s">
        <v>476</v>
      </c>
      <c r="F147" s="11" t="n">
        <f aca="false">SUMIFS(Itens!$K:$K,Itens!$C:$C,B147,Itens!$A:$A,D147)</f>
        <v>36</v>
      </c>
    </row>
    <row r="148" customFormat="false" ht="15" hidden="false" customHeight="false" outlineLevel="0" collapsed="false">
      <c r="A148" s="8" t="n">
        <v>476061</v>
      </c>
      <c r="B148" s="8" t="s">
        <v>121</v>
      </c>
      <c r="C148" s="8" t="s">
        <v>1119</v>
      </c>
      <c r="D148" s="8" t="s">
        <v>475</v>
      </c>
      <c r="E148" s="8" t="s">
        <v>476</v>
      </c>
      <c r="F148" s="11" t="n">
        <f aca="false">SUMIFS(Itens!$K:$K,Itens!$C:$C,B148,Itens!$A:$A,D148)</f>
        <v>36</v>
      </c>
    </row>
    <row r="149" customFormat="false" ht="15" hidden="false" customHeight="false" outlineLevel="0" collapsed="false">
      <c r="A149" s="8" t="n">
        <v>476061</v>
      </c>
      <c r="B149" s="8" t="s">
        <v>122</v>
      </c>
      <c r="C149" s="8" t="s">
        <v>1119</v>
      </c>
      <c r="D149" s="8" t="s">
        <v>497</v>
      </c>
      <c r="E149" s="8" t="s">
        <v>498</v>
      </c>
      <c r="F149" s="11" t="n">
        <f aca="false">SUMIFS(Itens!$K:$K,Itens!$C:$C,B149,Itens!$A:$A,D149)</f>
        <v>20</v>
      </c>
    </row>
    <row r="150" customFormat="false" ht="15" hidden="false" customHeight="false" outlineLevel="0" collapsed="false">
      <c r="A150" s="8" t="n">
        <v>476061</v>
      </c>
      <c r="B150" s="8" t="s">
        <v>123</v>
      </c>
      <c r="C150" s="8" t="s">
        <v>1119</v>
      </c>
      <c r="D150" s="8" t="s">
        <v>497</v>
      </c>
      <c r="E150" s="8" t="s">
        <v>498</v>
      </c>
      <c r="F150" s="11" t="n">
        <f aca="false">SUMIFS(Itens!$K:$K,Itens!$C:$C,B150,Itens!$A:$A,D150)</f>
        <v>20</v>
      </c>
    </row>
    <row r="151" customFormat="false" ht="15" hidden="false" customHeight="false" outlineLevel="0" collapsed="false">
      <c r="A151" s="8" t="n">
        <v>476061</v>
      </c>
      <c r="B151" s="8" t="s">
        <v>124</v>
      </c>
      <c r="C151" s="8" t="s">
        <v>1119</v>
      </c>
      <c r="D151" s="8" t="s">
        <v>497</v>
      </c>
      <c r="E151" s="8" t="s">
        <v>498</v>
      </c>
      <c r="F151" s="11" t="n">
        <f aca="false">SUMIFS(Itens!$K:$K,Itens!$C:$C,B151,Itens!$A:$A,D151)</f>
        <v>20</v>
      </c>
    </row>
    <row r="152" customFormat="false" ht="15" hidden="false" customHeight="false" outlineLevel="0" collapsed="false">
      <c r="A152" s="8" t="n">
        <v>476061</v>
      </c>
      <c r="B152" s="8" t="s">
        <v>125</v>
      </c>
      <c r="C152" s="8" t="s">
        <v>1119</v>
      </c>
      <c r="D152" s="8" t="s">
        <v>497</v>
      </c>
      <c r="E152" s="8" t="s">
        <v>498</v>
      </c>
      <c r="F152" s="11" t="n">
        <f aca="false">SUMIFS(Itens!$K:$K,Itens!$C:$C,B152,Itens!$A:$A,D152)</f>
        <v>20</v>
      </c>
    </row>
    <row r="153" customFormat="false" ht="15" hidden="false" customHeight="false" outlineLevel="0" collapsed="false">
      <c r="A153" s="8" t="n">
        <v>476061</v>
      </c>
      <c r="B153" s="8" t="s">
        <v>128</v>
      </c>
      <c r="C153" s="8" t="s">
        <v>1119</v>
      </c>
      <c r="D153" s="8" t="s">
        <v>503</v>
      </c>
      <c r="E153" s="8" t="s">
        <v>504</v>
      </c>
      <c r="F153" s="11" t="n">
        <f aca="false">SUMIFS(Itens!$K:$K,Itens!$C:$C,B153,Itens!$A:$A,D153)</f>
        <v>2</v>
      </c>
    </row>
    <row r="154" customFormat="false" ht="15" hidden="false" customHeight="false" outlineLevel="0" collapsed="false">
      <c r="A154" s="8" t="n">
        <v>476061</v>
      </c>
      <c r="B154" s="8" t="s">
        <v>128</v>
      </c>
      <c r="C154" s="8" t="s">
        <v>1119</v>
      </c>
      <c r="D154" s="8" t="s">
        <v>495</v>
      </c>
      <c r="E154" s="8" t="s">
        <v>496</v>
      </c>
      <c r="F154" s="11" t="n">
        <f aca="false">SUMIFS(Itens!$K:$K,Itens!$C:$C,B154,Itens!$A:$A,D154)</f>
        <v>8</v>
      </c>
    </row>
    <row r="155" customFormat="false" ht="15" hidden="false" customHeight="false" outlineLevel="0" collapsed="false">
      <c r="A155" s="8" t="n">
        <v>476061</v>
      </c>
      <c r="B155" s="8" t="s">
        <v>128</v>
      </c>
      <c r="C155" s="8" t="s">
        <v>1119</v>
      </c>
      <c r="D155" s="8" t="s">
        <v>491</v>
      </c>
      <c r="E155" s="8" t="s">
        <v>492</v>
      </c>
      <c r="F155" s="11" t="n">
        <f aca="false">SUMIFS(Itens!$K:$K,Itens!$C:$C,B155,Itens!$A:$A,D155)</f>
        <v>10</v>
      </c>
    </row>
    <row r="156" customFormat="false" ht="15" hidden="false" customHeight="false" outlineLevel="0" collapsed="false">
      <c r="A156" s="8" t="n">
        <v>476061</v>
      </c>
      <c r="B156" s="8" t="s">
        <v>129</v>
      </c>
      <c r="C156" s="8" t="s">
        <v>1119</v>
      </c>
      <c r="D156" s="8" t="s">
        <v>503</v>
      </c>
      <c r="E156" s="8" t="s">
        <v>504</v>
      </c>
      <c r="F156" s="11" t="n">
        <f aca="false">SUMIFS(Itens!$K:$K,Itens!$C:$C,B156,Itens!$A:$A,D156)</f>
        <v>8</v>
      </c>
    </row>
    <row r="157" customFormat="false" ht="15" hidden="false" customHeight="false" outlineLevel="0" collapsed="false">
      <c r="A157" s="8" t="n">
        <v>476061</v>
      </c>
      <c r="B157" s="8" t="s">
        <v>130</v>
      </c>
      <c r="C157" s="8" t="s">
        <v>1119</v>
      </c>
      <c r="D157" s="8" t="s">
        <v>503</v>
      </c>
      <c r="E157" s="8" t="s">
        <v>504</v>
      </c>
      <c r="F157" s="11" t="n">
        <f aca="false">SUMIFS(Itens!$K:$K,Itens!$C:$C,B157,Itens!$A:$A,D157)</f>
        <v>8</v>
      </c>
    </row>
    <row r="158" customFormat="false" ht="15" hidden="false" customHeight="false" outlineLevel="0" collapsed="false">
      <c r="A158" s="8" t="n">
        <v>476061</v>
      </c>
      <c r="B158" s="8" t="s">
        <v>132</v>
      </c>
      <c r="C158" s="8" t="s">
        <v>1119</v>
      </c>
      <c r="D158" s="8" t="s">
        <v>503</v>
      </c>
      <c r="E158" s="8" t="s">
        <v>504</v>
      </c>
      <c r="F158" s="11" t="n">
        <f aca="false">SUMIFS(Itens!$K:$K,Itens!$C:$C,B158,Itens!$A:$A,D158)</f>
        <v>8</v>
      </c>
    </row>
    <row r="159" customFormat="false" ht="15" hidden="false" customHeight="false" outlineLevel="0" collapsed="false">
      <c r="A159" s="8" t="n">
        <v>476061</v>
      </c>
      <c r="B159" s="8" t="s">
        <v>137</v>
      </c>
      <c r="C159" s="8" t="s">
        <v>1119</v>
      </c>
      <c r="D159" s="8" t="s">
        <v>503</v>
      </c>
      <c r="E159" s="8" t="s">
        <v>504</v>
      </c>
      <c r="F159" s="11" t="n">
        <f aca="false">SUMIFS(Itens!$K:$K,Itens!$C:$C,B159,Itens!$A:$A,D159)</f>
        <v>8</v>
      </c>
    </row>
    <row r="160" customFormat="false" ht="15" hidden="false" customHeight="false" outlineLevel="0" collapsed="false">
      <c r="A160" s="8" t="n">
        <v>476061</v>
      </c>
      <c r="B160" s="8" t="s">
        <v>148</v>
      </c>
      <c r="C160" s="8" t="s">
        <v>1118</v>
      </c>
      <c r="D160" s="8" t="s">
        <v>503</v>
      </c>
      <c r="E160" s="8" t="s">
        <v>504</v>
      </c>
      <c r="F160" s="11" t="n">
        <f aca="false">SUMIFS(Itens!$K:$K,Itens!$C:$C,B160,Itens!$A:$A,D160)</f>
        <v>5</v>
      </c>
    </row>
    <row r="161" customFormat="false" ht="15" hidden="false" customHeight="false" outlineLevel="0" collapsed="false">
      <c r="A161" s="8" t="n">
        <v>476061</v>
      </c>
      <c r="B161" s="8" t="s">
        <v>149</v>
      </c>
      <c r="C161" s="8" t="s">
        <v>1119</v>
      </c>
      <c r="D161" s="8" t="s">
        <v>503</v>
      </c>
      <c r="E161" s="8" t="s">
        <v>504</v>
      </c>
      <c r="F161" s="11" t="n">
        <f aca="false">SUMIFS(Itens!$K:$K,Itens!$C:$C,B161,Itens!$A:$A,D161)</f>
        <v>8</v>
      </c>
    </row>
    <row r="162" customFormat="false" ht="15" hidden="false" customHeight="false" outlineLevel="0" collapsed="false">
      <c r="A162" s="8" t="n">
        <v>476061</v>
      </c>
      <c r="B162" s="8" t="s">
        <v>150</v>
      </c>
      <c r="C162" s="8" t="s">
        <v>1119</v>
      </c>
      <c r="D162" s="8" t="s">
        <v>503</v>
      </c>
      <c r="E162" s="8" t="s">
        <v>504</v>
      </c>
      <c r="F162" s="11" t="n">
        <f aca="false">SUMIFS(Itens!$K:$K,Itens!$C:$C,B162,Itens!$A:$A,D162)</f>
        <v>8</v>
      </c>
    </row>
    <row r="163" customFormat="false" ht="15" hidden="false" customHeight="false" outlineLevel="0" collapsed="false">
      <c r="A163" s="8" t="n">
        <v>476061</v>
      </c>
      <c r="B163" s="8" t="s">
        <v>153</v>
      </c>
      <c r="C163" s="8" t="s">
        <v>1119</v>
      </c>
      <c r="D163" s="8" t="s">
        <v>503</v>
      </c>
      <c r="E163" s="8" t="s">
        <v>504</v>
      </c>
      <c r="F163" s="11" t="n">
        <f aca="false">SUMIFS(Itens!$K:$K,Itens!$C:$C,B163,Itens!$A:$A,D163)</f>
        <v>8</v>
      </c>
    </row>
    <row r="164" customFormat="false" ht="15" hidden="false" customHeight="false" outlineLevel="0" collapsed="false">
      <c r="A164" s="8" t="n">
        <v>476061</v>
      </c>
      <c r="B164" s="8" t="s">
        <v>156</v>
      </c>
      <c r="C164" s="8" t="s">
        <v>1118</v>
      </c>
      <c r="D164" s="8" t="s">
        <v>509</v>
      </c>
      <c r="E164" s="8" t="s">
        <v>510</v>
      </c>
      <c r="F164" s="11" t="n">
        <f aca="false">SUMIFS(Itens!$K:$K,Itens!$C:$C,B164,Itens!$A:$A,D164)</f>
        <v>21</v>
      </c>
    </row>
    <row r="165" customFormat="false" ht="15" hidden="false" customHeight="false" outlineLevel="0" collapsed="false">
      <c r="A165" s="8" t="n">
        <v>476061</v>
      </c>
      <c r="B165" s="8" t="s">
        <v>157</v>
      </c>
      <c r="C165" s="8" t="s">
        <v>1119</v>
      </c>
      <c r="D165" s="8" t="s">
        <v>509</v>
      </c>
      <c r="E165" s="8" t="s">
        <v>510</v>
      </c>
      <c r="F165" s="11" t="n">
        <f aca="false">SUMIFS(Itens!$K:$K,Itens!$C:$C,B165,Itens!$A:$A,D165)</f>
        <v>38</v>
      </c>
    </row>
    <row r="166" customFormat="false" ht="15" hidden="false" customHeight="false" outlineLevel="0" collapsed="false">
      <c r="A166" s="8" t="n">
        <v>476061</v>
      </c>
      <c r="B166" s="8" t="s">
        <v>164</v>
      </c>
      <c r="C166" s="8" t="s">
        <v>1118</v>
      </c>
      <c r="D166" s="8" t="s">
        <v>517</v>
      </c>
      <c r="E166" s="8" t="s">
        <v>518</v>
      </c>
      <c r="F166" s="11" t="n">
        <f aca="false">SUMIFS(Itens!$K:$K,Itens!$C:$C,B166,Itens!$A:$A,D166)</f>
        <v>16</v>
      </c>
    </row>
    <row r="167" customFormat="false" ht="15" hidden="false" customHeight="false" outlineLevel="0" collapsed="false">
      <c r="A167" s="8" t="n">
        <v>476061</v>
      </c>
      <c r="B167" s="8" t="s">
        <v>165</v>
      </c>
      <c r="C167" s="8" t="s">
        <v>1119</v>
      </c>
      <c r="D167" s="8" t="s">
        <v>519</v>
      </c>
      <c r="E167" s="8" t="s">
        <v>520</v>
      </c>
      <c r="F167" s="11" t="n">
        <f aca="false">SUMIFS(Itens!$K:$K,Itens!$C:$C,B167,Itens!$A:$A,D167)</f>
        <v>5</v>
      </c>
    </row>
    <row r="168" customFormat="false" ht="15" hidden="false" customHeight="false" outlineLevel="0" collapsed="false">
      <c r="A168" s="8" t="n">
        <v>476061</v>
      </c>
      <c r="B168" s="8" t="s">
        <v>168</v>
      </c>
      <c r="C168" s="8" t="s">
        <v>1119</v>
      </c>
      <c r="D168" s="8" t="s">
        <v>519</v>
      </c>
      <c r="E168" s="8" t="s">
        <v>520</v>
      </c>
      <c r="F168" s="11" t="n">
        <f aca="false">SUMIFS(Itens!$K:$K,Itens!$C:$C,B168,Itens!$A:$A,D168)</f>
        <v>5</v>
      </c>
    </row>
    <row r="169" customFormat="false" ht="15" hidden="false" customHeight="false" outlineLevel="0" collapsed="false">
      <c r="A169" s="8" t="n">
        <v>476061</v>
      </c>
      <c r="B169" s="8" t="s">
        <v>169</v>
      </c>
      <c r="C169" s="8" t="s">
        <v>1119</v>
      </c>
      <c r="D169" s="8" t="s">
        <v>519</v>
      </c>
      <c r="E169" s="8" t="s">
        <v>520</v>
      </c>
      <c r="F169" s="11" t="n">
        <f aca="false">SUMIFS(Itens!$K:$K,Itens!$C:$C,B169,Itens!$A:$A,D169)</f>
        <v>5</v>
      </c>
    </row>
    <row r="170" customFormat="false" ht="15" hidden="false" customHeight="false" outlineLevel="0" collapsed="false">
      <c r="A170" s="8" t="n">
        <v>476061</v>
      </c>
      <c r="B170" s="8" t="s">
        <v>171</v>
      </c>
      <c r="C170" s="8" t="s">
        <v>1118</v>
      </c>
      <c r="D170" s="8" t="s">
        <v>519</v>
      </c>
      <c r="E170" s="8" t="s">
        <v>520</v>
      </c>
      <c r="F170" s="11" t="n">
        <f aca="false">SUMIFS(Itens!$K:$K,Itens!$C:$C,B170,Itens!$A:$A,D170)</f>
        <v>5</v>
      </c>
    </row>
    <row r="171" customFormat="false" ht="15" hidden="false" customHeight="false" outlineLevel="0" collapsed="false">
      <c r="A171" s="8" t="n">
        <v>476061</v>
      </c>
      <c r="B171" s="8" t="s">
        <v>172</v>
      </c>
      <c r="C171" s="8" t="s">
        <v>1119</v>
      </c>
      <c r="D171" s="8" t="s">
        <v>519</v>
      </c>
      <c r="E171" s="8" t="s">
        <v>520</v>
      </c>
      <c r="F171" s="11" t="n">
        <f aca="false">SUMIFS(Itens!$K:$K,Itens!$C:$C,B171,Itens!$A:$A,D171)</f>
        <v>5</v>
      </c>
    </row>
    <row r="172" customFormat="false" ht="15" hidden="false" customHeight="false" outlineLevel="0" collapsed="false">
      <c r="A172" s="8" t="n">
        <v>476061</v>
      </c>
      <c r="B172" s="8" t="s">
        <v>174</v>
      </c>
      <c r="C172" s="8" t="s">
        <v>1118</v>
      </c>
      <c r="D172" s="8" t="s">
        <v>519</v>
      </c>
      <c r="E172" s="8" t="s">
        <v>520</v>
      </c>
      <c r="F172" s="11" t="n">
        <f aca="false">SUMIFS(Itens!$K:$K,Itens!$C:$C,B172,Itens!$A:$A,D172)</f>
        <v>5</v>
      </c>
    </row>
    <row r="173" customFormat="false" ht="15" hidden="false" customHeight="false" outlineLevel="0" collapsed="false">
      <c r="A173" s="8" t="n">
        <v>476061</v>
      </c>
      <c r="B173" s="8" t="s">
        <v>175</v>
      </c>
      <c r="C173" s="8" t="s">
        <v>1119</v>
      </c>
      <c r="D173" s="8" t="s">
        <v>519</v>
      </c>
      <c r="E173" s="8" t="s">
        <v>520</v>
      </c>
      <c r="F173" s="11" t="n">
        <f aca="false">SUMIFS(Itens!$K:$K,Itens!$C:$C,B173,Itens!$A:$A,D173)</f>
        <v>5</v>
      </c>
    </row>
    <row r="174" customFormat="false" ht="15" hidden="false" customHeight="false" outlineLevel="0" collapsed="false">
      <c r="A174" s="8" t="n">
        <v>476061</v>
      </c>
      <c r="B174" s="8" t="s">
        <v>176</v>
      </c>
      <c r="C174" s="8" t="s">
        <v>1119</v>
      </c>
      <c r="D174" s="8" t="s">
        <v>519</v>
      </c>
      <c r="E174" s="8" t="s">
        <v>520</v>
      </c>
      <c r="F174" s="11" t="n">
        <f aca="false">SUMIFS(Itens!$K:$K,Itens!$C:$C,B174,Itens!$A:$A,D174)</f>
        <v>5</v>
      </c>
    </row>
    <row r="175" customFormat="false" ht="15" hidden="false" customHeight="false" outlineLevel="0" collapsed="false">
      <c r="A175" s="8" t="n">
        <v>476061</v>
      </c>
      <c r="B175" s="8" t="s">
        <v>178</v>
      </c>
      <c r="C175" s="8" t="s">
        <v>1119</v>
      </c>
      <c r="D175" s="8" t="s">
        <v>519</v>
      </c>
      <c r="E175" s="8" t="s">
        <v>520</v>
      </c>
      <c r="F175" s="11" t="n">
        <f aca="false">SUMIFS(Itens!$K:$K,Itens!$C:$C,B175,Itens!$A:$A,D175)</f>
        <v>5</v>
      </c>
    </row>
    <row r="176" customFormat="false" ht="15" hidden="false" customHeight="false" outlineLevel="0" collapsed="false">
      <c r="A176" s="8" t="n">
        <v>476061</v>
      </c>
      <c r="B176" s="8" t="s">
        <v>179</v>
      </c>
      <c r="C176" s="8" t="s">
        <v>1118</v>
      </c>
      <c r="D176" s="8" t="s">
        <v>519</v>
      </c>
      <c r="E176" s="8" t="s">
        <v>520</v>
      </c>
      <c r="F176" s="11" t="n">
        <f aca="false">SUMIFS(Itens!$K:$K,Itens!$C:$C,B176,Itens!$A:$A,D176)</f>
        <v>5</v>
      </c>
    </row>
    <row r="177" customFormat="false" ht="15" hidden="false" customHeight="false" outlineLevel="0" collapsed="false">
      <c r="A177" s="8" t="n">
        <v>476061</v>
      </c>
      <c r="B177" s="8" t="s">
        <v>180</v>
      </c>
      <c r="C177" s="8" t="s">
        <v>1118</v>
      </c>
      <c r="D177" s="8" t="s">
        <v>519</v>
      </c>
      <c r="E177" s="8" t="s">
        <v>520</v>
      </c>
      <c r="F177" s="11" t="n">
        <f aca="false">SUMIFS(Itens!$K:$K,Itens!$C:$C,B177,Itens!$A:$A,D177)</f>
        <v>5</v>
      </c>
    </row>
    <row r="178" customFormat="false" ht="15" hidden="false" customHeight="false" outlineLevel="0" collapsed="false">
      <c r="A178" s="8" t="n">
        <v>476061</v>
      </c>
      <c r="B178" s="8" t="s">
        <v>181</v>
      </c>
      <c r="C178" s="8" t="s">
        <v>1119</v>
      </c>
      <c r="D178" s="8" t="s">
        <v>519</v>
      </c>
      <c r="E178" s="8" t="s">
        <v>520</v>
      </c>
      <c r="F178" s="11" t="n">
        <f aca="false">SUMIFS(Itens!$K:$K,Itens!$C:$C,B178,Itens!$A:$A,D178)</f>
        <v>5</v>
      </c>
    </row>
    <row r="179" customFormat="false" ht="15" hidden="false" customHeight="false" outlineLevel="0" collapsed="false">
      <c r="A179" s="8" t="n">
        <v>476061</v>
      </c>
      <c r="B179" s="8" t="s">
        <v>182</v>
      </c>
      <c r="C179" s="8" t="s">
        <v>1119</v>
      </c>
      <c r="D179" s="8" t="s">
        <v>519</v>
      </c>
      <c r="E179" s="8" t="s">
        <v>520</v>
      </c>
      <c r="F179" s="11" t="n">
        <f aca="false">SUMIFS(Itens!$K:$K,Itens!$C:$C,B179,Itens!$A:$A,D179)</f>
        <v>5</v>
      </c>
    </row>
    <row r="180" customFormat="false" ht="15" hidden="false" customHeight="false" outlineLevel="0" collapsed="false">
      <c r="A180" s="8" t="n">
        <v>476061</v>
      </c>
      <c r="B180" s="8" t="s">
        <v>183</v>
      </c>
      <c r="C180" s="8" t="s">
        <v>1119</v>
      </c>
      <c r="D180" s="8" t="s">
        <v>519</v>
      </c>
      <c r="E180" s="8" t="s">
        <v>520</v>
      </c>
      <c r="F180" s="11" t="n">
        <f aca="false">SUMIFS(Itens!$K:$K,Itens!$C:$C,B180,Itens!$A:$A,D180)</f>
        <v>5</v>
      </c>
    </row>
    <row r="181" customFormat="false" ht="15" hidden="false" customHeight="false" outlineLevel="0" collapsed="false">
      <c r="A181" s="8" t="n">
        <v>476061</v>
      </c>
      <c r="B181" s="8" t="s">
        <v>184</v>
      </c>
      <c r="C181" s="8" t="s">
        <v>1119</v>
      </c>
      <c r="D181" s="8" t="s">
        <v>519</v>
      </c>
      <c r="E181" s="8" t="s">
        <v>520</v>
      </c>
      <c r="F181" s="11" t="n">
        <f aca="false">SUMIFS(Itens!$K:$K,Itens!$C:$C,B181,Itens!$A:$A,D181)</f>
        <v>5</v>
      </c>
    </row>
    <row r="182" customFormat="false" ht="15" hidden="false" customHeight="false" outlineLevel="0" collapsed="false">
      <c r="A182" s="8" t="n">
        <v>476061</v>
      </c>
      <c r="B182" s="8" t="s">
        <v>185</v>
      </c>
      <c r="C182" s="8" t="s">
        <v>1119</v>
      </c>
      <c r="D182" s="8" t="s">
        <v>519</v>
      </c>
      <c r="E182" s="8" t="s">
        <v>520</v>
      </c>
      <c r="F182" s="11" t="n">
        <f aca="false">SUMIFS(Itens!$K:$K,Itens!$C:$C,B182,Itens!$A:$A,D182)</f>
        <v>5</v>
      </c>
    </row>
    <row r="183" customFormat="false" ht="15" hidden="false" customHeight="false" outlineLevel="0" collapsed="false">
      <c r="A183" s="8" t="n">
        <v>476061</v>
      </c>
      <c r="B183" s="8" t="s">
        <v>186</v>
      </c>
      <c r="C183" s="8" t="s">
        <v>1118</v>
      </c>
      <c r="D183" s="8" t="s">
        <v>519</v>
      </c>
      <c r="E183" s="8" t="s">
        <v>520</v>
      </c>
      <c r="F183" s="11" t="n">
        <f aca="false">SUMIFS(Itens!$K:$K,Itens!$C:$C,B183,Itens!$A:$A,D183)</f>
        <v>5</v>
      </c>
    </row>
    <row r="184" customFormat="false" ht="15" hidden="false" customHeight="false" outlineLevel="0" collapsed="false">
      <c r="A184" s="8" t="n">
        <v>476061</v>
      </c>
      <c r="B184" s="8" t="s">
        <v>187</v>
      </c>
      <c r="C184" s="8" t="s">
        <v>1119</v>
      </c>
      <c r="D184" s="8" t="s">
        <v>519</v>
      </c>
      <c r="E184" s="8" t="s">
        <v>520</v>
      </c>
      <c r="F184" s="11" t="n">
        <f aca="false">SUMIFS(Itens!$K:$K,Itens!$C:$C,B184,Itens!$A:$A,D184)</f>
        <v>5</v>
      </c>
    </row>
    <row r="185" customFormat="false" ht="15" hidden="false" customHeight="false" outlineLevel="0" collapsed="false">
      <c r="A185" s="8" t="n">
        <v>476061</v>
      </c>
      <c r="B185" s="8" t="s">
        <v>188</v>
      </c>
      <c r="C185" s="8" t="s">
        <v>1119</v>
      </c>
      <c r="D185" s="8" t="s">
        <v>519</v>
      </c>
      <c r="E185" s="8" t="s">
        <v>520</v>
      </c>
      <c r="F185" s="11" t="n">
        <f aca="false">SUMIFS(Itens!$K:$K,Itens!$C:$C,B185,Itens!$A:$A,D185)</f>
        <v>5</v>
      </c>
    </row>
    <row r="186" customFormat="false" ht="15" hidden="false" customHeight="false" outlineLevel="0" collapsed="false">
      <c r="A186" s="8" t="n">
        <v>476061</v>
      </c>
      <c r="B186" s="8" t="s">
        <v>189</v>
      </c>
      <c r="C186" s="8" t="s">
        <v>1119</v>
      </c>
      <c r="D186" s="8" t="s">
        <v>519</v>
      </c>
      <c r="E186" s="8" t="s">
        <v>520</v>
      </c>
      <c r="F186" s="11" t="n">
        <f aca="false">SUMIFS(Itens!$K:$K,Itens!$C:$C,B186,Itens!$A:$A,D186)</f>
        <v>5</v>
      </c>
    </row>
    <row r="187" customFormat="false" ht="15" hidden="false" customHeight="false" outlineLevel="0" collapsed="false">
      <c r="A187" s="8" t="n">
        <v>476061</v>
      </c>
      <c r="B187" s="8" t="s">
        <v>190</v>
      </c>
      <c r="C187" s="8" t="s">
        <v>1118</v>
      </c>
      <c r="D187" s="8" t="s">
        <v>519</v>
      </c>
      <c r="E187" s="8" t="s">
        <v>520</v>
      </c>
      <c r="F187" s="11" t="n">
        <f aca="false">SUMIFS(Itens!$K:$K,Itens!$C:$C,B187,Itens!$A:$A,D187)</f>
        <v>1</v>
      </c>
    </row>
    <row r="188" customFormat="false" ht="15" hidden="false" customHeight="false" outlineLevel="0" collapsed="false">
      <c r="A188" s="8" t="n">
        <v>476061</v>
      </c>
      <c r="B188" s="8" t="s">
        <v>191</v>
      </c>
      <c r="C188" s="8" t="s">
        <v>1119</v>
      </c>
      <c r="D188" s="8" t="s">
        <v>519</v>
      </c>
      <c r="E188" s="8" t="s">
        <v>520</v>
      </c>
      <c r="F188" s="11" t="n">
        <f aca="false">SUMIFS(Itens!$K:$K,Itens!$C:$C,B188,Itens!$A:$A,D188)</f>
        <v>5</v>
      </c>
    </row>
    <row r="189" customFormat="false" ht="15" hidden="false" customHeight="false" outlineLevel="0" collapsed="false">
      <c r="A189" s="8" t="n">
        <v>476061</v>
      </c>
      <c r="B189" s="8" t="s">
        <v>193</v>
      </c>
      <c r="C189" s="8" t="s">
        <v>1119</v>
      </c>
      <c r="D189" s="8" t="s">
        <v>519</v>
      </c>
      <c r="E189" s="8" t="s">
        <v>520</v>
      </c>
      <c r="F189" s="11" t="n">
        <f aca="false">SUMIFS(Itens!$K:$K,Itens!$C:$C,B189,Itens!$A:$A,D189)</f>
        <v>5</v>
      </c>
    </row>
    <row r="190" customFormat="false" ht="15" hidden="false" customHeight="false" outlineLevel="0" collapsed="false">
      <c r="A190" s="8" t="n">
        <v>476061</v>
      </c>
      <c r="B190" s="8" t="s">
        <v>194</v>
      </c>
      <c r="C190" s="8" t="s">
        <v>1119</v>
      </c>
      <c r="D190" s="8" t="s">
        <v>509</v>
      </c>
      <c r="E190" s="8" t="s">
        <v>510</v>
      </c>
      <c r="F190" s="11" t="n">
        <f aca="false">SUMIFS(Itens!$K:$K,Itens!$C:$C,B190,Itens!$A:$A,D190)</f>
        <v>38</v>
      </c>
    </row>
    <row r="191" customFormat="false" ht="15" hidden="false" customHeight="false" outlineLevel="0" collapsed="false">
      <c r="A191" s="8" t="n">
        <v>476061</v>
      </c>
      <c r="B191" s="8" t="s">
        <v>221</v>
      </c>
      <c r="C191" s="8" t="s">
        <v>1118</v>
      </c>
      <c r="D191" s="8" t="s">
        <v>565</v>
      </c>
      <c r="E191" s="8" t="s">
        <v>566</v>
      </c>
      <c r="F191" s="11" t="n">
        <f aca="false">SUMIFS(Itens!$K:$K,Itens!$C:$C,B191,Itens!$A:$A,D191)</f>
        <v>1</v>
      </c>
    </row>
    <row r="192" customFormat="false" ht="15" hidden="false" customHeight="false" outlineLevel="0" collapsed="false">
      <c r="A192" s="8" t="n">
        <v>476061</v>
      </c>
      <c r="B192" s="8" t="s">
        <v>222</v>
      </c>
      <c r="C192" s="8" t="s">
        <v>1119</v>
      </c>
      <c r="D192" s="8" t="s">
        <v>569</v>
      </c>
      <c r="E192" s="8" t="s">
        <v>570</v>
      </c>
      <c r="F192" s="11" t="n">
        <f aca="false">SUMIFS(Itens!$K:$K,Itens!$C:$C,B192,Itens!$A:$A,D192)</f>
        <v>30</v>
      </c>
    </row>
    <row r="193" customFormat="false" ht="15" hidden="false" customHeight="false" outlineLevel="0" collapsed="false">
      <c r="A193" s="8" t="n">
        <v>476061</v>
      </c>
      <c r="B193" s="8" t="s">
        <v>225</v>
      </c>
      <c r="C193" s="8" t="s">
        <v>1118</v>
      </c>
      <c r="D193" s="8" t="s">
        <v>569</v>
      </c>
      <c r="E193" s="8" t="s">
        <v>570</v>
      </c>
      <c r="F193" s="11" t="n">
        <f aca="false">SUMIFS(Itens!$K:$K,Itens!$C:$C,B193,Itens!$A:$A,D193)</f>
        <v>24</v>
      </c>
    </row>
    <row r="194" customFormat="false" ht="15" hidden="false" customHeight="false" outlineLevel="0" collapsed="false">
      <c r="A194" s="8" t="n">
        <v>476061</v>
      </c>
      <c r="B194" s="8" t="s">
        <v>226</v>
      </c>
      <c r="C194" s="8" t="s">
        <v>1118</v>
      </c>
      <c r="D194" s="8" t="s">
        <v>569</v>
      </c>
      <c r="E194" s="8" t="s">
        <v>570</v>
      </c>
      <c r="F194" s="11" t="n">
        <f aca="false">SUMIFS(Itens!$K:$K,Itens!$C:$C,B194,Itens!$A:$A,D194)</f>
        <v>30</v>
      </c>
    </row>
    <row r="195" customFormat="false" ht="15" hidden="false" customHeight="false" outlineLevel="0" collapsed="false">
      <c r="A195" s="8" t="n">
        <v>476061</v>
      </c>
      <c r="B195" s="8" t="s">
        <v>228</v>
      </c>
      <c r="C195" s="8" t="s">
        <v>1119</v>
      </c>
      <c r="D195" s="8" t="s">
        <v>581</v>
      </c>
      <c r="E195" s="8" t="s">
        <v>582</v>
      </c>
      <c r="F195" s="11" t="n">
        <f aca="false">SUMIFS(Itens!$K:$K,Itens!$C:$C,B195,Itens!$A:$A,D195)</f>
        <v>20</v>
      </c>
    </row>
    <row r="196" customFormat="false" ht="15" hidden="false" customHeight="false" outlineLevel="0" collapsed="false">
      <c r="A196" s="8" t="n">
        <v>476061</v>
      </c>
      <c r="B196" s="8" t="s">
        <v>229</v>
      </c>
      <c r="C196" s="8" t="s">
        <v>1119</v>
      </c>
      <c r="D196" s="8" t="s">
        <v>581</v>
      </c>
      <c r="E196" s="8" t="s">
        <v>582</v>
      </c>
      <c r="F196" s="11" t="n">
        <f aca="false">SUMIFS(Itens!$K:$K,Itens!$C:$C,B196,Itens!$A:$A,D196)</f>
        <v>20</v>
      </c>
    </row>
    <row r="197" customFormat="false" ht="15" hidden="false" customHeight="false" outlineLevel="0" collapsed="false">
      <c r="A197" s="8" t="n">
        <v>476061</v>
      </c>
      <c r="B197" s="8" t="s">
        <v>230</v>
      </c>
      <c r="C197" s="8" t="s">
        <v>1118</v>
      </c>
      <c r="D197" s="8" t="s">
        <v>581</v>
      </c>
      <c r="E197" s="8" t="s">
        <v>582</v>
      </c>
      <c r="F197" s="11" t="n">
        <f aca="false">SUMIFS(Itens!$K:$K,Itens!$C:$C,B197,Itens!$A:$A,D197)</f>
        <v>7</v>
      </c>
    </row>
    <row r="198" customFormat="false" ht="15" hidden="false" customHeight="false" outlineLevel="0" collapsed="false">
      <c r="A198" s="8" t="n">
        <v>476061</v>
      </c>
      <c r="B198" s="8" t="s">
        <v>232</v>
      </c>
      <c r="C198" s="8" t="s">
        <v>1119</v>
      </c>
      <c r="D198" s="8" t="s">
        <v>581</v>
      </c>
      <c r="E198" s="8" t="s">
        <v>582</v>
      </c>
      <c r="F198" s="11" t="n">
        <f aca="false">SUMIFS(Itens!$K:$K,Itens!$C:$C,B198,Itens!$A:$A,D198)</f>
        <v>20</v>
      </c>
    </row>
    <row r="199" customFormat="false" ht="15" hidden="false" customHeight="false" outlineLevel="0" collapsed="false">
      <c r="A199" s="8" t="n">
        <v>476061</v>
      </c>
      <c r="B199" s="8" t="s">
        <v>233</v>
      </c>
      <c r="C199" s="8" t="s">
        <v>1119</v>
      </c>
      <c r="D199" s="8" t="s">
        <v>581</v>
      </c>
      <c r="E199" s="8" t="s">
        <v>582</v>
      </c>
      <c r="F199" s="11" t="n">
        <f aca="false">SUMIFS(Itens!$K:$K,Itens!$C:$C,B199,Itens!$A:$A,D199)</f>
        <v>20</v>
      </c>
    </row>
    <row r="200" customFormat="false" ht="15" hidden="false" customHeight="false" outlineLevel="0" collapsed="false">
      <c r="A200" s="8" t="n">
        <v>476061</v>
      </c>
      <c r="B200" s="8" t="s">
        <v>234</v>
      </c>
      <c r="C200" s="8" t="s">
        <v>1119</v>
      </c>
      <c r="D200" s="8" t="s">
        <v>581</v>
      </c>
      <c r="E200" s="8" t="s">
        <v>582</v>
      </c>
      <c r="F200" s="11" t="n">
        <f aca="false">SUMIFS(Itens!$K:$K,Itens!$C:$C,B200,Itens!$A:$A,D200)</f>
        <v>20</v>
      </c>
    </row>
    <row r="201" customFormat="false" ht="15" hidden="false" customHeight="false" outlineLevel="0" collapsed="false">
      <c r="A201" s="8" t="n">
        <v>476061</v>
      </c>
      <c r="B201" s="8" t="s">
        <v>235</v>
      </c>
      <c r="C201" s="8" t="s">
        <v>1119</v>
      </c>
      <c r="D201" s="8" t="s">
        <v>565</v>
      </c>
      <c r="E201" s="8" t="s">
        <v>566</v>
      </c>
      <c r="F201" s="11" t="n">
        <f aca="false">SUMIFS(Itens!$K:$K,Itens!$C:$C,B201,Itens!$A:$A,D201)</f>
        <v>30</v>
      </c>
    </row>
    <row r="202" customFormat="false" ht="15" hidden="false" customHeight="false" outlineLevel="0" collapsed="false">
      <c r="A202" s="8" t="n">
        <v>476061</v>
      </c>
      <c r="B202" s="8" t="s">
        <v>238</v>
      </c>
      <c r="C202" s="8" t="s">
        <v>1119</v>
      </c>
      <c r="D202" s="8" t="s">
        <v>509</v>
      </c>
      <c r="E202" s="8" t="s">
        <v>510</v>
      </c>
      <c r="F202" s="11" t="n">
        <f aca="false">SUMIFS(Itens!$K:$K,Itens!$C:$C,B202,Itens!$A:$A,D202)</f>
        <v>26</v>
      </c>
    </row>
    <row r="203" customFormat="false" ht="15" hidden="false" customHeight="false" outlineLevel="0" collapsed="false">
      <c r="A203" s="8" t="n">
        <v>476061</v>
      </c>
      <c r="B203" s="8" t="s">
        <v>238</v>
      </c>
      <c r="C203" s="8" t="s">
        <v>1119</v>
      </c>
      <c r="D203" s="8" t="s">
        <v>569</v>
      </c>
      <c r="E203" s="8" t="s">
        <v>570</v>
      </c>
      <c r="F203" s="11" t="n">
        <f aca="false">SUMIFS(Itens!$K:$K,Itens!$C:$C,B203,Itens!$A:$A,D203)</f>
        <v>20</v>
      </c>
    </row>
    <row r="204" customFormat="false" ht="15" hidden="false" customHeight="false" outlineLevel="0" collapsed="false">
      <c r="A204" s="8" t="n">
        <v>476061</v>
      </c>
      <c r="B204" s="8" t="s">
        <v>241</v>
      </c>
      <c r="C204" s="8" t="s">
        <v>1118</v>
      </c>
      <c r="D204" s="8" t="s">
        <v>589</v>
      </c>
      <c r="E204" s="8" t="s">
        <v>590</v>
      </c>
      <c r="F204" s="11" t="n">
        <f aca="false">SUMIFS(Itens!$K:$K,Itens!$C:$C,B204,Itens!$A:$A,D204)</f>
        <v>22</v>
      </c>
    </row>
    <row r="205" customFormat="false" ht="15" hidden="false" customHeight="false" outlineLevel="0" collapsed="false">
      <c r="A205" s="8" t="n">
        <v>476061</v>
      </c>
      <c r="B205" s="8" t="s">
        <v>252</v>
      </c>
      <c r="C205" s="8" t="s">
        <v>1118</v>
      </c>
      <c r="D205" s="8" t="s">
        <v>601</v>
      </c>
      <c r="E205" s="8" t="s">
        <v>602</v>
      </c>
      <c r="F205" s="11" t="n">
        <f aca="false">SUMIFS(Itens!$K:$K,Itens!$C:$C,B205,Itens!$A:$A,D205)</f>
        <v>33</v>
      </c>
    </row>
    <row r="206" customFormat="false" ht="15" hidden="false" customHeight="false" outlineLevel="0" collapsed="false">
      <c r="A206" s="8" t="n">
        <v>476061</v>
      </c>
      <c r="B206" s="8" t="s">
        <v>253</v>
      </c>
      <c r="C206" s="8" t="s">
        <v>1118</v>
      </c>
      <c r="D206" s="8" t="s">
        <v>599</v>
      </c>
      <c r="E206" s="8" t="s">
        <v>600</v>
      </c>
      <c r="F206" s="11" t="n">
        <f aca="false">SUMIFS(Itens!$K:$K,Itens!$C:$C,B206,Itens!$A:$A,D206)</f>
        <v>2</v>
      </c>
    </row>
    <row r="207" customFormat="false" ht="15" hidden="false" customHeight="false" outlineLevel="0" collapsed="false">
      <c r="A207" s="8" t="n">
        <v>476061</v>
      </c>
      <c r="B207" s="8" t="s">
        <v>258</v>
      </c>
      <c r="C207" s="8" t="s">
        <v>1118</v>
      </c>
      <c r="D207" s="8" t="s">
        <v>611</v>
      </c>
      <c r="E207" s="8" t="s">
        <v>612</v>
      </c>
      <c r="F207" s="11" t="n">
        <f aca="false">SUMIFS(Itens!$K:$K,Itens!$C:$C,B207,Itens!$A:$A,D207)</f>
        <v>4</v>
      </c>
    </row>
    <row r="208" customFormat="false" ht="15" hidden="false" customHeight="false" outlineLevel="0" collapsed="false">
      <c r="A208" s="8" t="n">
        <v>476061</v>
      </c>
      <c r="B208" s="8" t="s">
        <v>264</v>
      </c>
      <c r="C208" s="8" t="s">
        <v>1119</v>
      </c>
      <c r="D208" s="8" t="s">
        <v>625</v>
      </c>
      <c r="E208" s="8" t="s">
        <v>626</v>
      </c>
      <c r="F208" s="11" t="n">
        <f aca="false">SUMIFS(Itens!$K:$K,Itens!$C:$C,B208,Itens!$A:$A,D208)</f>
        <v>20</v>
      </c>
    </row>
    <row r="209" customFormat="false" ht="15" hidden="false" customHeight="false" outlineLevel="0" collapsed="false">
      <c r="A209" s="8" t="n">
        <v>476061</v>
      </c>
      <c r="B209" s="8" t="s">
        <v>265</v>
      </c>
      <c r="C209" s="8" t="s">
        <v>1119</v>
      </c>
      <c r="D209" s="8" t="s">
        <v>611</v>
      </c>
      <c r="E209" s="8" t="s">
        <v>612</v>
      </c>
      <c r="F209" s="11" t="n">
        <f aca="false">SUMIFS(Itens!$K:$K,Itens!$C:$C,B209,Itens!$A:$A,D209)</f>
        <v>48</v>
      </c>
    </row>
    <row r="210" customFormat="false" ht="15" hidden="false" customHeight="false" outlineLevel="0" collapsed="false">
      <c r="A210" s="8" t="n">
        <v>476061</v>
      </c>
      <c r="B210" s="8" t="s">
        <v>266</v>
      </c>
      <c r="C210" s="8" t="s">
        <v>1119</v>
      </c>
      <c r="D210" s="8" t="s">
        <v>621</v>
      </c>
      <c r="E210" s="8" t="s">
        <v>622</v>
      </c>
      <c r="F210" s="11" t="n">
        <f aca="false">SUMIFS(Itens!$K:$K,Itens!$C:$C,B210,Itens!$A:$A,D210)</f>
        <v>58</v>
      </c>
    </row>
    <row r="211" customFormat="false" ht="15" hidden="false" customHeight="false" outlineLevel="0" collapsed="false">
      <c r="A211" s="8" t="n">
        <v>476061</v>
      </c>
      <c r="B211" s="8" t="s">
        <v>268</v>
      </c>
      <c r="C211" s="8" t="s">
        <v>1119</v>
      </c>
      <c r="D211" s="8" t="s">
        <v>613</v>
      </c>
      <c r="E211" s="8" t="s">
        <v>614</v>
      </c>
      <c r="F211" s="11" t="n">
        <f aca="false">SUMIFS(Itens!$K:$K,Itens!$C:$C,B211,Itens!$A:$A,D211)</f>
        <v>38</v>
      </c>
    </row>
    <row r="212" customFormat="false" ht="15" hidden="false" customHeight="false" outlineLevel="0" collapsed="false">
      <c r="A212" s="8" t="n">
        <v>476061</v>
      </c>
      <c r="B212" s="8" t="s">
        <v>272</v>
      </c>
      <c r="C212" s="8" t="s">
        <v>1119</v>
      </c>
      <c r="D212" s="8" t="s">
        <v>625</v>
      </c>
      <c r="E212" s="8" t="s">
        <v>626</v>
      </c>
      <c r="F212" s="11" t="n">
        <f aca="false">SUMIFS(Itens!$K:$K,Itens!$C:$C,B212,Itens!$A:$A,D212)</f>
        <v>20</v>
      </c>
    </row>
    <row r="213" customFormat="false" ht="15" hidden="false" customHeight="false" outlineLevel="0" collapsed="false">
      <c r="A213" s="8" t="n">
        <v>476061</v>
      </c>
      <c r="B213" s="8" t="s">
        <v>273</v>
      </c>
      <c r="C213" s="8" t="s">
        <v>1118</v>
      </c>
      <c r="D213" s="8" t="s">
        <v>615</v>
      </c>
      <c r="E213" s="8" t="s">
        <v>616</v>
      </c>
      <c r="F213" s="11" t="n">
        <f aca="false">SUMIFS(Itens!$K:$K,Itens!$C:$C,B213,Itens!$A:$A,D213)</f>
        <v>3</v>
      </c>
    </row>
    <row r="214" customFormat="false" ht="15" hidden="false" customHeight="false" outlineLevel="0" collapsed="false">
      <c r="A214" s="8" t="n">
        <v>476061</v>
      </c>
      <c r="B214" s="8" t="s">
        <v>277</v>
      </c>
      <c r="C214" s="8" t="s">
        <v>1119</v>
      </c>
      <c r="D214" s="8" t="s">
        <v>625</v>
      </c>
      <c r="E214" s="8" t="s">
        <v>626</v>
      </c>
      <c r="F214" s="11" t="n">
        <f aca="false">SUMIFS(Itens!$K:$K,Itens!$C:$C,B214,Itens!$A:$A,D214)</f>
        <v>20</v>
      </c>
    </row>
    <row r="215" customFormat="false" ht="15" hidden="false" customHeight="false" outlineLevel="0" collapsed="false">
      <c r="A215" s="8" t="n">
        <v>476061</v>
      </c>
      <c r="B215" s="8" t="s">
        <v>278</v>
      </c>
      <c r="C215" s="8" t="s">
        <v>1119</v>
      </c>
      <c r="D215" s="8" t="s">
        <v>613</v>
      </c>
      <c r="E215" s="8" t="s">
        <v>614</v>
      </c>
      <c r="F215" s="11" t="n">
        <f aca="false">SUMIFS(Itens!$K:$K,Itens!$C:$C,B215,Itens!$A:$A,D215)</f>
        <v>38</v>
      </c>
    </row>
    <row r="216" customFormat="false" ht="15" hidden="false" customHeight="false" outlineLevel="0" collapsed="false">
      <c r="A216" s="8" t="n">
        <v>476061</v>
      </c>
      <c r="B216" s="8" t="s">
        <v>279</v>
      </c>
      <c r="C216" s="8" t="s">
        <v>1118</v>
      </c>
      <c r="D216" s="8" t="s">
        <v>613</v>
      </c>
      <c r="E216" s="8" t="s">
        <v>614</v>
      </c>
      <c r="F216" s="11" t="n">
        <f aca="false">SUMIFS(Itens!$K:$K,Itens!$C:$C,B216,Itens!$A:$A,D216)</f>
        <v>6</v>
      </c>
    </row>
    <row r="217" customFormat="false" ht="15" hidden="false" customHeight="false" outlineLevel="0" collapsed="false">
      <c r="A217" s="8" t="n">
        <v>476061</v>
      </c>
      <c r="B217" s="8" t="s">
        <v>280</v>
      </c>
      <c r="C217" s="8" t="s">
        <v>1118</v>
      </c>
      <c r="D217" s="8" t="s">
        <v>621</v>
      </c>
      <c r="E217" s="8" t="s">
        <v>622</v>
      </c>
      <c r="F217" s="11" t="n">
        <f aca="false">SUMIFS(Itens!$K:$K,Itens!$C:$C,B217,Itens!$A:$A,D217)</f>
        <v>14</v>
      </c>
    </row>
    <row r="218" customFormat="false" ht="15" hidden="false" customHeight="false" outlineLevel="0" collapsed="false">
      <c r="A218" s="8" t="n">
        <v>476061</v>
      </c>
      <c r="B218" s="8" t="s">
        <v>282</v>
      </c>
      <c r="C218" s="8" t="s">
        <v>1118</v>
      </c>
      <c r="D218" s="8" t="s">
        <v>639</v>
      </c>
      <c r="E218" s="8" t="s">
        <v>640</v>
      </c>
      <c r="F218" s="11" t="n">
        <f aca="false">SUMIFS(Itens!$K:$K,Itens!$C:$C,B218,Itens!$A:$A,D218)</f>
        <v>5</v>
      </c>
    </row>
    <row r="219" customFormat="false" ht="15" hidden="false" customHeight="false" outlineLevel="0" collapsed="false">
      <c r="A219" s="8" t="n">
        <v>476061</v>
      </c>
      <c r="B219" s="8" t="s">
        <v>286</v>
      </c>
      <c r="C219" s="8" t="s">
        <v>1119</v>
      </c>
      <c r="D219" s="8" t="s">
        <v>619</v>
      </c>
      <c r="E219" s="8" t="s">
        <v>620</v>
      </c>
      <c r="F219" s="11" t="n">
        <f aca="false">SUMIFS(Itens!$K:$K,Itens!$C:$C,B219,Itens!$A:$A,D219)</f>
        <v>36</v>
      </c>
    </row>
    <row r="220" customFormat="false" ht="15" hidden="false" customHeight="false" outlineLevel="0" collapsed="false">
      <c r="A220" s="8" t="n">
        <v>476061</v>
      </c>
      <c r="B220" s="8" t="s">
        <v>287</v>
      </c>
      <c r="C220" s="8" t="s">
        <v>1119</v>
      </c>
      <c r="D220" s="8" t="s">
        <v>619</v>
      </c>
      <c r="E220" s="8" t="s">
        <v>620</v>
      </c>
      <c r="F220" s="11" t="n">
        <f aca="false">SUMIFS(Itens!$K:$K,Itens!$C:$C,B220,Itens!$A:$A,D220)</f>
        <v>36</v>
      </c>
    </row>
    <row r="221" customFormat="false" ht="15" hidden="false" customHeight="false" outlineLevel="0" collapsed="false">
      <c r="A221" s="8" t="n">
        <v>476061</v>
      </c>
      <c r="B221" s="8" t="s">
        <v>288</v>
      </c>
      <c r="C221" s="8" t="s">
        <v>1119</v>
      </c>
      <c r="D221" s="8" t="s">
        <v>619</v>
      </c>
      <c r="E221" s="8" t="s">
        <v>620</v>
      </c>
      <c r="F221" s="11" t="n">
        <f aca="false">SUMIFS(Itens!$K:$K,Itens!$C:$C,B221,Itens!$A:$A,D221)</f>
        <v>36</v>
      </c>
    </row>
    <row r="222" customFormat="false" ht="15" hidden="false" customHeight="false" outlineLevel="0" collapsed="false">
      <c r="A222" s="8" t="n">
        <v>476061</v>
      </c>
      <c r="B222" s="8" t="s">
        <v>289</v>
      </c>
      <c r="C222" s="8" t="s">
        <v>1118</v>
      </c>
      <c r="D222" s="8" t="s">
        <v>625</v>
      </c>
      <c r="E222" s="8" t="s">
        <v>626</v>
      </c>
      <c r="F222" s="11" t="n">
        <f aca="false">SUMIFS(Itens!$K:$K,Itens!$C:$C,B222,Itens!$A:$A,D222)</f>
        <v>10</v>
      </c>
    </row>
    <row r="223" customFormat="false" ht="15" hidden="false" customHeight="false" outlineLevel="0" collapsed="false">
      <c r="A223" s="8" t="n">
        <v>476061</v>
      </c>
      <c r="B223" s="8" t="s">
        <v>290</v>
      </c>
      <c r="C223" s="8" t="s">
        <v>1119</v>
      </c>
      <c r="D223" s="8" t="s">
        <v>639</v>
      </c>
      <c r="E223" s="8" t="s">
        <v>640</v>
      </c>
      <c r="F223" s="11" t="n">
        <f aca="false">SUMIFS(Itens!$K:$K,Itens!$C:$C,B223,Itens!$A:$A,D223)</f>
        <v>10</v>
      </c>
    </row>
    <row r="224" customFormat="false" ht="15" hidden="false" customHeight="false" outlineLevel="0" collapsed="false">
      <c r="A224" s="8" t="n">
        <v>476061</v>
      </c>
      <c r="B224" s="8" t="s">
        <v>290</v>
      </c>
      <c r="C224" s="8" t="s">
        <v>1119</v>
      </c>
      <c r="D224" s="8" t="s">
        <v>621</v>
      </c>
      <c r="E224" s="8" t="s">
        <v>622</v>
      </c>
      <c r="F224" s="11" t="n">
        <f aca="false">SUMIFS(Itens!$K:$K,Itens!$C:$C,B224,Itens!$A:$A,D224)</f>
        <v>36</v>
      </c>
    </row>
    <row r="225" customFormat="false" ht="15" hidden="false" customHeight="false" outlineLevel="0" collapsed="false">
      <c r="A225" s="8" t="n">
        <v>476061</v>
      </c>
      <c r="B225" s="8" t="s">
        <v>290</v>
      </c>
      <c r="C225" s="8" t="s">
        <v>1119</v>
      </c>
      <c r="D225" s="8" t="s">
        <v>613</v>
      </c>
      <c r="E225" s="8" t="s">
        <v>614</v>
      </c>
      <c r="F225" s="11" t="n">
        <f aca="false">SUMIFS(Itens!$K:$K,Itens!$C:$C,B225,Itens!$A:$A,D225)</f>
        <v>10</v>
      </c>
    </row>
    <row r="226" customFormat="false" ht="15" hidden="false" customHeight="false" outlineLevel="0" collapsed="false">
      <c r="A226" s="8" t="n">
        <v>476061</v>
      </c>
      <c r="B226" s="8" t="s">
        <v>291</v>
      </c>
      <c r="C226" s="8" t="s">
        <v>1118</v>
      </c>
      <c r="D226" s="8" t="s">
        <v>639</v>
      </c>
      <c r="E226" s="8" t="s">
        <v>640</v>
      </c>
      <c r="F226" s="11" t="n">
        <f aca="false">SUMIFS(Itens!$K:$K,Itens!$C:$C,B226,Itens!$A:$A,D226)</f>
        <v>2</v>
      </c>
    </row>
    <row r="227" customFormat="false" ht="15" hidden="false" customHeight="false" outlineLevel="0" collapsed="false">
      <c r="A227" s="8" t="n">
        <v>476061</v>
      </c>
      <c r="B227" s="8" t="s">
        <v>291</v>
      </c>
      <c r="C227" s="8" t="s">
        <v>1118</v>
      </c>
      <c r="D227" s="8" t="s">
        <v>627</v>
      </c>
      <c r="E227" s="8" t="s">
        <v>628</v>
      </c>
      <c r="F227" s="11" t="n">
        <f aca="false">SUMIFS(Itens!$K:$K,Itens!$C:$C,B227,Itens!$A:$A,D227)</f>
        <v>7</v>
      </c>
    </row>
    <row r="228" customFormat="false" ht="15" hidden="false" customHeight="false" outlineLevel="0" collapsed="false">
      <c r="A228" s="8" t="n">
        <v>476061</v>
      </c>
      <c r="B228" s="8" t="s">
        <v>291</v>
      </c>
      <c r="C228" s="8" t="s">
        <v>1118</v>
      </c>
      <c r="D228" s="8" t="s">
        <v>619</v>
      </c>
      <c r="E228" s="8" t="s">
        <v>620</v>
      </c>
      <c r="F228" s="11" t="n">
        <f aca="false">SUMIFS(Itens!$K:$K,Itens!$C:$C,B228,Itens!$A:$A,D228)</f>
        <v>1</v>
      </c>
    </row>
    <row r="229" customFormat="false" ht="15" hidden="false" customHeight="false" outlineLevel="0" collapsed="false">
      <c r="A229" s="8" t="n">
        <v>476061</v>
      </c>
      <c r="B229" s="8" t="s">
        <v>293</v>
      </c>
      <c r="C229" s="8" t="s">
        <v>1118</v>
      </c>
      <c r="D229" s="8" t="s">
        <v>601</v>
      </c>
      <c r="E229" s="8" t="s">
        <v>602</v>
      </c>
      <c r="F229" s="11" t="n">
        <f aca="false">SUMIFS(Itens!$K:$K,Itens!$C:$C,B229,Itens!$A:$A,D229)</f>
        <v>16</v>
      </c>
    </row>
    <row r="230" customFormat="false" ht="15" hidden="false" customHeight="false" outlineLevel="0" collapsed="false">
      <c r="A230" s="8" t="n">
        <v>476061</v>
      </c>
      <c r="B230" s="8" t="s">
        <v>294</v>
      </c>
      <c r="C230" s="8" t="s">
        <v>1118</v>
      </c>
      <c r="D230" s="8" t="s">
        <v>599</v>
      </c>
      <c r="E230" s="8" t="s">
        <v>600</v>
      </c>
      <c r="F230" s="11" t="n">
        <f aca="false">SUMIFS(Itens!$K:$K,Itens!$C:$C,B230,Itens!$A:$A,D230)</f>
        <v>4</v>
      </c>
    </row>
    <row r="231" customFormat="false" ht="15" hidden="false" customHeight="false" outlineLevel="0" collapsed="false">
      <c r="A231" s="8" t="n">
        <v>476061</v>
      </c>
      <c r="B231" s="8" t="s">
        <v>294</v>
      </c>
      <c r="C231" s="8" t="s">
        <v>1118</v>
      </c>
      <c r="D231" s="8" t="s">
        <v>589</v>
      </c>
      <c r="E231" s="8" t="s">
        <v>590</v>
      </c>
      <c r="F231" s="11" t="n">
        <f aca="false">SUMIFS(Itens!$K:$K,Itens!$C:$C,B231,Itens!$A:$A,D231)</f>
        <v>6</v>
      </c>
    </row>
    <row r="232" customFormat="false" ht="15" hidden="false" customHeight="false" outlineLevel="0" collapsed="false">
      <c r="A232" s="8" t="n">
        <v>476061</v>
      </c>
      <c r="B232" s="8" t="s">
        <v>295</v>
      </c>
      <c r="C232" s="8" t="s">
        <v>1119</v>
      </c>
      <c r="D232" s="8" t="s">
        <v>589</v>
      </c>
      <c r="E232" s="8" t="s">
        <v>590</v>
      </c>
      <c r="F232" s="11" t="n">
        <f aca="false">SUMIFS(Itens!$K:$K,Itens!$C:$C,B232,Itens!$A:$A,D232)</f>
        <v>49</v>
      </c>
    </row>
    <row r="233" customFormat="false" ht="15" hidden="false" customHeight="false" outlineLevel="0" collapsed="false">
      <c r="A233" s="8" t="n">
        <v>476061</v>
      </c>
      <c r="B233" s="8" t="s">
        <v>300</v>
      </c>
      <c r="C233" s="8" t="s">
        <v>1119</v>
      </c>
      <c r="D233" s="8" t="s">
        <v>653</v>
      </c>
      <c r="E233" s="8" t="s">
        <v>654</v>
      </c>
      <c r="F233" s="11" t="n">
        <f aca="false">SUMIFS(Itens!$K:$K,Itens!$C:$C,B233,Itens!$A:$A,D233)</f>
        <v>34</v>
      </c>
    </row>
    <row r="234" customFormat="false" ht="15" hidden="false" customHeight="false" outlineLevel="0" collapsed="false">
      <c r="A234" s="8" t="n">
        <v>476061</v>
      </c>
      <c r="B234" s="8" t="s">
        <v>301</v>
      </c>
      <c r="C234" s="8" t="s">
        <v>1118</v>
      </c>
      <c r="D234" s="8" t="s">
        <v>653</v>
      </c>
      <c r="E234" s="8" t="s">
        <v>654</v>
      </c>
      <c r="F234" s="11" t="n">
        <f aca="false">SUMIFS(Itens!$K:$K,Itens!$C:$C,B234,Itens!$A:$A,D234)</f>
        <v>31</v>
      </c>
    </row>
    <row r="235" customFormat="false" ht="15" hidden="false" customHeight="false" outlineLevel="0" collapsed="false">
      <c r="A235" s="8" t="n">
        <v>476061</v>
      </c>
      <c r="B235" s="8" t="s">
        <v>302</v>
      </c>
      <c r="C235" s="8" t="s">
        <v>1118</v>
      </c>
      <c r="D235" s="8" t="s">
        <v>653</v>
      </c>
      <c r="E235" s="8" t="s">
        <v>654</v>
      </c>
      <c r="F235" s="11" t="n">
        <f aca="false">SUMIFS(Itens!$K:$K,Itens!$C:$C,B235,Itens!$A:$A,D235)</f>
        <v>34</v>
      </c>
    </row>
    <row r="236" customFormat="false" ht="15" hidden="false" customHeight="false" outlineLevel="0" collapsed="false">
      <c r="A236" s="8" t="n">
        <v>476061</v>
      </c>
      <c r="B236" s="8" t="s">
        <v>303</v>
      </c>
      <c r="C236" s="8" t="s">
        <v>1119</v>
      </c>
      <c r="D236" s="8" t="s">
        <v>655</v>
      </c>
      <c r="E236" s="8" t="s">
        <v>656</v>
      </c>
      <c r="F236" s="11" t="n">
        <f aca="false">SUMIFS(Itens!$K:$K,Itens!$C:$C,B236,Itens!$A:$A,D236)</f>
        <v>38</v>
      </c>
    </row>
    <row r="237" customFormat="false" ht="15" hidden="false" customHeight="false" outlineLevel="0" collapsed="false">
      <c r="A237" s="8" t="n">
        <v>476061</v>
      </c>
      <c r="B237" s="8" t="s">
        <v>306</v>
      </c>
      <c r="C237" s="8" t="s">
        <v>1119</v>
      </c>
      <c r="D237" s="8" t="s">
        <v>655</v>
      </c>
      <c r="E237" s="8" t="s">
        <v>656</v>
      </c>
      <c r="F237" s="11" t="n">
        <f aca="false">SUMIFS(Itens!$K:$K,Itens!$C:$C,B237,Itens!$A:$A,D237)</f>
        <v>38</v>
      </c>
    </row>
    <row r="238" customFormat="false" ht="15" hidden="false" customHeight="false" outlineLevel="0" collapsed="false">
      <c r="A238" s="8" t="n">
        <v>476061</v>
      </c>
      <c r="B238" s="8" t="s">
        <v>309</v>
      </c>
      <c r="C238" s="8" t="s">
        <v>1119</v>
      </c>
      <c r="D238" s="8" t="s">
        <v>657</v>
      </c>
      <c r="E238" s="8" t="s">
        <v>658</v>
      </c>
      <c r="F238" s="11" t="n">
        <f aca="false">SUMIFS(Itens!$K:$K,Itens!$C:$C,B238,Itens!$A:$A,D238)</f>
        <v>9</v>
      </c>
    </row>
    <row r="239" customFormat="false" ht="15" hidden="false" customHeight="false" outlineLevel="0" collapsed="false">
      <c r="A239" s="8" t="n">
        <v>476061</v>
      </c>
      <c r="B239" s="8" t="s">
        <v>310</v>
      </c>
      <c r="C239" s="8" t="s">
        <v>1119</v>
      </c>
      <c r="D239" s="8" t="s">
        <v>657</v>
      </c>
      <c r="E239" s="8" t="s">
        <v>658</v>
      </c>
      <c r="F239" s="11" t="n">
        <f aca="false">SUMIFS(Itens!$K:$K,Itens!$C:$C,B239,Itens!$A:$A,D239)</f>
        <v>9</v>
      </c>
    </row>
    <row r="240" customFormat="false" ht="15" hidden="false" customHeight="false" outlineLevel="0" collapsed="false">
      <c r="A240" s="8" t="n">
        <v>476061</v>
      </c>
      <c r="B240" s="8" t="s">
        <v>313</v>
      </c>
      <c r="C240" s="8" t="s">
        <v>1119</v>
      </c>
      <c r="D240" s="8" t="s">
        <v>657</v>
      </c>
      <c r="E240" s="8" t="s">
        <v>658</v>
      </c>
      <c r="F240" s="11" t="n">
        <f aca="false">SUMIFS(Itens!$K:$K,Itens!$C:$C,B240,Itens!$A:$A,D240)</f>
        <v>9</v>
      </c>
    </row>
    <row r="241" customFormat="false" ht="15" hidden="false" customHeight="false" outlineLevel="0" collapsed="false">
      <c r="A241" s="8" t="n">
        <v>476061</v>
      </c>
      <c r="B241" s="8" t="s">
        <v>318</v>
      </c>
      <c r="C241" s="8" t="s">
        <v>1119</v>
      </c>
      <c r="D241" s="8" t="s">
        <v>657</v>
      </c>
      <c r="E241" s="8" t="s">
        <v>658</v>
      </c>
      <c r="F241" s="11" t="n">
        <f aca="false">SUMIFS(Itens!$K:$K,Itens!$C:$C,B241,Itens!$A:$A,D241)</f>
        <v>9</v>
      </c>
    </row>
    <row r="242" customFormat="false" ht="15" hidden="false" customHeight="false" outlineLevel="0" collapsed="false">
      <c r="A242" s="8" t="n">
        <v>476061</v>
      </c>
      <c r="B242" s="8" t="s">
        <v>319</v>
      </c>
      <c r="C242" s="8" t="s">
        <v>1118</v>
      </c>
      <c r="D242" s="8" t="s">
        <v>657</v>
      </c>
      <c r="E242" s="8" t="s">
        <v>658</v>
      </c>
      <c r="F242" s="11" t="n">
        <f aca="false">SUMIFS(Itens!$K:$K,Itens!$C:$C,B242,Itens!$A:$A,D242)</f>
        <v>23</v>
      </c>
    </row>
    <row r="243" customFormat="false" ht="15" hidden="false" customHeight="false" outlineLevel="0" collapsed="false">
      <c r="A243" s="8" t="n">
        <v>476061</v>
      </c>
      <c r="B243" s="8" t="s">
        <v>321</v>
      </c>
      <c r="C243" s="8" t="s">
        <v>1119</v>
      </c>
      <c r="D243" s="8" t="s">
        <v>659</v>
      </c>
      <c r="E243" s="8" t="s">
        <v>660</v>
      </c>
      <c r="F243" s="11" t="n">
        <f aca="false">SUMIFS(Itens!$K:$K,Itens!$C:$C,B243,Itens!$A:$A,D243)</f>
        <v>11</v>
      </c>
    </row>
    <row r="244" customFormat="false" ht="15" hidden="false" customHeight="false" outlineLevel="0" collapsed="false">
      <c r="A244" s="8" t="n">
        <v>476061</v>
      </c>
      <c r="B244" s="8" t="s">
        <v>322</v>
      </c>
      <c r="C244" s="8" t="s">
        <v>1119</v>
      </c>
      <c r="D244" s="8" t="s">
        <v>661</v>
      </c>
      <c r="E244" s="8" t="s">
        <v>662</v>
      </c>
      <c r="F244" s="11" t="n">
        <f aca="false">SUMIFS(Itens!$K:$K,Itens!$C:$C,B244,Itens!$A:$A,D244)</f>
        <v>7</v>
      </c>
    </row>
    <row r="245" customFormat="false" ht="15" hidden="false" customHeight="false" outlineLevel="0" collapsed="false">
      <c r="A245" s="8" t="n">
        <v>476061</v>
      </c>
      <c r="B245" s="8" t="s">
        <v>322</v>
      </c>
      <c r="C245" s="8" t="s">
        <v>1119</v>
      </c>
      <c r="D245" s="8" t="s">
        <v>657</v>
      </c>
      <c r="E245" s="8" t="s">
        <v>658</v>
      </c>
      <c r="F245" s="11" t="n">
        <f aca="false">SUMIFS(Itens!$K:$K,Itens!$C:$C,B245,Itens!$A:$A,D245)</f>
        <v>6</v>
      </c>
    </row>
    <row r="246" customFormat="false" ht="15" hidden="false" customHeight="false" outlineLevel="0" collapsed="false">
      <c r="A246" s="8" t="n">
        <v>476061</v>
      </c>
      <c r="B246" s="8" t="s">
        <v>322</v>
      </c>
      <c r="C246" s="8" t="s">
        <v>1119</v>
      </c>
      <c r="D246" s="8" t="s">
        <v>659</v>
      </c>
      <c r="E246" s="8" t="s">
        <v>660</v>
      </c>
      <c r="F246" s="11" t="n">
        <f aca="false">SUMIFS(Itens!$K:$K,Itens!$C:$C,B246,Itens!$A:$A,D246)</f>
        <v>1</v>
      </c>
    </row>
    <row r="247" customFormat="false" ht="15" hidden="false" customHeight="false" outlineLevel="0" collapsed="false">
      <c r="A247" s="8" t="n">
        <v>476061</v>
      </c>
      <c r="B247" s="8" t="s">
        <v>323</v>
      </c>
      <c r="C247" s="8" t="s">
        <v>1119</v>
      </c>
      <c r="D247" s="8" t="s">
        <v>659</v>
      </c>
      <c r="E247" s="8" t="s">
        <v>660</v>
      </c>
      <c r="F247" s="11" t="n">
        <f aca="false">SUMIFS(Itens!$K:$K,Itens!$C:$C,B247,Itens!$A:$A,D247)</f>
        <v>11</v>
      </c>
    </row>
    <row r="248" customFormat="false" ht="15" hidden="false" customHeight="false" outlineLevel="0" collapsed="false">
      <c r="A248" s="8" t="n">
        <v>476061</v>
      </c>
      <c r="B248" s="8" t="s">
        <v>330</v>
      </c>
      <c r="C248" s="8" t="s">
        <v>1118</v>
      </c>
      <c r="D248" s="8" t="s">
        <v>655</v>
      </c>
      <c r="E248" s="8" t="s">
        <v>656</v>
      </c>
      <c r="F248" s="11" t="n">
        <f aca="false">SUMIFS(Itens!$K:$K,Itens!$C:$C,B248,Itens!$A:$A,D248)</f>
        <v>2</v>
      </c>
    </row>
    <row r="249" customFormat="false" ht="15" hidden="false" customHeight="false" outlineLevel="0" collapsed="false">
      <c r="A249" s="8" t="n">
        <v>476061</v>
      </c>
      <c r="B249" s="8" t="s">
        <v>332</v>
      </c>
      <c r="C249" s="8" t="s">
        <v>1119</v>
      </c>
      <c r="D249" s="8" t="s">
        <v>661</v>
      </c>
      <c r="E249" s="8" t="s">
        <v>662</v>
      </c>
      <c r="F249" s="11" t="n">
        <f aca="false">SUMIFS(Itens!$K:$K,Itens!$C:$C,B249,Itens!$A:$A,D249)</f>
        <v>28</v>
      </c>
    </row>
    <row r="250" customFormat="false" ht="15" hidden="false" customHeight="false" outlineLevel="0" collapsed="false">
      <c r="A250" s="8" t="n">
        <v>476061</v>
      </c>
      <c r="B250" s="8" t="s">
        <v>334</v>
      </c>
      <c r="C250" s="8" t="s">
        <v>1119</v>
      </c>
      <c r="D250" s="8" t="s">
        <v>661</v>
      </c>
      <c r="E250" s="8" t="s">
        <v>662</v>
      </c>
      <c r="F250" s="11" t="n">
        <f aca="false">SUMIFS(Itens!$K:$K,Itens!$C:$C,B250,Itens!$A:$A,D250)</f>
        <v>28</v>
      </c>
    </row>
    <row r="251" customFormat="false" ht="15" hidden="false" customHeight="false" outlineLevel="0" collapsed="false">
      <c r="A251" s="8" t="n">
        <v>476061</v>
      </c>
      <c r="B251" s="8" t="s">
        <v>335</v>
      </c>
      <c r="C251" s="8" t="s">
        <v>1119</v>
      </c>
      <c r="D251" s="8" t="s">
        <v>661</v>
      </c>
      <c r="E251" s="8" t="s">
        <v>662</v>
      </c>
      <c r="F251" s="11" t="n">
        <f aca="false">SUMIFS(Itens!$K:$K,Itens!$C:$C,B251,Itens!$A:$A,D251)</f>
        <v>28</v>
      </c>
    </row>
    <row r="252" customFormat="false" ht="15" hidden="false" customHeight="false" outlineLevel="0" collapsed="false">
      <c r="A252" s="8" t="n">
        <v>476065</v>
      </c>
      <c r="B252" s="8" t="s">
        <v>42</v>
      </c>
      <c r="C252" s="8" t="s">
        <v>1118</v>
      </c>
      <c r="D252" s="8" t="s">
        <v>429</v>
      </c>
      <c r="E252" s="8" t="s">
        <v>430</v>
      </c>
      <c r="F252" s="11" t="n">
        <f aca="false">SUMIFS(Itens!$K:$K,Itens!$C:$C,B252,Itens!$A:$A,D252)</f>
        <v>1</v>
      </c>
    </row>
    <row r="253" customFormat="false" ht="15" hidden="false" customHeight="false" outlineLevel="0" collapsed="false">
      <c r="A253" s="8" t="n">
        <v>476065</v>
      </c>
      <c r="B253" s="8" t="s">
        <v>45</v>
      </c>
      <c r="C253" s="8" t="s">
        <v>1119</v>
      </c>
      <c r="D253" s="8" t="s">
        <v>435</v>
      </c>
      <c r="E253" s="8" t="s">
        <v>436</v>
      </c>
      <c r="F253" s="11" t="n">
        <f aca="false">SUMIFS(Itens!$K:$K,Itens!$C:$C,B253,Itens!$A:$A,D253)</f>
        <v>20</v>
      </c>
    </row>
    <row r="254" customFormat="false" ht="15" hidden="false" customHeight="false" outlineLevel="0" collapsed="false">
      <c r="A254" s="8" t="n">
        <v>476065</v>
      </c>
      <c r="B254" s="8" t="s">
        <v>47</v>
      </c>
      <c r="C254" s="8" t="s">
        <v>1119</v>
      </c>
      <c r="D254" s="8" t="s">
        <v>435</v>
      </c>
      <c r="E254" s="8" t="s">
        <v>436</v>
      </c>
      <c r="F254" s="11" t="n">
        <f aca="false">SUMIFS(Itens!$K:$K,Itens!$C:$C,B254,Itens!$A:$A,D254)</f>
        <v>20</v>
      </c>
    </row>
    <row r="255" customFormat="false" ht="15" hidden="false" customHeight="false" outlineLevel="0" collapsed="false">
      <c r="A255" s="8" t="n">
        <v>476065</v>
      </c>
      <c r="B255" s="8" t="s">
        <v>48</v>
      </c>
      <c r="C255" s="8" t="s">
        <v>1119</v>
      </c>
      <c r="D255" s="8" t="s">
        <v>435</v>
      </c>
      <c r="E255" s="8" t="s">
        <v>436</v>
      </c>
      <c r="F255" s="11" t="n">
        <f aca="false">SUMIFS(Itens!$K:$K,Itens!$C:$C,B255,Itens!$A:$A,D255)</f>
        <v>20</v>
      </c>
    </row>
    <row r="256" customFormat="false" ht="15" hidden="false" customHeight="false" outlineLevel="0" collapsed="false">
      <c r="A256" s="8" t="n">
        <v>476065</v>
      </c>
      <c r="B256" s="8" t="s">
        <v>52</v>
      </c>
      <c r="C256" s="8" t="s">
        <v>1119</v>
      </c>
      <c r="D256" s="8" t="s">
        <v>435</v>
      </c>
      <c r="E256" s="8" t="s">
        <v>436</v>
      </c>
      <c r="F256" s="11" t="n">
        <f aca="false">SUMIFS(Itens!$K:$K,Itens!$C:$C,B256,Itens!$A:$A,D256)</f>
        <v>20</v>
      </c>
    </row>
    <row r="257" customFormat="false" ht="15" hidden="false" customHeight="false" outlineLevel="0" collapsed="false">
      <c r="A257" s="8" t="n">
        <v>476065</v>
      </c>
      <c r="B257" s="8" t="s">
        <v>53</v>
      </c>
      <c r="C257" s="8" t="s">
        <v>1119</v>
      </c>
      <c r="D257" s="8" t="s">
        <v>437</v>
      </c>
      <c r="E257" s="8" t="s">
        <v>438</v>
      </c>
      <c r="F257" s="11" t="n">
        <f aca="false">SUMIFS(Itens!$K:$K,Itens!$C:$C,B257,Itens!$A:$A,D257)</f>
        <v>36</v>
      </c>
    </row>
    <row r="258" customFormat="false" ht="15" hidden="false" customHeight="false" outlineLevel="0" collapsed="false">
      <c r="A258" s="8" t="n">
        <v>476065</v>
      </c>
      <c r="B258" s="8" t="s">
        <v>56</v>
      </c>
      <c r="C258" s="8" t="s">
        <v>1119</v>
      </c>
      <c r="D258" s="8" t="s">
        <v>437</v>
      </c>
      <c r="E258" s="8" t="s">
        <v>438</v>
      </c>
      <c r="F258" s="11" t="n">
        <f aca="false">SUMIFS(Itens!$K:$K,Itens!$C:$C,B258,Itens!$A:$A,D258)</f>
        <v>36</v>
      </c>
    </row>
    <row r="259" customFormat="false" ht="15" hidden="false" customHeight="false" outlineLevel="0" collapsed="false">
      <c r="A259" s="8" t="n">
        <v>476065</v>
      </c>
      <c r="B259" s="8" t="s">
        <v>57</v>
      </c>
      <c r="C259" s="8" t="s">
        <v>1119</v>
      </c>
      <c r="D259" s="8" t="s">
        <v>437</v>
      </c>
      <c r="E259" s="8" t="s">
        <v>438</v>
      </c>
      <c r="F259" s="11" t="n">
        <f aca="false">SUMIFS(Itens!$K:$K,Itens!$C:$C,B259,Itens!$A:$A,D259)</f>
        <v>36</v>
      </c>
    </row>
    <row r="260" customFormat="false" ht="15" hidden="false" customHeight="false" outlineLevel="0" collapsed="false">
      <c r="A260" s="8" t="n">
        <v>476065</v>
      </c>
      <c r="B260" s="8" t="s">
        <v>63</v>
      </c>
      <c r="C260" s="8" t="s">
        <v>1119</v>
      </c>
      <c r="D260" s="8" t="s">
        <v>447</v>
      </c>
      <c r="E260" s="8" t="s">
        <v>448</v>
      </c>
      <c r="F260" s="11" t="n">
        <f aca="false">SUMIFS(Itens!$K:$K,Itens!$C:$C,B260,Itens!$A:$A,D260)</f>
        <v>40</v>
      </c>
    </row>
    <row r="261" customFormat="false" ht="15" hidden="false" customHeight="false" outlineLevel="0" collapsed="false">
      <c r="A261" s="8" t="n">
        <v>476065</v>
      </c>
      <c r="B261" s="8" t="s">
        <v>65</v>
      </c>
      <c r="C261" s="8" t="s">
        <v>1119</v>
      </c>
      <c r="D261" s="8" t="s">
        <v>449</v>
      </c>
      <c r="E261" s="8" t="s">
        <v>450</v>
      </c>
      <c r="F261" s="11" t="n">
        <f aca="false">SUMIFS(Itens!$K:$K,Itens!$C:$C,B261,Itens!$A:$A,D261)</f>
        <v>34</v>
      </c>
    </row>
    <row r="262" customFormat="false" ht="15" hidden="false" customHeight="false" outlineLevel="0" collapsed="false">
      <c r="A262" s="8" t="n">
        <v>476065</v>
      </c>
      <c r="B262" s="8" t="s">
        <v>69</v>
      </c>
      <c r="C262" s="8" t="s">
        <v>1118</v>
      </c>
      <c r="D262" s="8" t="s">
        <v>429</v>
      </c>
      <c r="E262" s="8" t="s">
        <v>430</v>
      </c>
      <c r="F262" s="11" t="n">
        <f aca="false">SUMIFS(Itens!$K:$K,Itens!$C:$C,B262,Itens!$A:$A,D262)</f>
        <v>20</v>
      </c>
    </row>
    <row r="263" customFormat="false" ht="15" hidden="false" customHeight="false" outlineLevel="0" collapsed="false">
      <c r="A263" s="8" t="n">
        <v>476065</v>
      </c>
      <c r="B263" s="8" t="s">
        <v>71</v>
      </c>
      <c r="C263" s="8" t="s">
        <v>1119</v>
      </c>
      <c r="D263" s="8" t="s">
        <v>435</v>
      </c>
      <c r="E263" s="8" t="s">
        <v>436</v>
      </c>
      <c r="F263" s="11" t="n">
        <f aca="false">SUMIFS(Itens!$K:$K,Itens!$C:$C,B263,Itens!$A:$A,D263)</f>
        <v>20</v>
      </c>
    </row>
    <row r="264" customFormat="false" ht="15" hidden="false" customHeight="false" outlineLevel="0" collapsed="false">
      <c r="A264" s="8" t="n">
        <v>476065</v>
      </c>
      <c r="B264" s="8" t="s">
        <v>72</v>
      </c>
      <c r="C264" s="8" t="s">
        <v>1118</v>
      </c>
      <c r="D264" s="8" t="s">
        <v>453</v>
      </c>
      <c r="E264" s="8" t="s">
        <v>454</v>
      </c>
      <c r="F264" s="11" t="n">
        <f aca="false">SUMIFS(Itens!$K:$K,Itens!$C:$C,B264,Itens!$A:$A,D264)</f>
        <v>9</v>
      </c>
    </row>
    <row r="265" customFormat="false" ht="15" hidden="false" customHeight="false" outlineLevel="0" collapsed="false">
      <c r="A265" s="8" t="n">
        <v>476065</v>
      </c>
      <c r="B265" s="8" t="s">
        <v>75</v>
      </c>
      <c r="C265" s="8" t="s">
        <v>1119</v>
      </c>
      <c r="D265" s="8" t="s">
        <v>453</v>
      </c>
      <c r="E265" s="8" t="s">
        <v>454</v>
      </c>
      <c r="F265" s="11" t="n">
        <f aca="false">SUMIFS(Itens!$K:$K,Itens!$C:$C,B265,Itens!$A:$A,D265)</f>
        <v>28</v>
      </c>
    </row>
    <row r="266" customFormat="false" ht="15" hidden="false" customHeight="false" outlineLevel="0" collapsed="false">
      <c r="A266" s="8" t="n">
        <v>476065</v>
      </c>
      <c r="B266" s="8" t="s">
        <v>78</v>
      </c>
      <c r="C266" s="8" t="s">
        <v>1118</v>
      </c>
      <c r="D266" s="8" t="s">
        <v>449</v>
      </c>
      <c r="E266" s="8" t="s">
        <v>450</v>
      </c>
      <c r="F266" s="11" t="n">
        <f aca="false">SUMIFS(Itens!$K:$K,Itens!$C:$C,B266,Itens!$A:$A,D266)</f>
        <v>14</v>
      </c>
    </row>
    <row r="267" customFormat="false" ht="15" hidden="false" customHeight="false" outlineLevel="0" collapsed="false">
      <c r="A267" s="8" t="n">
        <v>476065</v>
      </c>
      <c r="B267" s="8" t="s">
        <v>79</v>
      </c>
      <c r="C267" s="8" t="s">
        <v>1119</v>
      </c>
      <c r="D267" s="8" t="s">
        <v>429</v>
      </c>
      <c r="E267" s="8" t="s">
        <v>430</v>
      </c>
      <c r="F267" s="11" t="n">
        <f aca="false">SUMIFS(Itens!$K:$K,Itens!$C:$C,B267,Itens!$A:$A,D267)</f>
        <v>30</v>
      </c>
    </row>
    <row r="268" customFormat="false" ht="15" hidden="false" customHeight="false" outlineLevel="0" collapsed="false">
      <c r="A268" s="8" t="n">
        <v>476065</v>
      </c>
      <c r="B268" s="8" t="s">
        <v>80</v>
      </c>
      <c r="C268" s="8" t="s">
        <v>1118</v>
      </c>
      <c r="D268" s="8" t="s">
        <v>439</v>
      </c>
      <c r="E268" s="8" t="s">
        <v>440</v>
      </c>
      <c r="F268" s="11" t="n">
        <f aca="false">SUMIFS(Itens!$K:$K,Itens!$C:$C,B268,Itens!$A:$A,D268)</f>
        <v>12</v>
      </c>
    </row>
    <row r="269" customFormat="false" ht="15" hidden="false" customHeight="false" outlineLevel="0" collapsed="false">
      <c r="A269" s="8" t="n">
        <v>476065</v>
      </c>
      <c r="B269" s="8" t="s">
        <v>81</v>
      </c>
      <c r="C269" s="8" t="s">
        <v>1119</v>
      </c>
      <c r="D269" s="8" t="s">
        <v>435</v>
      </c>
      <c r="E269" s="8" t="s">
        <v>436</v>
      </c>
      <c r="F269" s="11" t="n">
        <f aca="false">SUMIFS(Itens!$K:$K,Itens!$C:$C,B269,Itens!$A:$A,D269)</f>
        <v>20</v>
      </c>
    </row>
    <row r="270" customFormat="false" ht="15" hidden="false" customHeight="false" outlineLevel="0" collapsed="false">
      <c r="A270" s="8" t="n">
        <v>476065</v>
      </c>
      <c r="B270" s="8" t="s">
        <v>82</v>
      </c>
      <c r="C270" s="8" t="s">
        <v>1118</v>
      </c>
      <c r="D270" s="8" t="s">
        <v>435</v>
      </c>
      <c r="E270" s="8" t="s">
        <v>436</v>
      </c>
      <c r="F270" s="11" t="n">
        <f aca="false">SUMIFS(Itens!$K:$K,Itens!$C:$C,B270,Itens!$A:$A,D270)</f>
        <v>20</v>
      </c>
    </row>
    <row r="271" customFormat="false" ht="15" hidden="false" customHeight="false" outlineLevel="0" collapsed="false">
      <c r="A271" s="8" t="n">
        <v>476065</v>
      </c>
      <c r="B271" s="8" t="s">
        <v>83</v>
      </c>
      <c r="C271" s="8" t="s">
        <v>1118</v>
      </c>
      <c r="D271" s="8" t="s">
        <v>435</v>
      </c>
      <c r="E271" s="8" t="s">
        <v>436</v>
      </c>
      <c r="F271" s="11" t="n">
        <f aca="false">SUMIFS(Itens!$K:$K,Itens!$C:$C,B271,Itens!$A:$A,D271)</f>
        <v>20</v>
      </c>
    </row>
    <row r="272" customFormat="false" ht="15" hidden="false" customHeight="false" outlineLevel="0" collapsed="false">
      <c r="A272" s="8" t="n">
        <v>476065</v>
      </c>
      <c r="B272" s="8" t="s">
        <v>84</v>
      </c>
      <c r="C272" s="8" t="s">
        <v>1118</v>
      </c>
      <c r="D272" s="8" t="s">
        <v>435</v>
      </c>
      <c r="E272" s="8" t="s">
        <v>436</v>
      </c>
      <c r="F272" s="11" t="n">
        <f aca="false">SUMIFS(Itens!$K:$K,Itens!$C:$C,B272,Itens!$A:$A,D272)</f>
        <v>20</v>
      </c>
    </row>
    <row r="273" customFormat="false" ht="15" hidden="false" customHeight="false" outlineLevel="0" collapsed="false">
      <c r="A273" s="8" t="n">
        <v>476065</v>
      </c>
      <c r="B273" s="8" t="s">
        <v>85</v>
      </c>
      <c r="C273" s="8" t="s">
        <v>1118</v>
      </c>
      <c r="D273" s="8" t="s">
        <v>435</v>
      </c>
      <c r="E273" s="8" t="s">
        <v>436</v>
      </c>
      <c r="F273" s="11" t="n">
        <f aca="false">SUMIFS(Itens!$K:$K,Itens!$C:$C,B273,Itens!$A:$A,D273)</f>
        <v>20</v>
      </c>
    </row>
    <row r="274" customFormat="false" ht="15" hidden="false" customHeight="false" outlineLevel="0" collapsed="false">
      <c r="A274" s="8" t="n">
        <v>476065</v>
      </c>
      <c r="B274" s="8" t="s">
        <v>86</v>
      </c>
      <c r="C274" s="8" t="s">
        <v>1118</v>
      </c>
      <c r="D274" s="8" t="s">
        <v>435</v>
      </c>
      <c r="E274" s="8" t="s">
        <v>436</v>
      </c>
      <c r="F274" s="11" t="n">
        <f aca="false">SUMIFS(Itens!$K:$K,Itens!$C:$C,B274,Itens!$A:$A,D274)</f>
        <v>20</v>
      </c>
    </row>
    <row r="275" customFormat="false" ht="15" hidden="false" customHeight="false" outlineLevel="0" collapsed="false">
      <c r="A275" s="8" t="n">
        <v>476065</v>
      </c>
      <c r="B275" s="8" t="s">
        <v>87</v>
      </c>
      <c r="C275" s="8" t="s">
        <v>1118</v>
      </c>
      <c r="D275" s="8" t="s">
        <v>435</v>
      </c>
      <c r="E275" s="8" t="s">
        <v>436</v>
      </c>
      <c r="F275" s="11" t="n">
        <f aca="false">SUMIFS(Itens!$K:$K,Itens!$C:$C,B275,Itens!$A:$A,D275)</f>
        <v>10</v>
      </c>
    </row>
    <row r="276" customFormat="false" ht="15" hidden="false" customHeight="false" outlineLevel="0" collapsed="false">
      <c r="A276" s="8" t="n">
        <v>476065</v>
      </c>
      <c r="B276" s="8" t="s">
        <v>88</v>
      </c>
      <c r="C276" s="8" t="s">
        <v>1118</v>
      </c>
      <c r="D276" s="8" t="s">
        <v>449</v>
      </c>
      <c r="E276" s="8" t="s">
        <v>450</v>
      </c>
      <c r="F276" s="11" t="n">
        <f aca="false">SUMIFS(Itens!$K:$K,Itens!$C:$C,B276,Itens!$A:$A,D276)</f>
        <v>3</v>
      </c>
    </row>
    <row r="277" customFormat="false" ht="15" hidden="false" customHeight="false" outlineLevel="0" collapsed="false">
      <c r="A277" s="8" t="n">
        <v>476065</v>
      </c>
      <c r="B277" s="8" t="s">
        <v>88</v>
      </c>
      <c r="C277" s="8" t="s">
        <v>1118</v>
      </c>
      <c r="D277" s="8" t="s">
        <v>439</v>
      </c>
      <c r="E277" s="8" t="s">
        <v>440</v>
      </c>
      <c r="F277" s="11" t="n">
        <f aca="false">SUMIFS(Itens!$K:$K,Itens!$C:$C,B277,Itens!$A:$A,D277)</f>
        <v>14</v>
      </c>
    </row>
    <row r="278" customFormat="false" ht="15" hidden="false" customHeight="false" outlineLevel="0" collapsed="false">
      <c r="A278" s="8" t="n">
        <v>476065</v>
      </c>
      <c r="B278" s="8" t="s">
        <v>89</v>
      </c>
      <c r="C278" s="8" t="s">
        <v>1119</v>
      </c>
      <c r="D278" s="8" t="s">
        <v>429</v>
      </c>
      <c r="E278" s="8" t="s">
        <v>430</v>
      </c>
      <c r="F278" s="11" t="n">
        <f aca="false">SUMIFS(Itens!$K:$K,Itens!$C:$C,B278,Itens!$A:$A,D278)</f>
        <v>12</v>
      </c>
    </row>
    <row r="279" customFormat="false" ht="15" hidden="false" customHeight="false" outlineLevel="0" collapsed="false">
      <c r="A279" s="8" t="n">
        <v>476065</v>
      </c>
      <c r="B279" s="8" t="s">
        <v>89</v>
      </c>
      <c r="C279" s="8" t="s">
        <v>1119</v>
      </c>
      <c r="D279" s="8" t="s">
        <v>447</v>
      </c>
      <c r="E279" s="8" t="s">
        <v>448</v>
      </c>
      <c r="F279" s="11" t="n">
        <f aca="false">SUMIFS(Itens!$K:$K,Itens!$C:$C,B279,Itens!$A:$A,D279)</f>
        <v>30</v>
      </c>
    </row>
    <row r="280" customFormat="false" ht="15" hidden="false" customHeight="false" outlineLevel="0" collapsed="false">
      <c r="A280" s="8" t="n">
        <v>476065</v>
      </c>
      <c r="B280" s="8" t="s">
        <v>90</v>
      </c>
      <c r="C280" s="8" t="s">
        <v>1118</v>
      </c>
      <c r="D280" s="8" t="s">
        <v>429</v>
      </c>
      <c r="E280" s="8" t="s">
        <v>430</v>
      </c>
      <c r="F280" s="11" t="n">
        <f aca="false">SUMIFS(Itens!$K:$K,Itens!$C:$C,B280,Itens!$A:$A,D280)</f>
        <v>8</v>
      </c>
    </row>
    <row r="281" customFormat="false" ht="15" hidden="false" customHeight="false" outlineLevel="0" collapsed="false">
      <c r="A281" s="8" t="n">
        <v>476065</v>
      </c>
      <c r="B281" s="8" t="s">
        <v>90</v>
      </c>
      <c r="C281" s="8" t="s">
        <v>1118</v>
      </c>
      <c r="D281" s="8" t="s">
        <v>453</v>
      </c>
      <c r="E281" s="8" t="s">
        <v>454</v>
      </c>
      <c r="F281" s="11" t="n">
        <f aca="false">SUMIFS(Itens!$K:$K,Itens!$C:$C,B281,Itens!$A:$A,D281)</f>
        <v>21</v>
      </c>
    </row>
    <row r="282" customFormat="false" ht="15" hidden="false" customHeight="false" outlineLevel="0" collapsed="false">
      <c r="A282" s="8" t="n">
        <v>476065</v>
      </c>
      <c r="B282" s="8" t="s">
        <v>92</v>
      </c>
      <c r="C282" s="8" t="s">
        <v>1119</v>
      </c>
      <c r="D282" s="8" t="s">
        <v>481</v>
      </c>
      <c r="E282" s="8" t="s">
        <v>482</v>
      </c>
      <c r="F282" s="11" t="n">
        <f aca="false">SUMIFS(Itens!$K:$K,Itens!$C:$C,B282,Itens!$A:$A,D282)</f>
        <v>7</v>
      </c>
    </row>
    <row r="283" customFormat="false" ht="15" hidden="false" customHeight="false" outlineLevel="0" collapsed="false">
      <c r="A283" s="8" t="n">
        <v>476065</v>
      </c>
      <c r="B283" s="8" t="s">
        <v>93</v>
      </c>
      <c r="C283" s="8" t="s">
        <v>1119</v>
      </c>
      <c r="D283" s="8" t="s">
        <v>481</v>
      </c>
      <c r="E283" s="8" t="s">
        <v>482</v>
      </c>
      <c r="F283" s="11" t="n">
        <f aca="false">SUMIFS(Itens!$K:$K,Itens!$C:$C,B283,Itens!$A:$A,D283)</f>
        <v>7</v>
      </c>
    </row>
    <row r="284" customFormat="false" ht="15" hidden="false" customHeight="false" outlineLevel="0" collapsed="false">
      <c r="A284" s="8" t="n">
        <v>476065</v>
      </c>
      <c r="B284" s="8" t="s">
        <v>94</v>
      </c>
      <c r="C284" s="8" t="s">
        <v>1119</v>
      </c>
      <c r="D284" s="8" t="s">
        <v>481</v>
      </c>
      <c r="E284" s="8" t="s">
        <v>482</v>
      </c>
      <c r="F284" s="11" t="n">
        <f aca="false">SUMIFS(Itens!$K:$K,Itens!$C:$C,B284,Itens!$A:$A,D284)</f>
        <v>7</v>
      </c>
    </row>
    <row r="285" customFormat="false" ht="15" hidden="false" customHeight="false" outlineLevel="0" collapsed="false">
      <c r="A285" s="8" t="n">
        <v>476065</v>
      </c>
      <c r="B285" s="8" t="s">
        <v>103</v>
      </c>
      <c r="C285" s="8" t="s">
        <v>1119</v>
      </c>
      <c r="D285" s="8" t="s">
        <v>481</v>
      </c>
      <c r="E285" s="8" t="s">
        <v>482</v>
      </c>
      <c r="F285" s="11" t="n">
        <f aca="false">SUMIFS(Itens!$K:$K,Itens!$C:$C,B285,Itens!$A:$A,D285)</f>
        <v>7</v>
      </c>
    </row>
    <row r="286" customFormat="false" ht="15" hidden="false" customHeight="false" outlineLevel="0" collapsed="false">
      <c r="A286" s="8" t="n">
        <v>476065</v>
      </c>
      <c r="B286" s="8" t="s">
        <v>104</v>
      </c>
      <c r="C286" s="8" t="s">
        <v>1118</v>
      </c>
      <c r="D286" s="8" t="s">
        <v>481</v>
      </c>
      <c r="E286" s="8" t="s">
        <v>482</v>
      </c>
      <c r="F286" s="11" t="n">
        <f aca="false">SUMIFS(Itens!$K:$K,Itens!$C:$C,B286,Itens!$A:$A,D286)</f>
        <v>7</v>
      </c>
    </row>
    <row r="287" customFormat="false" ht="15" hidden="false" customHeight="false" outlineLevel="0" collapsed="false">
      <c r="A287" s="8" t="n">
        <v>476065</v>
      </c>
      <c r="B287" s="8" t="s">
        <v>105</v>
      </c>
      <c r="C287" s="8" t="s">
        <v>1119</v>
      </c>
      <c r="D287" s="8" t="s">
        <v>481</v>
      </c>
      <c r="E287" s="8" t="s">
        <v>482</v>
      </c>
      <c r="F287" s="11" t="n">
        <f aca="false">SUMIFS(Itens!$K:$K,Itens!$C:$C,B287,Itens!$A:$A,D287)</f>
        <v>7</v>
      </c>
    </row>
    <row r="288" customFormat="false" ht="15" hidden="false" customHeight="false" outlineLevel="0" collapsed="false">
      <c r="A288" s="8" t="n">
        <v>476065</v>
      </c>
      <c r="B288" s="8" t="s">
        <v>107</v>
      </c>
      <c r="C288" s="8" t="s">
        <v>1118</v>
      </c>
      <c r="D288" s="8" t="s">
        <v>481</v>
      </c>
      <c r="E288" s="8" t="s">
        <v>482</v>
      </c>
      <c r="F288" s="11" t="n">
        <f aca="false">SUMIFS(Itens!$K:$K,Itens!$C:$C,B288,Itens!$A:$A,D288)</f>
        <v>7</v>
      </c>
    </row>
    <row r="289" customFormat="false" ht="15" hidden="false" customHeight="false" outlineLevel="0" collapsed="false">
      <c r="A289" s="8" t="n">
        <v>476065</v>
      </c>
      <c r="B289" s="8" t="s">
        <v>111</v>
      </c>
      <c r="C289" s="8" t="s">
        <v>1118</v>
      </c>
      <c r="D289" s="8" t="s">
        <v>481</v>
      </c>
      <c r="E289" s="8" t="s">
        <v>482</v>
      </c>
      <c r="F289" s="11" t="n">
        <f aca="false">SUMIFS(Itens!$K:$K,Itens!$C:$C,B289,Itens!$A:$A,D289)</f>
        <v>7</v>
      </c>
    </row>
    <row r="290" customFormat="false" ht="15" hidden="false" customHeight="false" outlineLevel="0" collapsed="false">
      <c r="A290" s="8" t="n">
        <v>476065</v>
      </c>
      <c r="B290" s="8" t="s">
        <v>112</v>
      </c>
      <c r="C290" s="8" t="s">
        <v>1119</v>
      </c>
      <c r="D290" s="8" t="s">
        <v>481</v>
      </c>
      <c r="E290" s="8" t="s">
        <v>482</v>
      </c>
      <c r="F290" s="11" t="n">
        <f aca="false">SUMIFS(Itens!$K:$K,Itens!$C:$C,B290,Itens!$A:$A,D290)</f>
        <v>7</v>
      </c>
    </row>
    <row r="291" customFormat="false" ht="15" hidden="false" customHeight="false" outlineLevel="0" collapsed="false">
      <c r="A291" s="8" t="n">
        <v>476065</v>
      </c>
      <c r="B291" s="8" t="s">
        <v>113</v>
      </c>
      <c r="C291" s="8" t="s">
        <v>1119</v>
      </c>
      <c r="D291" s="8" t="s">
        <v>481</v>
      </c>
      <c r="E291" s="8" t="s">
        <v>482</v>
      </c>
      <c r="F291" s="11" t="n">
        <f aca="false">SUMIFS(Itens!$K:$K,Itens!$C:$C,B291,Itens!$A:$A,D291)</f>
        <v>7</v>
      </c>
    </row>
    <row r="292" customFormat="false" ht="15" hidden="false" customHeight="false" outlineLevel="0" collapsed="false">
      <c r="A292" s="8" t="n">
        <v>476065</v>
      </c>
      <c r="B292" s="8" t="s">
        <v>114</v>
      </c>
      <c r="C292" s="8" t="s">
        <v>1119</v>
      </c>
      <c r="D292" s="8" t="s">
        <v>481</v>
      </c>
      <c r="E292" s="8" t="s">
        <v>482</v>
      </c>
      <c r="F292" s="11" t="n">
        <f aca="false">SUMIFS(Itens!$K:$K,Itens!$C:$C,B292,Itens!$A:$A,D292)</f>
        <v>7</v>
      </c>
    </row>
    <row r="293" customFormat="false" ht="15" hidden="false" customHeight="false" outlineLevel="0" collapsed="false">
      <c r="A293" s="8" t="n">
        <v>476065</v>
      </c>
      <c r="B293" s="8" t="s">
        <v>120</v>
      </c>
      <c r="C293" s="8" t="s">
        <v>1119</v>
      </c>
      <c r="D293" s="8" t="s">
        <v>481</v>
      </c>
      <c r="E293" s="8" t="s">
        <v>482</v>
      </c>
      <c r="F293" s="11" t="n">
        <f aca="false">SUMIFS(Itens!$K:$K,Itens!$C:$C,B293,Itens!$A:$A,D293)</f>
        <v>7</v>
      </c>
    </row>
    <row r="294" customFormat="false" ht="15" hidden="false" customHeight="false" outlineLevel="0" collapsed="false">
      <c r="A294" s="8" t="n">
        <v>476065</v>
      </c>
      <c r="B294" s="8" t="s">
        <v>121</v>
      </c>
      <c r="C294" s="8" t="s">
        <v>1119</v>
      </c>
      <c r="D294" s="8" t="s">
        <v>481</v>
      </c>
      <c r="E294" s="8" t="s">
        <v>482</v>
      </c>
      <c r="F294" s="11" t="n">
        <f aca="false">SUMIFS(Itens!$K:$K,Itens!$C:$C,B294,Itens!$A:$A,D294)</f>
        <v>7</v>
      </c>
    </row>
    <row r="295" customFormat="false" ht="15" hidden="false" customHeight="false" outlineLevel="0" collapsed="false">
      <c r="A295" s="8" t="n">
        <v>476065</v>
      </c>
      <c r="B295" s="8" t="s">
        <v>122</v>
      </c>
      <c r="C295" s="8" t="s">
        <v>1119</v>
      </c>
      <c r="D295" s="8" t="s">
        <v>481</v>
      </c>
      <c r="E295" s="8" t="s">
        <v>482</v>
      </c>
      <c r="F295" s="11" t="n">
        <f aca="false">SUMIFS(Itens!$K:$K,Itens!$C:$C,B295,Itens!$A:$A,D295)</f>
        <v>7</v>
      </c>
    </row>
    <row r="296" customFormat="false" ht="15" hidden="false" customHeight="false" outlineLevel="0" collapsed="false">
      <c r="A296" s="8" t="n">
        <v>476065</v>
      </c>
      <c r="B296" s="8" t="s">
        <v>123</v>
      </c>
      <c r="C296" s="8" t="s">
        <v>1119</v>
      </c>
      <c r="D296" s="8" t="s">
        <v>481</v>
      </c>
      <c r="E296" s="8" t="s">
        <v>482</v>
      </c>
      <c r="F296" s="11" t="n">
        <f aca="false">SUMIFS(Itens!$K:$K,Itens!$C:$C,B296,Itens!$A:$A,D296)</f>
        <v>7</v>
      </c>
    </row>
    <row r="297" customFormat="false" ht="15" hidden="false" customHeight="false" outlineLevel="0" collapsed="false">
      <c r="A297" s="8" t="n">
        <v>476065</v>
      </c>
      <c r="B297" s="8" t="s">
        <v>124</v>
      </c>
      <c r="C297" s="8" t="s">
        <v>1119</v>
      </c>
      <c r="D297" s="8" t="s">
        <v>481</v>
      </c>
      <c r="E297" s="8" t="s">
        <v>482</v>
      </c>
      <c r="F297" s="11" t="n">
        <f aca="false">SUMIFS(Itens!$K:$K,Itens!$C:$C,B297,Itens!$A:$A,D297)</f>
        <v>7</v>
      </c>
    </row>
    <row r="298" customFormat="false" ht="15" hidden="false" customHeight="false" outlineLevel="0" collapsed="false">
      <c r="A298" s="8" t="n">
        <v>476065</v>
      </c>
      <c r="B298" s="8" t="s">
        <v>125</v>
      </c>
      <c r="C298" s="8" t="s">
        <v>1119</v>
      </c>
      <c r="D298" s="8" t="s">
        <v>481</v>
      </c>
      <c r="E298" s="8" t="s">
        <v>482</v>
      </c>
      <c r="F298" s="11" t="n">
        <f aca="false">SUMIFS(Itens!$K:$K,Itens!$C:$C,B298,Itens!$A:$A,D298)</f>
        <v>7</v>
      </c>
    </row>
    <row r="299" customFormat="false" ht="15" hidden="false" customHeight="false" outlineLevel="0" collapsed="false">
      <c r="A299" s="8" t="n">
        <v>476065</v>
      </c>
      <c r="B299" s="8" t="s">
        <v>128</v>
      </c>
      <c r="C299" s="8" t="s">
        <v>1119</v>
      </c>
      <c r="D299" s="8" t="s">
        <v>481</v>
      </c>
      <c r="E299" s="8" t="s">
        <v>482</v>
      </c>
      <c r="F299" s="11" t="n">
        <f aca="false">SUMIFS(Itens!$K:$K,Itens!$C:$C,B299,Itens!$A:$A,D299)</f>
        <v>7</v>
      </c>
    </row>
    <row r="300" customFormat="false" ht="15" hidden="false" customHeight="false" outlineLevel="0" collapsed="false">
      <c r="A300" s="8" t="n">
        <v>476065</v>
      </c>
      <c r="B300" s="8" t="s">
        <v>129</v>
      </c>
      <c r="C300" s="8" t="s">
        <v>1119</v>
      </c>
      <c r="D300" s="8" t="s">
        <v>481</v>
      </c>
      <c r="E300" s="8" t="s">
        <v>482</v>
      </c>
      <c r="F300" s="11" t="n">
        <f aca="false">SUMIFS(Itens!$K:$K,Itens!$C:$C,B300,Itens!$A:$A,D300)</f>
        <v>7</v>
      </c>
    </row>
    <row r="301" customFormat="false" ht="15" hidden="false" customHeight="false" outlineLevel="0" collapsed="false">
      <c r="A301" s="8" t="n">
        <v>476065</v>
      </c>
      <c r="B301" s="8" t="s">
        <v>130</v>
      </c>
      <c r="C301" s="8" t="s">
        <v>1119</v>
      </c>
      <c r="D301" s="8" t="s">
        <v>481</v>
      </c>
      <c r="E301" s="8" t="s">
        <v>482</v>
      </c>
      <c r="F301" s="11" t="n">
        <f aca="false">SUMIFS(Itens!$K:$K,Itens!$C:$C,B301,Itens!$A:$A,D301)</f>
        <v>7</v>
      </c>
    </row>
    <row r="302" customFormat="false" ht="15" hidden="false" customHeight="false" outlineLevel="0" collapsed="false">
      <c r="A302" s="8" t="n">
        <v>476065</v>
      </c>
      <c r="B302" s="8" t="s">
        <v>132</v>
      </c>
      <c r="C302" s="8" t="s">
        <v>1119</v>
      </c>
      <c r="D302" s="8" t="s">
        <v>481</v>
      </c>
      <c r="E302" s="8" t="s">
        <v>482</v>
      </c>
      <c r="F302" s="11" t="n">
        <f aca="false">SUMIFS(Itens!$K:$K,Itens!$C:$C,B302,Itens!$A:$A,D302)</f>
        <v>7</v>
      </c>
    </row>
    <row r="303" customFormat="false" ht="15" hidden="false" customHeight="false" outlineLevel="0" collapsed="false">
      <c r="A303" s="8" t="n">
        <v>476065</v>
      </c>
      <c r="B303" s="8" t="s">
        <v>137</v>
      </c>
      <c r="C303" s="8" t="s">
        <v>1119</v>
      </c>
      <c r="D303" s="8" t="s">
        <v>481</v>
      </c>
      <c r="E303" s="8" t="s">
        <v>482</v>
      </c>
      <c r="F303" s="11" t="n">
        <f aca="false">SUMIFS(Itens!$K:$K,Itens!$C:$C,B303,Itens!$A:$A,D303)</f>
        <v>7</v>
      </c>
    </row>
    <row r="304" customFormat="false" ht="15" hidden="false" customHeight="false" outlineLevel="0" collapsed="false">
      <c r="A304" s="8" t="n">
        <v>476065</v>
      </c>
      <c r="B304" s="8" t="s">
        <v>148</v>
      </c>
      <c r="C304" s="8" t="s">
        <v>1118</v>
      </c>
      <c r="D304" s="8" t="s">
        <v>505</v>
      </c>
      <c r="E304" s="8" t="s">
        <v>506</v>
      </c>
      <c r="F304" s="11" t="n">
        <f aca="false">SUMIFS(Itens!$K:$K,Itens!$C:$C,B304,Itens!$A:$A,D304)</f>
        <v>3</v>
      </c>
    </row>
    <row r="305" customFormat="false" ht="15" hidden="false" customHeight="false" outlineLevel="0" collapsed="false">
      <c r="A305" s="8" t="n">
        <v>476065</v>
      </c>
      <c r="B305" s="8" t="s">
        <v>149</v>
      </c>
      <c r="C305" s="8" t="s">
        <v>1119</v>
      </c>
      <c r="D305" s="8" t="s">
        <v>505</v>
      </c>
      <c r="E305" s="8" t="s">
        <v>506</v>
      </c>
      <c r="F305" s="11" t="n">
        <f aca="false">SUMIFS(Itens!$K:$K,Itens!$C:$C,B305,Itens!$A:$A,D305)</f>
        <v>24</v>
      </c>
    </row>
    <row r="306" customFormat="false" ht="15" hidden="false" customHeight="false" outlineLevel="0" collapsed="false">
      <c r="A306" s="8" t="n">
        <v>476065</v>
      </c>
      <c r="B306" s="8" t="s">
        <v>150</v>
      </c>
      <c r="C306" s="8" t="s">
        <v>1119</v>
      </c>
      <c r="D306" s="8" t="s">
        <v>505</v>
      </c>
      <c r="E306" s="8" t="s">
        <v>506</v>
      </c>
      <c r="F306" s="11" t="n">
        <f aca="false">SUMIFS(Itens!$K:$K,Itens!$C:$C,B306,Itens!$A:$A,D306)</f>
        <v>24</v>
      </c>
    </row>
    <row r="307" customFormat="false" ht="15" hidden="false" customHeight="false" outlineLevel="0" collapsed="false">
      <c r="A307" s="8" t="n">
        <v>476065</v>
      </c>
      <c r="B307" s="8" t="s">
        <v>153</v>
      </c>
      <c r="C307" s="8" t="s">
        <v>1119</v>
      </c>
      <c r="D307" s="8" t="s">
        <v>507</v>
      </c>
      <c r="E307" s="8" t="s">
        <v>508</v>
      </c>
      <c r="F307" s="11" t="n">
        <f aca="false">SUMIFS(Itens!$K:$K,Itens!$C:$C,B307,Itens!$A:$A,D307)</f>
        <v>20</v>
      </c>
    </row>
    <row r="308" customFormat="false" ht="15" hidden="false" customHeight="false" outlineLevel="0" collapsed="false">
      <c r="A308" s="8" t="n">
        <v>476065</v>
      </c>
      <c r="B308" s="8" t="s">
        <v>156</v>
      </c>
      <c r="C308" s="8" t="s">
        <v>1118</v>
      </c>
      <c r="D308" s="8" t="s">
        <v>507</v>
      </c>
      <c r="E308" s="8" t="s">
        <v>508</v>
      </c>
      <c r="F308" s="11" t="n">
        <f aca="false">SUMIFS(Itens!$K:$K,Itens!$C:$C,B308,Itens!$A:$A,D308)</f>
        <v>10</v>
      </c>
    </row>
    <row r="309" customFormat="false" ht="15" hidden="false" customHeight="false" outlineLevel="0" collapsed="false">
      <c r="A309" s="8" t="n">
        <v>476065</v>
      </c>
      <c r="B309" s="8" t="s">
        <v>157</v>
      </c>
      <c r="C309" s="8" t="s">
        <v>1119</v>
      </c>
      <c r="D309" s="8" t="s">
        <v>507</v>
      </c>
      <c r="E309" s="8" t="s">
        <v>508</v>
      </c>
      <c r="F309" s="11" t="n">
        <f aca="false">SUMIFS(Itens!$K:$K,Itens!$C:$C,B309,Itens!$A:$A,D309)</f>
        <v>20</v>
      </c>
    </row>
    <row r="310" customFormat="false" ht="15" hidden="false" customHeight="false" outlineLevel="0" collapsed="false">
      <c r="A310" s="8" t="n">
        <v>476065</v>
      </c>
      <c r="B310" s="8" t="s">
        <v>159</v>
      </c>
      <c r="C310" s="8" t="s">
        <v>1118</v>
      </c>
      <c r="D310" s="8" t="s">
        <v>505</v>
      </c>
      <c r="E310" s="8" t="s">
        <v>506</v>
      </c>
      <c r="F310" s="11" t="n">
        <f aca="false">SUMIFS(Itens!$K:$K,Itens!$C:$C,B310,Itens!$A:$A,D310)</f>
        <v>24</v>
      </c>
    </row>
    <row r="311" customFormat="false" ht="15" hidden="false" customHeight="false" outlineLevel="0" collapsed="false">
      <c r="A311" s="8" t="n">
        <v>476065</v>
      </c>
      <c r="B311" s="8" t="s">
        <v>168</v>
      </c>
      <c r="C311" s="8" t="s">
        <v>1119</v>
      </c>
      <c r="D311" s="8" t="s">
        <v>505</v>
      </c>
      <c r="E311" s="8" t="s">
        <v>506</v>
      </c>
      <c r="F311" s="11" t="n">
        <f aca="false">SUMIFS(Itens!$K:$K,Itens!$C:$C,B311,Itens!$A:$A,D311)</f>
        <v>24</v>
      </c>
    </row>
    <row r="312" customFormat="false" ht="15" hidden="false" customHeight="false" outlineLevel="0" collapsed="false">
      <c r="A312" s="8" t="n">
        <v>476065</v>
      </c>
      <c r="B312" s="8" t="s">
        <v>169</v>
      </c>
      <c r="C312" s="8" t="s">
        <v>1119</v>
      </c>
      <c r="D312" s="8" t="s">
        <v>505</v>
      </c>
      <c r="E312" s="8" t="s">
        <v>506</v>
      </c>
      <c r="F312" s="11" t="n">
        <f aca="false">SUMIFS(Itens!$K:$K,Itens!$C:$C,B312,Itens!$A:$A,D312)</f>
        <v>24</v>
      </c>
    </row>
    <row r="313" customFormat="false" ht="15" hidden="false" customHeight="false" outlineLevel="0" collapsed="false">
      <c r="A313" s="8" t="n">
        <v>476065</v>
      </c>
      <c r="B313" s="8" t="s">
        <v>171</v>
      </c>
      <c r="C313" s="8" t="s">
        <v>1118</v>
      </c>
      <c r="D313" s="8" t="s">
        <v>521</v>
      </c>
      <c r="E313" s="8" t="s">
        <v>522</v>
      </c>
      <c r="F313" s="11" t="n">
        <f aca="false">SUMIFS(Itens!$K:$K,Itens!$C:$C,B313,Itens!$A:$A,D313)</f>
        <v>34</v>
      </c>
    </row>
    <row r="314" customFormat="false" ht="15" hidden="false" customHeight="false" outlineLevel="0" collapsed="false">
      <c r="A314" s="8" t="n">
        <v>476065</v>
      </c>
      <c r="B314" s="8" t="s">
        <v>172</v>
      </c>
      <c r="C314" s="8" t="s">
        <v>1119</v>
      </c>
      <c r="D314" s="8" t="s">
        <v>521</v>
      </c>
      <c r="E314" s="8" t="s">
        <v>522</v>
      </c>
      <c r="F314" s="11" t="n">
        <f aca="false">SUMIFS(Itens!$K:$K,Itens!$C:$C,B314,Itens!$A:$A,D314)</f>
        <v>40</v>
      </c>
    </row>
    <row r="315" customFormat="false" ht="15" hidden="false" customHeight="false" outlineLevel="0" collapsed="false">
      <c r="A315" s="8" t="n">
        <v>476065</v>
      </c>
      <c r="B315" s="8" t="s">
        <v>175</v>
      </c>
      <c r="C315" s="8" t="s">
        <v>1119</v>
      </c>
      <c r="D315" s="8" t="s">
        <v>521</v>
      </c>
      <c r="E315" s="8" t="s">
        <v>522</v>
      </c>
      <c r="F315" s="11" t="n">
        <f aca="false">SUMIFS(Itens!$K:$K,Itens!$C:$C,B315,Itens!$A:$A,D315)</f>
        <v>40</v>
      </c>
    </row>
    <row r="316" customFormat="false" ht="15" hidden="false" customHeight="false" outlineLevel="0" collapsed="false">
      <c r="A316" s="8" t="n">
        <v>476065</v>
      </c>
      <c r="B316" s="8" t="s">
        <v>176</v>
      </c>
      <c r="C316" s="8" t="s">
        <v>1119</v>
      </c>
      <c r="D316" s="8" t="s">
        <v>521</v>
      </c>
      <c r="E316" s="8" t="s">
        <v>522</v>
      </c>
      <c r="F316" s="11" t="n">
        <f aca="false">SUMIFS(Itens!$K:$K,Itens!$C:$C,B316,Itens!$A:$A,D316)</f>
        <v>40</v>
      </c>
    </row>
    <row r="317" customFormat="false" ht="15" hidden="false" customHeight="false" outlineLevel="0" collapsed="false">
      <c r="A317" s="8" t="n">
        <v>476065</v>
      </c>
      <c r="B317" s="8" t="s">
        <v>178</v>
      </c>
      <c r="C317" s="8" t="s">
        <v>1119</v>
      </c>
      <c r="D317" s="8" t="s">
        <v>505</v>
      </c>
      <c r="E317" s="8" t="s">
        <v>506</v>
      </c>
      <c r="F317" s="11" t="n">
        <f aca="false">SUMIFS(Itens!$K:$K,Itens!$C:$C,B317,Itens!$A:$A,D317)</f>
        <v>24</v>
      </c>
    </row>
    <row r="318" customFormat="false" ht="15" hidden="false" customHeight="false" outlineLevel="0" collapsed="false">
      <c r="A318" s="8" t="n">
        <v>476065</v>
      </c>
      <c r="B318" s="8" t="s">
        <v>179</v>
      </c>
      <c r="C318" s="8" t="s">
        <v>1118</v>
      </c>
      <c r="D318" s="8" t="s">
        <v>505</v>
      </c>
      <c r="E318" s="8" t="s">
        <v>506</v>
      </c>
      <c r="F318" s="11" t="n">
        <f aca="false">SUMIFS(Itens!$K:$K,Itens!$C:$C,B318,Itens!$A:$A,D318)</f>
        <v>24</v>
      </c>
    </row>
    <row r="319" customFormat="false" ht="15" hidden="false" customHeight="false" outlineLevel="0" collapsed="false">
      <c r="A319" s="8" t="n">
        <v>476065</v>
      </c>
      <c r="B319" s="8" t="s">
        <v>180</v>
      </c>
      <c r="C319" s="8" t="s">
        <v>1118</v>
      </c>
      <c r="D319" s="8" t="s">
        <v>531</v>
      </c>
      <c r="E319" s="8" t="s">
        <v>532</v>
      </c>
      <c r="F319" s="11" t="n">
        <f aca="false">SUMIFS(Itens!$K:$K,Itens!$C:$C,B319,Itens!$A:$A,D319)</f>
        <v>1</v>
      </c>
    </row>
    <row r="320" customFormat="false" ht="15" hidden="false" customHeight="false" outlineLevel="0" collapsed="false">
      <c r="A320" s="8" t="n">
        <v>476065</v>
      </c>
      <c r="B320" s="8" t="s">
        <v>181</v>
      </c>
      <c r="C320" s="8" t="s">
        <v>1119</v>
      </c>
      <c r="D320" s="8" t="s">
        <v>531</v>
      </c>
      <c r="E320" s="8" t="s">
        <v>532</v>
      </c>
      <c r="F320" s="11" t="n">
        <f aca="false">SUMIFS(Itens!$K:$K,Itens!$C:$C,B320,Itens!$A:$A,D320)</f>
        <v>18</v>
      </c>
    </row>
    <row r="321" customFormat="false" ht="15" hidden="false" customHeight="false" outlineLevel="0" collapsed="false">
      <c r="A321" s="8" t="n">
        <v>476065</v>
      </c>
      <c r="B321" s="8" t="s">
        <v>182</v>
      </c>
      <c r="C321" s="8" t="s">
        <v>1119</v>
      </c>
      <c r="D321" s="8" t="s">
        <v>531</v>
      </c>
      <c r="E321" s="8" t="s">
        <v>532</v>
      </c>
      <c r="F321" s="11" t="n">
        <f aca="false">SUMIFS(Itens!$K:$K,Itens!$C:$C,B321,Itens!$A:$A,D321)</f>
        <v>18</v>
      </c>
    </row>
    <row r="322" customFormat="false" ht="15" hidden="false" customHeight="false" outlineLevel="0" collapsed="false">
      <c r="A322" s="8" t="n">
        <v>476065</v>
      </c>
      <c r="B322" s="8" t="s">
        <v>183</v>
      </c>
      <c r="C322" s="8" t="s">
        <v>1119</v>
      </c>
      <c r="D322" s="8" t="s">
        <v>531</v>
      </c>
      <c r="E322" s="8" t="s">
        <v>532</v>
      </c>
      <c r="F322" s="11" t="n">
        <f aca="false">SUMIFS(Itens!$K:$K,Itens!$C:$C,B322,Itens!$A:$A,D322)</f>
        <v>18</v>
      </c>
    </row>
    <row r="323" customFormat="false" ht="15" hidden="false" customHeight="false" outlineLevel="0" collapsed="false">
      <c r="A323" s="8" t="n">
        <v>476065</v>
      </c>
      <c r="B323" s="8" t="s">
        <v>184</v>
      </c>
      <c r="C323" s="8" t="s">
        <v>1119</v>
      </c>
      <c r="D323" s="8" t="s">
        <v>531</v>
      </c>
      <c r="E323" s="8" t="s">
        <v>532</v>
      </c>
      <c r="F323" s="11" t="n">
        <f aca="false">SUMIFS(Itens!$K:$K,Itens!$C:$C,B323,Itens!$A:$A,D323)</f>
        <v>18</v>
      </c>
    </row>
    <row r="324" customFormat="false" ht="15" hidden="false" customHeight="false" outlineLevel="0" collapsed="false">
      <c r="A324" s="8" t="n">
        <v>476065</v>
      </c>
      <c r="B324" s="8" t="s">
        <v>185</v>
      </c>
      <c r="C324" s="8" t="s">
        <v>1119</v>
      </c>
      <c r="D324" s="8" t="s">
        <v>531</v>
      </c>
      <c r="E324" s="8" t="s">
        <v>532</v>
      </c>
      <c r="F324" s="11" t="n">
        <f aca="false">SUMIFS(Itens!$K:$K,Itens!$C:$C,B324,Itens!$A:$A,D324)</f>
        <v>18</v>
      </c>
    </row>
    <row r="325" customFormat="false" ht="15" hidden="false" customHeight="false" outlineLevel="0" collapsed="false">
      <c r="A325" s="8" t="n">
        <v>476065</v>
      </c>
      <c r="B325" s="8" t="s">
        <v>187</v>
      </c>
      <c r="C325" s="8" t="s">
        <v>1119</v>
      </c>
      <c r="D325" s="8" t="s">
        <v>535</v>
      </c>
      <c r="E325" s="8" t="s">
        <v>536</v>
      </c>
      <c r="F325" s="11" t="n">
        <f aca="false">SUMIFS(Itens!$K:$K,Itens!$C:$C,B325,Itens!$A:$A,D325)</f>
        <v>40</v>
      </c>
    </row>
    <row r="326" customFormat="false" ht="15" hidden="false" customHeight="false" outlineLevel="0" collapsed="false">
      <c r="A326" s="8" t="n">
        <v>476065</v>
      </c>
      <c r="B326" s="8" t="s">
        <v>188</v>
      </c>
      <c r="C326" s="8" t="s">
        <v>1119</v>
      </c>
      <c r="D326" s="8" t="s">
        <v>535</v>
      </c>
      <c r="E326" s="8" t="s">
        <v>536</v>
      </c>
      <c r="F326" s="11" t="n">
        <f aca="false">SUMIFS(Itens!$K:$K,Itens!$C:$C,B326,Itens!$A:$A,D326)</f>
        <v>40</v>
      </c>
    </row>
    <row r="327" customFormat="false" ht="15" hidden="false" customHeight="false" outlineLevel="0" collapsed="false">
      <c r="A327" s="8" t="n">
        <v>476065</v>
      </c>
      <c r="B327" s="8" t="s">
        <v>189</v>
      </c>
      <c r="C327" s="8" t="s">
        <v>1119</v>
      </c>
      <c r="D327" s="8" t="s">
        <v>535</v>
      </c>
      <c r="E327" s="8" t="s">
        <v>536</v>
      </c>
      <c r="F327" s="11" t="n">
        <f aca="false">SUMIFS(Itens!$K:$K,Itens!$C:$C,B327,Itens!$A:$A,D327)</f>
        <v>40</v>
      </c>
    </row>
    <row r="328" customFormat="false" ht="15" hidden="false" customHeight="false" outlineLevel="0" collapsed="false">
      <c r="A328" s="8" t="n">
        <v>476065</v>
      </c>
      <c r="B328" s="8" t="s">
        <v>190</v>
      </c>
      <c r="C328" s="8" t="s">
        <v>1118</v>
      </c>
      <c r="D328" s="8" t="s">
        <v>535</v>
      </c>
      <c r="E328" s="8" t="s">
        <v>536</v>
      </c>
      <c r="F328" s="11" t="n">
        <f aca="false">SUMIFS(Itens!$K:$K,Itens!$C:$C,B328,Itens!$A:$A,D328)</f>
        <v>29</v>
      </c>
    </row>
    <row r="329" customFormat="false" ht="15" hidden="false" customHeight="false" outlineLevel="0" collapsed="false">
      <c r="A329" s="8" t="n">
        <v>476065</v>
      </c>
      <c r="B329" s="8" t="s">
        <v>191</v>
      </c>
      <c r="C329" s="8" t="s">
        <v>1119</v>
      </c>
      <c r="D329" s="8" t="s">
        <v>535</v>
      </c>
      <c r="E329" s="8" t="s">
        <v>536</v>
      </c>
      <c r="F329" s="11" t="n">
        <f aca="false">SUMIFS(Itens!$K:$K,Itens!$C:$C,B329,Itens!$A:$A,D329)</f>
        <v>40</v>
      </c>
    </row>
    <row r="330" customFormat="false" ht="15" hidden="false" customHeight="false" outlineLevel="0" collapsed="false">
      <c r="A330" s="8" t="n">
        <v>476065</v>
      </c>
      <c r="B330" s="8" t="s">
        <v>193</v>
      </c>
      <c r="C330" s="8" t="s">
        <v>1119</v>
      </c>
      <c r="D330" s="8" t="s">
        <v>545</v>
      </c>
      <c r="E330" s="8" t="s">
        <v>546</v>
      </c>
      <c r="F330" s="11" t="n">
        <f aca="false">SUMIFS(Itens!$K:$K,Itens!$C:$C,B330,Itens!$A:$A,D330)</f>
        <v>16</v>
      </c>
    </row>
    <row r="331" customFormat="false" ht="15" hidden="false" customHeight="false" outlineLevel="0" collapsed="false">
      <c r="A331" s="8" t="n">
        <v>476065</v>
      </c>
      <c r="B331" s="8" t="s">
        <v>194</v>
      </c>
      <c r="C331" s="8" t="s">
        <v>1119</v>
      </c>
      <c r="D331" s="8" t="s">
        <v>545</v>
      </c>
      <c r="E331" s="8" t="s">
        <v>546</v>
      </c>
      <c r="F331" s="11" t="n">
        <f aca="false">SUMIFS(Itens!$K:$K,Itens!$C:$C,B331,Itens!$A:$A,D331)</f>
        <v>16</v>
      </c>
    </row>
    <row r="332" customFormat="false" ht="15" hidden="false" customHeight="false" outlineLevel="0" collapsed="false">
      <c r="A332" s="8" t="n">
        <v>476065</v>
      </c>
      <c r="B332" s="8" t="s">
        <v>195</v>
      </c>
      <c r="C332" s="8" t="s">
        <v>1118</v>
      </c>
      <c r="D332" s="8" t="s">
        <v>545</v>
      </c>
      <c r="E332" s="8" t="s">
        <v>546</v>
      </c>
      <c r="F332" s="11" t="n">
        <f aca="false">SUMIFS(Itens!$K:$K,Itens!$C:$C,B332,Itens!$A:$A,D332)</f>
        <v>6</v>
      </c>
    </row>
    <row r="333" customFormat="false" ht="15" hidden="false" customHeight="false" outlineLevel="0" collapsed="false">
      <c r="A333" s="8" t="n">
        <v>476065</v>
      </c>
      <c r="B333" s="8" t="s">
        <v>203</v>
      </c>
      <c r="C333" s="8" t="s">
        <v>1118</v>
      </c>
      <c r="D333" s="8" t="s">
        <v>553</v>
      </c>
      <c r="E333" s="8" t="s">
        <v>554</v>
      </c>
      <c r="F333" s="11" t="n">
        <f aca="false">SUMIFS(Itens!$K:$K,Itens!$C:$C,B333,Itens!$A:$A,D333)</f>
        <v>2</v>
      </c>
    </row>
    <row r="334" customFormat="false" ht="15" hidden="false" customHeight="false" outlineLevel="0" collapsed="false">
      <c r="A334" s="8" t="n">
        <v>476065</v>
      </c>
      <c r="B334" s="8" t="s">
        <v>214</v>
      </c>
      <c r="C334" s="8" t="s">
        <v>1118</v>
      </c>
      <c r="D334" s="8" t="s">
        <v>531</v>
      </c>
      <c r="E334" s="8" t="s">
        <v>532</v>
      </c>
      <c r="F334" s="11" t="n">
        <f aca="false">SUMIFS(Itens!$K:$K,Itens!$C:$C,B334,Itens!$A:$A,D334)</f>
        <v>18</v>
      </c>
    </row>
    <row r="335" customFormat="false" ht="15" hidden="false" customHeight="false" outlineLevel="0" collapsed="false">
      <c r="A335" s="8" t="n">
        <v>476065</v>
      </c>
      <c r="B335" s="8" t="s">
        <v>215</v>
      </c>
      <c r="C335" s="8" t="s">
        <v>1118</v>
      </c>
      <c r="D335" s="8" t="s">
        <v>531</v>
      </c>
      <c r="E335" s="8" t="s">
        <v>532</v>
      </c>
      <c r="F335" s="11" t="n">
        <f aca="false">SUMIFS(Itens!$K:$K,Itens!$C:$C,B335,Itens!$A:$A,D335)</f>
        <v>18</v>
      </c>
    </row>
    <row r="336" customFormat="false" ht="15" hidden="false" customHeight="false" outlineLevel="0" collapsed="false">
      <c r="A336" s="8" t="n">
        <v>476065</v>
      </c>
      <c r="B336" s="8" t="s">
        <v>221</v>
      </c>
      <c r="C336" s="8" t="s">
        <v>1118</v>
      </c>
      <c r="D336" s="8" t="s">
        <v>505</v>
      </c>
      <c r="E336" s="8" t="s">
        <v>506</v>
      </c>
      <c r="F336" s="11" t="n">
        <f aca="false">SUMIFS(Itens!$K:$K,Itens!$C:$C,B336,Itens!$A:$A,D336)</f>
        <v>10</v>
      </c>
    </row>
    <row r="337" customFormat="false" ht="15" hidden="false" customHeight="false" outlineLevel="0" collapsed="false">
      <c r="A337" s="8" t="n">
        <v>476065</v>
      </c>
      <c r="B337" s="8" t="s">
        <v>222</v>
      </c>
      <c r="C337" s="8" t="s">
        <v>1119</v>
      </c>
      <c r="D337" s="8" t="s">
        <v>571</v>
      </c>
      <c r="E337" s="8" t="s">
        <v>572</v>
      </c>
      <c r="F337" s="11" t="n">
        <f aca="false">SUMIFS(Itens!$K:$K,Itens!$C:$C,B337,Itens!$A:$A,D337)</f>
        <v>24</v>
      </c>
    </row>
    <row r="338" customFormat="false" ht="15" hidden="false" customHeight="false" outlineLevel="0" collapsed="false">
      <c r="A338" s="8" t="n">
        <v>476065</v>
      </c>
      <c r="B338" s="8" t="s">
        <v>225</v>
      </c>
      <c r="C338" s="8" t="s">
        <v>1118</v>
      </c>
      <c r="D338" s="8" t="s">
        <v>575</v>
      </c>
      <c r="E338" s="8" t="s">
        <v>576</v>
      </c>
      <c r="F338" s="11" t="n">
        <f aca="false">SUMIFS(Itens!$K:$K,Itens!$C:$C,B338,Itens!$A:$A,D338)</f>
        <v>8</v>
      </c>
    </row>
    <row r="339" customFormat="false" ht="15" hidden="false" customHeight="false" outlineLevel="0" collapsed="false">
      <c r="A339" s="8" t="n">
        <v>476065</v>
      </c>
      <c r="B339" s="8" t="s">
        <v>228</v>
      </c>
      <c r="C339" s="8" t="s">
        <v>1119</v>
      </c>
      <c r="D339" s="8" t="s">
        <v>575</v>
      </c>
      <c r="E339" s="8" t="s">
        <v>576</v>
      </c>
      <c r="F339" s="11" t="n">
        <f aca="false">SUMIFS(Itens!$K:$K,Itens!$C:$C,B339,Itens!$A:$A,D339)</f>
        <v>20</v>
      </c>
    </row>
    <row r="340" customFormat="false" ht="15" hidden="false" customHeight="false" outlineLevel="0" collapsed="false">
      <c r="A340" s="8" t="n">
        <v>476065</v>
      </c>
      <c r="B340" s="8" t="s">
        <v>229</v>
      </c>
      <c r="C340" s="8" t="s">
        <v>1119</v>
      </c>
      <c r="D340" s="8" t="s">
        <v>575</v>
      </c>
      <c r="E340" s="8" t="s">
        <v>576</v>
      </c>
      <c r="F340" s="11" t="n">
        <f aca="false">SUMIFS(Itens!$K:$K,Itens!$C:$C,B340,Itens!$A:$A,D340)</f>
        <v>20</v>
      </c>
    </row>
    <row r="341" customFormat="false" ht="15" hidden="false" customHeight="false" outlineLevel="0" collapsed="false">
      <c r="A341" s="8" t="n">
        <v>476065</v>
      </c>
      <c r="B341" s="8" t="s">
        <v>233</v>
      </c>
      <c r="C341" s="8" t="s">
        <v>1119</v>
      </c>
      <c r="D341" s="8" t="s">
        <v>575</v>
      </c>
      <c r="E341" s="8" t="s">
        <v>576</v>
      </c>
      <c r="F341" s="11" t="n">
        <f aca="false">SUMIFS(Itens!$K:$K,Itens!$C:$C,B341,Itens!$A:$A,D341)</f>
        <v>20</v>
      </c>
    </row>
    <row r="342" customFormat="false" ht="15" hidden="false" customHeight="false" outlineLevel="0" collapsed="false">
      <c r="A342" s="8" t="n">
        <v>476065</v>
      </c>
      <c r="B342" s="8" t="s">
        <v>235</v>
      </c>
      <c r="C342" s="8" t="s">
        <v>1119</v>
      </c>
      <c r="D342" s="8" t="s">
        <v>575</v>
      </c>
      <c r="E342" s="8" t="s">
        <v>576</v>
      </c>
      <c r="F342" s="11" t="n">
        <f aca="false">SUMIFS(Itens!$K:$K,Itens!$C:$C,B342,Itens!$A:$A,D342)</f>
        <v>20</v>
      </c>
    </row>
    <row r="343" customFormat="false" ht="15" hidden="false" customHeight="false" outlineLevel="0" collapsed="false">
      <c r="A343" s="8" t="n">
        <v>476065</v>
      </c>
      <c r="B343" s="8" t="s">
        <v>252</v>
      </c>
      <c r="C343" s="8" t="s">
        <v>1118</v>
      </c>
      <c r="D343" s="8" t="s">
        <v>597</v>
      </c>
      <c r="E343" s="8" t="s">
        <v>598</v>
      </c>
      <c r="F343" s="11" t="n">
        <f aca="false">SUMIFS(Itens!$K:$K,Itens!$C:$C,B343,Itens!$A:$A,D343)</f>
        <v>17</v>
      </c>
    </row>
    <row r="344" customFormat="false" ht="15" hidden="false" customHeight="false" outlineLevel="0" collapsed="false">
      <c r="A344" s="8" t="n">
        <v>476065</v>
      </c>
      <c r="B344" s="8" t="s">
        <v>255</v>
      </c>
      <c r="C344" s="8" t="s">
        <v>1119</v>
      </c>
      <c r="D344" s="8" t="s">
        <v>575</v>
      </c>
      <c r="E344" s="8" t="s">
        <v>576</v>
      </c>
      <c r="F344" s="11" t="n">
        <f aca="false">SUMIFS(Itens!$K:$K,Itens!$C:$C,B344,Itens!$A:$A,D344)</f>
        <v>20</v>
      </c>
    </row>
    <row r="345" customFormat="false" ht="15" hidden="false" customHeight="false" outlineLevel="0" collapsed="false">
      <c r="A345" s="8" t="n">
        <v>476065</v>
      </c>
      <c r="B345" s="8" t="s">
        <v>256</v>
      </c>
      <c r="C345" s="8" t="s">
        <v>1119</v>
      </c>
      <c r="D345" s="8" t="s">
        <v>607</v>
      </c>
      <c r="E345" s="8" t="s">
        <v>608</v>
      </c>
      <c r="F345" s="11" t="n">
        <f aca="false">SUMIFS(Itens!$K:$K,Itens!$C:$C,B345,Itens!$A:$A,D345)</f>
        <v>36</v>
      </c>
    </row>
    <row r="346" customFormat="false" ht="15" hidden="false" customHeight="false" outlineLevel="0" collapsed="false">
      <c r="A346" s="8" t="n">
        <v>476065</v>
      </c>
      <c r="B346" s="8" t="s">
        <v>257</v>
      </c>
      <c r="C346" s="8" t="s">
        <v>1118</v>
      </c>
      <c r="D346" s="8" t="s">
        <v>607</v>
      </c>
      <c r="E346" s="8" t="s">
        <v>608</v>
      </c>
      <c r="F346" s="11" t="n">
        <f aca="false">SUMIFS(Itens!$K:$K,Itens!$C:$C,B346,Itens!$A:$A,D346)</f>
        <v>5</v>
      </c>
    </row>
    <row r="347" customFormat="false" ht="15" hidden="false" customHeight="false" outlineLevel="0" collapsed="false">
      <c r="A347" s="8" t="n">
        <v>476065</v>
      </c>
      <c r="B347" s="8" t="s">
        <v>257</v>
      </c>
      <c r="C347" s="8" t="s">
        <v>1118</v>
      </c>
      <c r="D347" s="8" t="s">
        <v>597</v>
      </c>
      <c r="E347" s="8" t="s">
        <v>598</v>
      </c>
      <c r="F347" s="11" t="n">
        <f aca="false">SUMIFS(Itens!$K:$K,Itens!$C:$C,B347,Itens!$A:$A,D347)</f>
        <v>2</v>
      </c>
    </row>
    <row r="348" customFormat="false" ht="15" hidden="false" customHeight="false" outlineLevel="0" collapsed="false">
      <c r="A348" s="8" t="n">
        <v>476065</v>
      </c>
      <c r="B348" s="8" t="s">
        <v>258</v>
      </c>
      <c r="C348" s="8" t="s">
        <v>1118</v>
      </c>
      <c r="D348" s="8" t="s">
        <v>607</v>
      </c>
      <c r="E348" s="8" t="s">
        <v>608</v>
      </c>
      <c r="F348" s="11" t="n">
        <f aca="false">SUMIFS(Itens!$K:$K,Itens!$C:$C,B348,Itens!$A:$A,D348)</f>
        <v>23</v>
      </c>
    </row>
    <row r="349" customFormat="false" ht="15" hidden="false" customHeight="false" outlineLevel="0" collapsed="false">
      <c r="A349" s="8" t="n">
        <v>476065</v>
      </c>
      <c r="B349" s="8" t="s">
        <v>264</v>
      </c>
      <c r="C349" s="8" t="s">
        <v>1119</v>
      </c>
      <c r="D349" s="8" t="s">
        <v>623</v>
      </c>
      <c r="E349" s="8" t="s">
        <v>624</v>
      </c>
      <c r="F349" s="11" t="n">
        <f aca="false">SUMIFS(Itens!$K:$K,Itens!$C:$C,B349,Itens!$A:$A,D349)</f>
        <v>16</v>
      </c>
    </row>
    <row r="350" customFormat="false" ht="15" hidden="false" customHeight="false" outlineLevel="0" collapsed="false">
      <c r="A350" s="8" t="n">
        <v>476065</v>
      </c>
      <c r="B350" s="8" t="s">
        <v>265</v>
      </c>
      <c r="C350" s="8" t="s">
        <v>1119</v>
      </c>
      <c r="D350" s="8" t="s">
        <v>623</v>
      </c>
      <c r="E350" s="8" t="s">
        <v>624</v>
      </c>
      <c r="F350" s="11" t="n">
        <f aca="false">SUMIFS(Itens!$K:$K,Itens!$C:$C,B350,Itens!$A:$A,D350)</f>
        <v>16</v>
      </c>
    </row>
    <row r="351" customFormat="false" ht="15" hidden="false" customHeight="false" outlineLevel="0" collapsed="false">
      <c r="A351" s="8" t="n">
        <v>476065</v>
      </c>
      <c r="B351" s="8" t="s">
        <v>266</v>
      </c>
      <c r="C351" s="8" t="s">
        <v>1119</v>
      </c>
      <c r="D351" s="8" t="s">
        <v>623</v>
      </c>
      <c r="E351" s="8" t="s">
        <v>624</v>
      </c>
      <c r="F351" s="11" t="n">
        <f aca="false">SUMIFS(Itens!$K:$K,Itens!$C:$C,B351,Itens!$A:$A,D351)</f>
        <v>16</v>
      </c>
    </row>
    <row r="352" customFormat="false" ht="15" hidden="false" customHeight="false" outlineLevel="0" collapsed="false">
      <c r="A352" s="8" t="n">
        <v>476065</v>
      </c>
      <c r="B352" s="8" t="s">
        <v>268</v>
      </c>
      <c r="C352" s="8" t="s">
        <v>1119</v>
      </c>
      <c r="D352" s="8" t="s">
        <v>623</v>
      </c>
      <c r="E352" s="8" t="s">
        <v>624</v>
      </c>
      <c r="F352" s="11" t="n">
        <f aca="false">SUMIFS(Itens!$K:$K,Itens!$C:$C,B352,Itens!$A:$A,D352)</f>
        <v>16</v>
      </c>
    </row>
    <row r="353" customFormat="false" ht="15" hidden="false" customHeight="false" outlineLevel="0" collapsed="false">
      <c r="A353" s="8" t="n">
        <v>476065</v>
      </c>
      <c r="B353" s="8" t="s">
        <v>270</v>
      </c>
      <c r="C353" s="8" t="s">
        <v>1118</v>
      </c>
      <c r="D353" s="8" t="s">
        <v>623</v>
      </c>
      <c r="E353" s="8" t="s">
        <v>624</v>
      </c>
      <c r="F353" s="11" t="n">
        <f aca="false">SUMIFS(Itens!$K:$K,Itens!$C:$C,B353,Itens!$A:$A,D353)</f>
        <v>16</v>
      </c>
    </row>
    <row r="354" customFormat="false" ht="15" hidden="false" customHeight="false" outlineLevel="0" collapsed="false">
      <c r="A354" s="8" t="n">
        <v>476065</v>
      </c>
      <c r="B354" s="8" t="s">
        <v>272</v>
      </c>
      <c r="C354" s="8" t="s">
        <v>1119</v>
      </c>
      <c r="D354" s="8" t="s">
        <v>623</v>
      </c>
      <c r="E354" s="8" t="s">
        <v>624</v>
      </c>
      <c r="F354" s="11" t="n">
        <f aca="false">SUMIFS(Itens!$K:$K,Itens!$C:$C,B354,Itens!$A:$A,D354)</f>
        <v>16</v>
      </c>
    </row>
    <row r="355" customFormat="false" ht="15" hidden="false" customHeight="false" outlineLevel="0" collapsed="false">
      <c r="A355" s="8" t="n">
        <v>476065</v>
      </c>
      <c r="B355" s="8" t="s">
        <v>273</v>
      </c>
      <c r="C355" s="8" t="s">
        <v>1118</v>
      </c>
      <c r="D355" s="8" t="s">
        <v>633</v>
      </c>
      <c r="E355" s="8" t="s">
        <v>634</v>
      </c>
      <c r="F355" s="11" t="n">
        <f aca="false">SUMIFS(Itens!$K:$K,Itens!$C:$C,B355,Itens!$A:$A,D355)</f>
        <v>20</v>
      </c>
    </row>
    <row r="356" customFormat="false" ht="15" hidden="false" customHeight="false" outlineLevel="0" collapsed="false">
      <c r="A356" s="8" t="n">
        <v>476065</v>
      </c>
      <c r="B356" s="8" t="s">
        <v>275</v>
      </c>
      <c r="C356" s="8" t="s">
        <v>1118</v>
      </c>
      <c r="D356" s="8" t="s">
        <v>633</v>
      </c>
      <c r="E356" s="8" t="s">
        <v>634</v>
      </c>
      <c r="F356" s="11" t="n">
        <f aca="false">SUMIFS(Itens!$K:$K,Itens!$C:$C,B356,Itens!$A:$A,D356)</f>
        <v>20</v>
      </c>
    </row>
    <row r="357" customFormat="false" ht="15" hidden="false" customHeight="false" outlineLevel="0" collapsed="false">
      <c r="A357" s="8" t="n">
        <v>476065</v>
      </c>
      <c r="B357" s="8" t="s">
        <v>277</v>
      </c>
      <c r="C357" s="8" t="s">
        <v>1119</v>
      </c>
      <c r="D357" s="8" t="s">
        <v>633</v>
      </c>
      <c r="E357" s="8" t="s">
        <v>634</v>
      </c>
      <c r="F357" s="11" t="n">
        <f aca="false">SUMIFS(Itens!$K:$K,Itens!$C:$C,B357,Itens!$A:$A,D357)</f>
        <v>20</v>
      </c>
    </row>
    <row r="358" customFormat="false" ht="15" hidden="false" customHeight="false" outlineLevel="0" collapsed="false">
      <c r="A358" s="8" t="n">
        <v>476065</v>
      </c>
      <c r="B358" s="8" t="s">
        <v>278</v>
      </c>
      <c r="C358" s="8" t="s">
        <v>1119</v>
      </c>
      <c r="D358" s="8" t="s">
        <v>633</v>
      </c>
      <c r="E358" s="8" t="s">
        <v>634</v>
      </c>
      <c r="F358" s="11" t="n">
        <f aca="false">SUMIFS(Itens!$K:$K,Itens!$C:$C,B358,Itens!$A:$A,D358)</f>
        <v>20</v>
      </c>
    </row>
    <row r="359" customFormat="false" ht="15" hidden="false" customHeight="false" outlineLevel="0" collapsed="false">
      <c r="A359" s="8" t="n">
        <v>476065</v>
      </c>
      <c r="B359" s="8" t="s">
        <v>279</v>
      </c>
      <c r="C359" s="8" t="s">
        <v>1118</v>
      </c>
      <c r="D359" s="8" t="s">
        <v>633</v>
      </c>
      <c r="E359" s="8" t="s">
        <v>634</v>
      </c>
      <c r="F359" s="11" t="n">
        <f aca="false">SUMIFS(Itens!$K:$K,Itens!$C:$C,B359,Itens!$A:$A,D359)</f>
        <v>10</v>
      </c>
    </row>
    <row r="360" customFormat="false" ht="15" hidden="false" customHeight="false" outlineLevel="0" collapsed="false">
      <c r="A360" s="8" t="n">
        <v>476065</v>
      </c>
      <c r="B360" s="8" t="s">
        <v>280</v>
      </c>
      <c r="C360" s="8" t="s">
        <v>1118</v>
      </c>
      <c r="D360" s="8" t="s">
        <v>635</v>
      </c>
      <c r="E360" s="8" t="s">
        <v>636</v>
      </c>
      <c r="F360" s="11" t="n">
        <f aca="false">SUMIFS(Itens!$K:$K,Itens!$C:$C,B360,Itens!$A:$A,D360)</f>
        <v>2</v>
      </c>
    </row>
    <row r="361" customFormat="false" ht="15" hidden="false" customHeight="false" outlineLevel="0" collapsed="false">
      <c r="A361" s="8" t="n">
        <v>476065</v>
      </c>
      <c r="B361" s="8" t="s">
        <v>284</v>
      </c>
      <c r="C361" s="8" t="s">
        <v>1119</v>
      </c>
      <c r="D361" s="8" t="s">
        <v>635</v>
      </c>
      <c r="E361" s="8" t="s">
        <v>636</v>
      </c>
      <c r="F361" s="11" t="n">
        <f aca="false">SUMIFS(Itens!$K:$K,Itens!$C:$C,B361,Itens!$A:$A,D361)</f>
        <v>18</v>
      </c>
    </row>
    <row r="362" customFormat="false" ht="15" hidden="false" customHeight="false" outlineLevel="0" collapsed="false">
      <c r="A362" s="8" t="n">
        <v>476065</v>
      </c>
      <c r="B362" s="8" t="s">
        <v>285</v>
      </c>
      <c r="C362" s="8" t="s">
        <v>1119</v>
      </c>
      <c r="D362" s="8" t="s">
        <v>623</v>
      </c>
      <c r="E362" s="8" t="s">
        <v>624</v>
      </c>
      <c r="F362" s="11" t="n">
        <f aca="false">SUMIFS(Itens!$K:$K,Itens!$C:$C,B362,Itens!$A:$A,D362)</f>
        <v>16</v>
      </c>
    </row>
    <row r="363" customFormat="false" ht="15" hidden="false" customHeight="false" outlineLevel="0" collapsed="false">
      <c r="A363" s="8" t="n">
        <v>476065</v>
      </c>
      <c r="B363" s="8" t="s">
        <v>286</v>
      </c>
      <c r="C363" s="8" t="s">
        <v>1119</v>
      </c>
      <c r="D363" s="8" t="s">
        <v>623</v>
      </c>
      <c r="E363" s="8" t="s">
        <v>624</v>
      </c>
      <c r="F363" s="11" t="n">
        <f aca="false">SUMIFS(Itens!$K:$K,Itens!$C:$C,B363,Itens!$A:$A,D363)</f>
        <v>16</v>
      </c>
    </row>
    <row r="364" customFormat="false" ht="15" hidden="false" customHeight="false" outlineLevel="0" collapsed="false">
      <c r="A364" s="8" t="n">
        <v>476065</v>
      </c>
      <c r="B364" s="8" t="s">
        <v>287</v>
      </c>
      <c r="C364" s="8" t="s">
        <v>1119</v>
      </c>
      <c r="D364" s="8" t="s">
        <v>623</v>
      </c>
      <c r="E364" s="8" t="s">
        <v>624</v>
      </c>
      <c r="F364" s="11" t="n">
        <f aca="false">SUMIFS(Itens!$K:$K,Itens!$C:$C,B364,Itens!$A:$A,D364)</f>
        <v>16</v>
      </c>
    </row>
    <row r="365" customFormat="false" ht="15" hidden="false" customHeight="false" outlineLevel="0" collapsed="false">
      <c r="A365" s="8" t="n">
        <v>476065</v>
      </c>
      <c r="B365" s="8" t="s">
        <v>288</v>
      </c>
      <c r="C365" s="8" t="s">
        <v>1119</v>
      </c>
      <c r="D365" s="8" t="s">
        <v>635</v>
      </c>
      <c r="E365" s="8" t="s">
        <v>636</v>
      </c>
      <c r="F365" s="11" t="n">
        <f aca="false">SUMIFS(Itens!$K:$K,Itens!$C:$C,B365,Itens!$A:$A,D365)</f>
        <v>15</v>
      </c>
    </row>
    <row r="366" customFormat="false" ht="15" hidden="false" customHeight="false" outlineLevel="0" collapsed="false">
      <c r="A366" s="8" t="n">
        <v>476065</v>
      </c>
      <c r="B366" s="8" t="s">
        <v>288</v>
      </c>
      <c r="C366" s="8" t="s">
        <v>1119</v>
      </c>
      <c r="D366" s="8" t="s">
        <v>623</v>
      </c>
      <c r="E366" s="8" t="s">
        <v>624</v>
      </c>
      <c r="F366" s="11" t="n">
        <f aca="false">SUMIFS(Itens!$K:$K,Itens!$C:$C,B366,Itens!$A:$A,D366)</f>
        <v>8</v>
      </c>
    </row>
    <row r="367" customFormat="false" ht="15" hidden="false" customHeight="false" outlineLevel="0" collapsed="false">
      <c r="A367" s="8" t="n">
        <v>476065</v>
      </c>
      <c r="B367" s="8" t="s">
        <v>289</v>
      </c>
      <c r="C367" s="8" t="s">
        <v>1118</v>
      </c>
      <c r="D367" s="8" t="s">
        <v>623</v>
      </c>
      <c r="E367" s="8" t="s">
        <v>624</v>
      </c>
      <c r="F367" s="11" t="n">
        <f aca="false">SUMIFS(Itens!$K:$K,Itens!$C:$C,B367,Itens!$A:$A,D367)</f>
        <v>12</v>
      </c>
    </row>
    <row r="368" customFormat="false" ht="15" hidden="false" customHeight="false" outlineLevel="0" collapsed="false">
      <c r="A368" s="8" t="n">
        <v>476065</v>
      </c>
      <c r="B368" s="8" t="s">
        <v>290</v>
      </c>
      <c r="C368" s="8" t="s">
        <v>1119</v>
      </c>
      <c r="D368" s="8" t="s">
        <v>641</v>
      </c>
      <c r="E368" s="8" t="s">
        <v>642</v>
      </c>
      <c r="F368" s="11" t="n">
        <f aca="false">SUMIFS(Itens!$K:$K,Itens!$C:$C,B368,Itens!$A:$A,D368)</f>
        <v>28</v>
      </c>
    </row>
    <row r="369" customFormat="false" ht="15" hidden="false" customHeight="false" outlineLevel="0" collapsed="false">
      <c r="A369" s="8" t="n">
        <v>476065</v>
      </c>
      <c r="B369" s="8" t="s">
        <v>292</v>
      </c>
      <c r="C369" s="8" t="s">
        <v>1119</v>
      </c>
      <c r="D369" s="8" t="s">
        <v>645</v>
      </c>
      <c r="E369" s="8" t="s">
        <v>646</v>
      </c>
      <c r="F369" s="11" t="n">
        <f aca="false">SUMIFS(Itens!$K:$K,Itens!$C:$C,B369,Itens!$A:$A,D369)</f>
        <v>26</v>
      </c>
    </row>
    <row r="370" customFormat="false" ht="15" hidden="false" customHeight="false" outlineLevel="0" collapsed="false">
      <c r="A370" s="8" t="n">
        <v>476065</v>
      </c>
      <c r="B370" s="8" t="s">
        <v>293</v>
      </c>
      <c r="C370" s="8" t="s">
        <v>1118</v>
      </c>
      <c r="D370" s="8" t="s">
        <v>647</v>
      </c>
      <c r="E370" s="8" t="s">
        <v>648</v>
      </c>
      <c r="F370" s="11" t="n">
        <f aca="false">SUMIFS(Itens!$K:$K,Itens!$C:$C,B370,Itens!$A:$A,D370)</f>
        <v>15</v>
      </c>
    </row>
    <row r="371" customFormat="false" ht="15" hidden="false" customHeight="false" outlineLevel="0" collapsed="false">
      <c r="A371" s="8" t="n">
        <v>476065</v>
      </c>
      <c r="B371" s="8" t="s">
        <v>294</v>
      </c>
      <c r="C371" s="8" t="s">
        <v>1118</v>
      </c>
      <c r="D371" s="8" t="s">
        <v>645</v>
      </c>
      <c r="E371" s="8" t="s">
        <v>646</v>
      </c>
      <c r="F371" s="11" t="n">
        <f aca="false">SUMIFS(Itens!$K:$K,Itens!$C:$C,B371,Itens!$A:$A,D371)</f>
        <v>10</v>
      </c>
    </row>
    <row r="372" customFormat="false" ht="15" hidden="false" customHeight="false" outlineLevel="0" collapsed="false">
      <c r="A372" s="8" t="n">
        <v>476065</v>
      </c>
      <c r="B372" s="8" t="s">
        <v>295</v>
      </c>
      <c r="C372" s="8" t="s">
        <v>1119</v>
      </c>
      <c r="D372" s="8" t="s">
        <v>645</v>
      </c>
      <c r="E372" s="8" t="s">
        <v>646</v>
      </c>
      <c r="F372" s="11" t="n">
        <f aca="false">SUMIFS(Itens!$K:$K,Itens!$C:$C,B372,Itens!$A:$A,D372)</f>
        <v>13</v>
      </c>
    </row>
    <row r="373" customFormat="false" ht="15" hidden="false" customHeight="false" outlineLevel="0" collapsed="false">
      <c r="A373" s="8" t="n">
        <v>476065</v>
      </c>
      <c r="B373" s="8" t="s">
        <v>296</v>
      </c>
      <c r="C373" s="8" t="s">
        <v>1119</v>
      </c>
      <c r="D373" s="8" t="s">
        <v>645</v>
      </c>
      <c r="E373" s="8" t="s">
        <v>646</v>
      </c>
      <c r="F373" s="11" t="n">
        <f aca="false">SUMIFS(Itens!$K:$K,Itens!$C:$C,B373,Itens!$A:$A,D373)</f>
        <v>13</v>
      </c>
    </row>
    <row r="374" customFormat="false" ht="15" hidden="false" customHeight="false" outlineLevel="0" collapsed="false">
      <c r="A374" s="8" t="n">
        <v>476065</v>
      </c>
      <c r="B374" s="8" t="s">
        <v>297</v>
      </c>
      <c r="C374" s="8" t="s">
        <v>1119</v>
      </c>
      <c r="D374" s="8" t="s">
        <v>645</v>
      </c>
      <c r="E374" s="8" t="s">
        <v>646</v>
      </c>
      <c r="F374" s="11" t="n">
        <f aca="false">SUMIFS(Itens!$K:$K,Itens!$C:$C,B374,Itens!$A:$A,D374)</f>
        <v>13</v>
      </c>
    </row>
    <row r="375" customFormat="false" ht="15" hidden="false" customHeight="false" outlineLevel="0" collapsed="false">
      <c r="A375" s="8" t="n">
        <v>476065</v>
      </c>
      <c r="B375" s="8" t="s">
        <v>300</v>
      </c>
      <c r="C375" s="8" t="s">
        <v>1119</v>
      </c>
      <c r="D375" s="8" t="s">
        <v>645</v>
      </c>
      <c r="E375" s="8" t="s">
        <v>646</v>
      </c>
      <c r="F375" s="11" t="n">
        <f aca="false">SUMIFS(Itens!$K:$K,Itens!$C:$C,B375,Itens!$A:$A,D375)</f>
        <v>26</v>
      </c>
    </row>
    <row r="376" customFormat="false" ht="15" hidden="false" customHeight="false" outlineLevel="0" collapsed="false">
      <c r="A376" s="8" t="n">
        <v>476065</v>
      </c>
      <c r="B376" s="8" t="s">
        <v>301</v>
      </c>
      <c r="C376" s="8" t="s">
        <v>1118</v>
      </c>
      <c r="D376" s="8" t="s">
        <v>647</v>
      </c>
      <c r="E376" s="8" t="s">
        <v>648</v>
      </c>
      <c r="F376" s="11" t="n">
        <f aca="false">SUMIFS(Itens!$K:$K,Itens!$C:$C,B376,Itens!$A:$A,D376)</f>
        <v>5</v>
      </c>
    </row>
    <row r="377" customFormat="false" ht="15" hidden="false" customHeight="false" outlineLevel="0" collapsed="false">
      <c r="A377" s="8" t="n">
        <v>476065</v>
      </c>
      <c r="B377" s="8" t="s">
        <v>303</v>
      </c>
      <c r="C377" s="8" t="s">
        <v>1119</v>
      </c>
      <c r="D377" s="8" t="s">
        <v>647</v>
      </c>
      <c r="E377" s="8" t="s">
        <v>648</v>
      </c>
      <c r="F377" s="11" t="n">
        <f aca="false">SUMIFS(Itens!$K:$K,Itens!$C:$C,B377,Itens!$A:$A,D377)</f>
        <v>28</v>
      </c>
    </row>
    <row r="378" customFormat="false" ht="15" hidden="false" customHeight="false" outlineLevel="0" collapsed="false">
      <c r="A378" s="8" t="n">
        <v>476065</v>
      </c>
      <c r="B378" s="8" t="s">
        <v>309</v>
      </c>
      <c r="C378" s="8" t="s">
        <v>1119</v>
      </c>
      <c r="D378" s="8" t="s">
        <v>647</v>
      </c>
      <c r="E378" s="8" t="s">
        <v>648</v>
      </c>
      <c r="F378" s="11" t="n">
        <f aca="false">SUMIFS(Itens!$K:$K,Itens!$C:$C,B378,Itens!$A:$A,D378)</f>
        <v>28</v>
      </c>
    </row>
    <row r="379" customFormat="false" ht="15" hidden="false" customHeight="false" outlineLevel="0" collapsed="false">
      <c r="A379" s="8" t="n">
        <v>476065</v>
      </c>
      <c r="B379" s="8" t="s">
        <v>330</v>
      </c>
      <c r="C379" s="8" t="s">
        <v>1118</v>
      </c>
      <c r="D379" s="8" t="s">
        <v>647</v>
      </c>
      <c r="E379" s="8" t="s">
        <v>648</v>
      </c>
      <c r="F379" s="11" t="n">
        <f aca="false">SUMIFS(Itens!$K:$K,Itens!$C:$C,B379,Itens!$A:$A,D379)</f>
        <v>1</v>
      </c>
    </row>
    <row r="380" customFormat="false" ht="15" hidden="false" customHeight="false" outlineLevel="0" collapsed="false">
      <c r="A380" s="8" t="n">
        <v>476065</v>
      </c>
      <c r="B380" s="8" t="s">
        <v>330</v>
      </c>
      <c r="C380" s="8" t="s">
        <v>1118</v>
      </c>
      <c r="D380" s="8" t="s">
        <v>669</v>
      </c>
      <c r="E380" s="8" t="s">
        <v>670</v>
      </c>
      <c r="F380" s="11" t="n">
        <f aca="false">SUMIFS(Itens!$K:$K,Itens!$C:$C,B380,Itens!$A:$A,D380)</f>
        <v>20</v>
      </c>
    </row>
    <row r="381" customFormat="false" ht="15" hidden="false" customHeight="false" outlineLevel="0" collapsed="false">
      <c r="A381" s="8" t="n">
        <v>476065</v>
      </c>
      <c r="B381" s="8" t="s">
        <v>337</v>
      </c>
      <c r="C381" s="8" t="s">
        <v>1119</v>
      </c>
      <c r="D381" s="8" t="s">
        <v>673</v>
      </c>
      <c r="E381" s="8" t="s">
        <v>674</v>
      </c>
      <c r="F381" s="11" t="n">
        <f aca="false">SUMIFS(Itens!$K:$K,Itens!$C:$C,B381,Itens!$A:$A,D381)</f>
        <v>44</v>
      </c>
    </row>
    <row r="382" customFormat="false" ht="15" hidden="false" customHeight="false" outlineLevel="0" collapsed="false">
      <c r="A382" s="8" t="n">
        <v>476065</v>
      </c>
      <c r="B382" s="8" t="s">
        <v>342</v>
      </c>
      <c r="C382" s="8" t="s">
        <v>1119</v>
      </c>
      <c r="D382" s="8" t="s">
        <v>679</v>
      </c>
      <c r="E382" s="8" t="s">
        <v>680</v>
      </c>
      <c r="F382" s="11" t="n">
        <f aca="false">SUMIFS(Itens!$K:$K,Itens!$C:$C,B382,Itens!$A:$A,D382)</f>
        <v>9</v>
      </c>
    </row>
    <row r="383" customFormat="false" ht="15" hidden="false" customHeight="false" outlineLevel="0" collapsed="false">
      <c r="A383" s="8" t="n">
        <v>476065</v>
      </c>
      <c r="B383" s="8" t="s">
        <v>343</v>
      </c>
      <c r="C383" s="8" t="s">
        <v>1119</v>
      </c>
      <c r="D383" s="8" t="s">
        <v>679</v>
      </c>
      <c r="E383" s="8" t="s">
        <v>680</v>
      </c>
      <c r="F383" s="11" t="n">
        <f aca="false">SUMIFS(Itens!$K:$K,Itens!$C:$C,B383,Itens!$A:$A,D383)</f>
        <v>9</v>
      </c>
    </row>
    <row r="384" customFormat="false" ht="15" hidden="false" customHeight="false" outlineLevel="0" collapsed="false">
      <c r="A384" s="8" t="n">
        <v>476065</v>
      </c>
      <c r="B384" s="8" t="s">
        <v>347</v>
      </c>
      <c r="C384" s="8" t="s">
        <v>1119</v>
      </c>
      <c r="D384" s="8" t="s">
        <v>671</v>
      </c>
      <c r="E384" s="8" t="s">
        <v>672</v>
      </c>
      <c r="F384" s="11" t="n">
        <f aca="false">SUMIFS(Itens!$K:$K,Itens!$C:$C,B384,Itens!$A:$A,D384)</f>
        <v>20</v>
      </c>
    </row>
    <row r="385" customFormat="false" ht="15" hidden="false" customHeight="false" outlineLevel="0" collapsed="false">
      <c r="A385" s="8" t="n">
        <v>476065</v>
      </c>
      <c r="B385" s="8" t="s">
        <v>350</v>
      </c>
      <c r="C385" s="8" t="s">
        <v>1118</v>
      </c>
      <c r="D385" s="8" t="s">
        <v>671</v>
      </c>
      <c r="E385" s="8" t="s">
        <v>672</v>
      </c>
      <c r="F385" s="11" t="n">
        <f aca="false">SUMIFS(Itens!$K:$K,Itens!$C:$C,B385,Itens!$A:$A,D385)</f>
        <v>7</v>
      </c>
    </row>
    <row r="386" customFormat="false" ht="15" hidden="false" customHeight="false" outlineLevel="0" collapsed="false">
      <c r="A386" s="8" t="n">
        <v>476065</v>
      </c>
      <c r="B386" s="8" t="s">
        <v>350</v>
      </c>
      <c r="C386" s="8" t="s">
        <v>1118</v>
      </c>
      <c r="D386" s="8" t="s">
        <v>673</v>
      </c>
      <c r="E386" s="8" t="s">
        <v>674</v>
      </c>
      <c r="F386" s="11" t="n">
        <f aca="false">SUMIFS(Itens!$K:$K,Itens!$C:$C,B386,Itens!$A:$A,D386)</f>
        <v>31</v>
      </c>
    </row>
    <row r="387" customFormat="false" ht="15" hidden="false" customHeight="false" outlineLevel="0" collapsed="false">
      <c r="A387" s="8" t="n">
        <v>476065</v>
      </c>
      <c r="B387" s="8" t="s">
        <v>353</v>
      </c>
      <c r="C387" s="8" t="s">
        <v>1119</v>
      </c>
      <c r="D387" s="8" t="s">
        <v>683</v>
      </c>
      <c r="E387" s="8" t="s">
        <v>684</v>
      </c>
      <c r="F387" s="11" t="n">
        <f aca="false">SUMIFS(Itens!$K:$K,Itens!$C:$C,B387,Itens!$A:$A,D387)</f>
        <v>24</v>
      </c>
    </row>
    <row r="388" customFormat="false" ht="15" hidden="false" customHeight="false" outlineLevel="0" collapsed="false">
      <c r="A388" s="8" t="n">
        <v>476065</v>
      </c>
      <c r="B388" s="8" t="s">
        <v>355</v>
      </c>
      <c r="C388" s="8" t="s">
        <v>1119</v>
      </c>
      <c r="D388" s="8" t="s">
        <v>681</v>
      </c>
      <c r="E388" s="8" t="s">
        <v>682</v>
      </c>
      <c r="F388" s="11" t="n">
        <f aca="false">SUMIFS(Itens!$K:$K,Itens!$C:$C,B388,Itens!$A:$A,D388)</f>
        <v>24</v>
      </c>
    </row>
    <row r="389" customFormat="false" ht="15" hidden="false" customHeight="false" outlineLevel="0" collapsed="false">
      <c r="A389" s="8" t="n">
        <v>476065</v>
      </c>
      <c r="B389" s="8" t="s">
        <v>357</v>
      </c>
      <c r="C389" s="8" t="s">
        <v>1119</v>
      </c>
      <c r="D389" s="8" t="s">
        <v>681</v>
      </c>
      <c r="E389" s="8" t="s">
        <v>682</v>
      </c>
      <c r="F389" s="11" t="n">
        <f aca="false">SUMIFS(Itens!$K:$K,Itens!$C:$C,B389,Itens!$A:$A,D389)</f>
        <v>24</v>
      </c>
    </row>
    <row r="390" customFormat="false" ht="15" hidden="false" customHeight="false" outlineLevel="0" collapsed="false">
      <c r="A390" s="8" t="n">
        <v>476065</v>
      </c>
      <c r="B390" s="8" t="s">
        <v>358</v>
      </c>
      <c r="C390" s="8" t="s">
        <v>1119</v>
      </c>
      <c r="D390" s="8" t="s">
        <v>681</v>
      </c>
      <c r="E390" s="8" t="s">
        <v>682</v>
      </c>
      <c r="F390" s="11" t="n">
        <f aca="false">SUMIFS(Itens!$K:$K,Itens!$C:$C,B390,Itens!$A:$A,D390)</f>
        <v>24</v>
      </c>
    </row>
    <row r="391" customFormat="false" ht="15" hidden="false" customHeight="false" outlineLevel="0" collapsed="false">
      <c r="A391" s="8" t="n">
        <v>476065</v>
      </c>
      <c r="B391" s="8" t="s">
        <v>359</v>
      </c>
      <c r="C391" s="8" t="s">
        <v>1119</v>
      </c>
      <c r="D391" s="8" t="s">
        <v>681</v>
      </c>
      <c r="E391" s="8" t="s">
        <v>682</v>
      </c>
      <c r="F391" s="11" t="n">
        <f aca="false">SUMIFS(Itens!$K:$K,Itens!$C:$C,B391,Itens!$A:$A,D391)</f>
        <v>24</v>
      </c>
    </row>
    <row r="392" customFormat="false" ht="15" hidden="false" customHeight="false" outlineLevel="0" collapsed="false">
      <c r="A392" s="8" t="n">
        <v>476065</v>
      </c>
      <c r="B392" s="8" t="s">
        <v>360</v>
      </c>
      <c r="C392" s="8" t="s">
        <v>1119</v>
      </c>
      <c r="D392" s="8" t="s">
        <v>685</v>
      </c>
      <c r="E392" s="8" t="s">
        <v>686</v>
      </c>
      <c r="F392" s="11" t="n">
        <f aca="false">SUMIFS(Itens!$K:$K,Itens!$C:$C,B392,Itens!$A:$A,D392)</f>
        <v>18</v>
      </c>
    </row>
    <row r="393" customFormat="false" ht="15" hidden="false" customHeight="false" outlineLevel="0" collapsed="false">
      <c r="A393" s="8" t="n">
        <v>476065</v>
      </c>
      <c r="B393" s="8" t="s">
        <v>361</v>
      </c>
      <c r="C393" s="8" t="s">
        <v>1119</v>
      </c>
      <c r="D393" s="8" t="s">
        <v>685</v>
      </c>
      <c r="E393" s="8" t="s">
        <v>686</v>
      </c>
      <c r="F393" s="11" t="n">
        <f aca="false">SUMIFS(Itens!$K:$K,Itens!$C:$C,B393,Itens!$A:$A,D393)</f>
        <v>18</v>
      </c>
    </row>
    <row r="394" customFormat="false" ht="15" hidden="false" customHeight="false" outlineLevel="0" collapsed="false">
      <c r="A394" s="8" t="n">
        <v>476065</v>
      </c>
      <c r="B394" s="8" t="s">
        <v>362</v>
      </c>
      <c r="C394" s="8" t="s">
        <v>1119</v>
      </c>
      <c r="D394" s="8" t="s">
        <v>681</v>
      </c>
      <c r="E394" s="8" t="s">
        <v>682</v>
      </c>
      <c r="F394" s="11" t="n">
        <f aca="false">SUMIFS(Itens!$K:$K,Itens!$C:$C,B394,Itens!$A:$A,D394)</f>
        <v>24</v>
      </c>
    </row>
    <row r="395" customFormat="false" ht="15" hidden="false" customHeight="false" outlineLevel="0" collapsed="false">
      <c r="A395" s="8" t="n">
        <v>476065</v>
      </c>
      <c r="B395" s="8" t="s">
        <v>363</v>
      </c>
      <c r="C395" s="8" t="s">
        <v>1119</v>
      </c>
      <c r="D395" s="8" t="s">
        <v>681</v>
      </c>
      <c r="E395" s="8" t="s">
        <v>682</v>
      </c>
      <c r="F395" s="11" t="n">
        <f aca="false">SUMIFS(Itens!$K:$K,Itens!$C:$C,B395,Itens!$A:$A,D395)</f>
        <v>24</v>
      </c>
    </row>
    <row r="396" customFormat="false" ht="15" hidden="false" customHeight="false" outlineLevel="0" collapsed="false">
      <c r="A396" s="8" t="n">
        <v>476065</v>
      </c>
      <c r="B396" s="8" t="s">
        <v>365</v>
      </c>
      <c r="C396" s="8" t="s">
        <v>1119</v>
      </c>
      <c r="D396" s="8" t="s">
        <v>687</v>
      </c>
      <c r="E396" s="8" t="s">
        <v>688</v>
      </c>
      <c r="F396" s="11" t="n">
        <f aca="false">SUMIFS(Itens!$K:$K,Itens!$C:$C,B396,Itens!$A:$A,D396)</f>
        <v>24</v>
      </c>
    </row>
    <row r="397" customFormat="false" ht="15" hidden="false" customHeight="false" outlineLevel="0" collapsed="false">
      <c r="A397" s="8" t="n">
        <v>476065</v>
      </c>
      <c r="B397" s="8" t="s">
        <v>366</v>
      </c>
      <c r="C397" s="8" t="s">
        <v>1119</v>
      </c>
      <c r="D397" s="8" t="s">
        <v>685</v>
      </c>
      <c r="E397" s="8" t="s">
        <v>686</v>
      </c>
      <c r="F397" s="11" t="n">
        <f aca="false">SUMIFS(Itens!$K:$K,Itens!$C:$C,B397,Itens!$A:$A,D397)</f>
        <v>18</v>
      </c>
    </row>
    <row r="398" customFormat="false" ht="15" hidden="false" customHeight="false" outlineLevel="0" collapsed="false">
      <c r="A398" s="8" t="n">
        <v>476065</v>
      </c>
      <c r="B398" s="8" t="s">
        <v>367</v>
      </c>
      <c r="C398" s="8" t="s">
        <v>1119</v>
      </c>
      <c r="D398" s="8" t="s">
        <v>687</v>
      </c>
      <c r="E398" s="8" t="s">
        <v>688</v>
      </c>
      <c r="F398" s="11" t="n">
        <f aca="false">SUMIFS(Itens!$K:$K,Itens!$C:$C,B398,Itens!$A:$A,D398)</f>
        <v>24</v>
      </c>
    </row>
    <row r="399" customFormat="false" ht="15" hidden="false" customHeight="false" outlineLevel="0" collapsed="false">
      <c r="A399" s="8" t="n">
        <v>476065</v>
      </c>
      <c r="B399" s="8" t="s">
        <v>371</v>
      </c>
      <c r="C399" s="8" t="s">
        <v>1119</v>
      </c>
      <c r="D399" s="8" t="s">
        <v>681</v>
      </c>
      <c r="E399" s="8" t="s">
        <v>682</v>
      </c>
      <c r="F399" s="11" t="n">
        <f aca="false">SUMIFS(Itens!$K:$K,Itens!$C:$C,B399,Itens!$A:$A,D399)</f>
        <v>24</v>
      </c>
    </row>
    <row r="400" customFormat="false" ht="15" hidden="false" customHeight="false" outlineLevel="0" collapsed="false">
      <c r="A400" s="8" t="n">
        <v>476065</v>
      </c>
      <c r="B400" s="8" t="s">
        <v>372</v>
      </c>
      <c r="C400" s="8" t="s">
        <v>1119</v>
      </c>
      <c r="D400" s="8" t="s">
        <v>687</v>
      </c>
      <c r="E400" s="8" t="s">
        <v>688</v>
      </c>
      <c r="F400" s="11" t="n">
        <f aca="false">SUMIFS(Itens!$K:$K,Itens!$C:$C,B400,Itens!$A:$A,D400)</f>
        <v>24</v>
      </c>
    </row>
    <row r="401" customFormat="false" ht="15" hidden="false" customHeight="false" outlineLevel="0" collapsed="false">
      <c r="A401" s="8" t="n">
        <v>476065</v>
      </c>
      <c r="B401" s="8" t="s">
        <v>374</v>
      </c>
      <c r="C401" s="8" t="s">
        <v>1119</v>
      </c>
      <c r="D401" s="8" t="s">
        <v>687</v>
      </c>
      <c r="E401" s="8" t="s">
        <v>688</v>
      </c>
      <c r="F401" s="11" t="n">
        <f aca="false">SUMIFS(Itens!$K:$K,Itens!$C:$C,B401,Itens!$A:$A,D401)</f>
        <v>24</v>
      </c>
    </row>
    <row r="402" customFormat="false" ht="15" hidden="false" customHeight="false" outlineLevel="0" collapsed="false">
      <c r="A402" s="8" t="n">
        <v>476065</v>
      </c>
      <c r="B402" s="8" t="s">
        <v>375</v>
      </c>
      <c r="C402" s="8" t="s">
        <v>1119</v>
      </c>
      <c r="D402" s="8" t="s">
        <v>687</v>
      </c>
      <c r="E402" s="8" t="s">
        <v>688</v>
      </c>
      <c r="F402" s="11" t="n">
        <f aca="false">SUMIFS(Itens!$K:$K,Itens!$C:$C,B402,Itens!$A:$A,D402)</f>
        <v>24</v>
      </c>
    </row>
    <row r="403" customFormat="false" ht="15" hidden="false" customHeight="false" outlineLevel="0" collapsed="false">
      <c r="A403" s="8" t="n">
        <v>476065</v>
      </c>
      <c r="B403" s="8" t="s">
        <v>377</v>
      </c>
      <c r="C403" s="8" t="s">
        <v>1119</v>
      </c>
      <c r="D403" s="8" t="s">
        <v>687</v>
      </c>
      <c r="E403" s="8" t="s">
        <v>688</v>
      </c>
      <c r="F403" s="11" t="n">
        <f aca="false">SUMIFS(Itens!$K:$K,Itens!$C:$C,B403,Itens!$A:$A,D403)</f>
        <v>24</v>
      </c>
    </row>
    <row r="404" customFormat="false" ht="15" hidden="false" customHeight="false" outlineLevel="0" collapsed="false">
      <c r="A404" s="8" t="n">
        <v>476065</v>
      </c>
      <c r="B404" s="8" t="s">
        <v>378</v>
      </c>
      <c r="C404" s="8" t="s">
        <v>1119</v>
      </c>
      <c r="D404" s="8" t="s">
        <v>683</v>
      </c>
      <c r="E404" s="8" t="s">
        <v>684</v>
      </c>
      <c r="F404" s="11" t="n">
        <f aca="false">SUMIFS(Itens!$K:$K,Itens!$C:$C,B404,Itens!$A:$A,D404)</f>
        <v>24</v>
      </c>
    </row>
    <row r="405" customFormat="false" ht="15" hidden="false" customHeight="false" outlineLevel="0" collapsed="false">
      <c r="A405" s="8" t="n">
        <v>476065</v>
      </c>
      <c r="B405" s="8" t="s">
        <v>379</v>
      </c>
      <c r="C405" s="8" t="s">
        <v>1119</v>
      </c>
      <c r="D405" s="8" t="s">
        <v>683</v>
      </c>
      <c r="E405" s="8" t="s">
        <v>684</v>
      </c>
      <c r="F405" s="11" t="n">
        <f aca="false">SUMIFS(Itens!$K:$K,Itens!$C:$C,B405,Itens!$A:$A,D405)</f>
        <v>24</v>
      </c>
    </row>
    <row r="406" customFormat="false" ht="15" hidden="false" customHeight="false" outlineLevel="0" collapsed="false">
      <c r="A406" s="8" t="n">
        <v>476065</v>
      </c>
      <c r="B406" s="8" t="s">
        <v>380</v>
      </c>
      <c r="C406" s="8" t="s">
        <v>1119</v>
      </c>
      <c r="D406" s="8" t="s">
        <v>683</v>
      </c>
      <c r="E406" s="8" t="s">
        <v>684</v>
      </c>
      <c r="F406" s="11" t="n">
        <f aca="false">SUMIFS(Itens!$K:$K,Itens!$C:$C,B406,Itens!$A:$A,D406)</f>
        <v>24</v>
      </c>
    </row>
    <row r="407" customFormat="false" ht="15" hidden="false" customHeight="false" outlineLevel="0" collapsed="false">
      <c r="A407" s="8" t="n">
        <v>476065</v>
      </c>
      <c r="B407" s="8" t="s">
        <v>382</v>
      </c>
      <c r="C407" s="8" t="s">
        <v>1119</v>
      </c>
      <c r="D407" s="8" t="s">
        <v>683</v>
      </c>
      <c r="E407" s="8" t="s">
        <v>684</v>
      </c>
      <c r="F407" s="11" t="n">
        <f aca="false">SUMIFS(Itens!$K:$K,Itens!$C:$C,B407,Itens!$A:$A,D407)</f>
        <v>24</v>
      </c>
    </row>
    <row r="408" customFormat="false" ht="15" hidden="false" customHeight="false" outlineLevel="0" collapsed="false">
      <c r="A408" s="8" t="n">
        <v>476065</v>
      </c>
      <c r="B408" s="8" t="s">
        <v>384</v>
      </c>
      <c r="C408" s="8" t="s">
        <v>1119</v>
      </c>
      <c r="D408" s="8" t="s">
        <v>687</v>
      </c>
      <c r="E408" s="8" t="s">
        <v>688</v>
      </c>
      <c r="F408" s="11" t="n">
        <f aca="false">SUMIFS(Itens!$K:$K,Itens!$C:$C,B408,Itens!$A:$A,D408)</f>
        <v>24</v>
      </c>
    </row>
    <row r="409" customFormat="false" ht="15" hidden="false" customHeight="false" outlineLevel="0" collapsed="false">
      <c r="A409" s="8" t="n">
        <v>476065</v>
      </c>
      <c r="B409" s="8" t="s">
        <v>386</v>
      </c>
      <c r="C409" s="8" t="s">
        <v>1119</v>
      </c>
      <c r="D409" s="8" t="s">
        <v>687</v>
      </c>
      <c r="E409" s="8" t="s">
        <v>688</v>
      </c>
      <c r="F409" s="11" t="n">
        <f aca="false">SUMIFS(Itens!$K:$K,Itens!$C:$C,B409,Itens!$A:$A,D409)</f>
        <v>24</v>
      </c>
    </row>
    <row r="410" customFormat="false" ht="15" hidden="false" customHeight="false" outlineLevel="0" collapsed="false">
      <c r="A410" s="8" t="n">
        <v>476065</v>
      </c>
      <c r="B410" s="8" t="s">
        <v>387</v>
      </c>
      <c r="C410" s="8" t="s">
        <v>1119</v>
      </c>
      <c r="D410" s="8" t="s">
        <v>685</v>
      </c>
      <c r="E410" s="8" t="s">
        <v>686</v>
      </c>
      <c r="F410" s="11" t="n">
        <f aca="false">SUMIFS(Itens!$K:$K,Itens!$C:$C,B410,Itens!$A:$A,D410)</f>
        <v>10</v>
      </c>
    </row>
    <row r="411" customFormat="false" ht="15" hidden="false" customHeight="false" outlineLevel="0" collapsed="false">
      <c r="A411" s="8" t="n">
        <v>476065</v>
      </c>
      <c r="B411" s="8" t="s">
        <v>388</v>
      </c>
      <c r="C411" s="8" t="s">
        <v>1118</v>
      </c>
      <c r="D411" s="8" t="s">
        <v>681</v>
      </c>
      <c r="E411" s="8" t="s">
        <v>682</v>
      </c>
      <c r="F411" s="11" t="n">
        <f aca="false">SUMIFS(Itens!$K:$K,Itens!$C:$C,B411,Itens!$A:$A,D411)</f>
        <v>9</v>
      </c>
    </row>
    <row r="412" customFormat="false" ht="15" hidden="false" customHeight="false" outlineLevel="0" collapsed="false">
      <c r="A412" s="8" t="n">
        <v>476065</v>
      </c>
      <c r="B412" s="8" t="s">
        <v>388</v>
      </c>
      <c r="C412" s="8" t="s">
        <v>1118</v>
      </c>
      <c r="D412" s="8" t="s">
        <v>685</v>
      </c>
      <c r="E412" s="8" t="s">
        <v>686</v>
      </c>
      <c r="F412" s="11" t="n">
        <f aca="false">SUMIFS(Itens!$K:$K,Itens!$C:$C,B412,Itens!$A:$A,D412)</f>
        <v>1</v>
      </c>
    </row>
    <row r="413" customFormat="false" ht="15" hidden="false" customHeight="false" outlineLevel="0" collapsed="false">
      <c r="A413" s="8" t="n">
        <v>476065</v>
      </c>
      <c r="B413" s="8" t="s">
        <v>389</v>
      </c>
      <c r="C413" s="8" t="s">
        <v>1118</v>
      </c>
      <c r="D413" s="8" t="s">
        <v>683</v>
      </c>
      <c r="E413" s="8" t="s">
        <v>684</v>
      </c>
      <c r="F413" s="11" t="n">
        <f aca="false">SUMIFS(Itens!$K:$K,Itens!$C:$C,B413,Itens!$A:$A,D413)</f>
        <v>8</v>
      </c>
    </row>
    <row r="414" customFormat="false" ht="15" hidden="false" customHeight="false" outlineLevel="0" collapsed="false">
      <c r="A414" s="8" t="n">
        <v>476065</v>
      </c>
      <c r="B414" s="8" t="s">
        <v>389</v>
      </c>
      <c r="C414" s="8" t="s">
        <v>1118</v>
      </c>
      <c r="D414" s="8" t="s">
        <v>681</v>
      </c>
      <c r="E414" s="8" t="s">
        <v>682</v>
      </c>
      <c r="F414" s="11" t="n">
        <f aca="false">SUMIFS(Itens!$K:$K,Itens!$C:$C,B414,Itens!$A:$A,D414)</f>
        <v>1</v>
      </c>
    </row>
    <row r="415" customFormat="false" ht="15" hidden="false" customHeight="false" outlineLevel="0" collapsed="false">
      <c r="A415" s="8" t="n">
        <v>476065</v>
      </c>
      <c r="B415" s="8" t="s">
        <v>390</v>
      </c>
      <c r="C415" s="8" t="s">
        <v>1118</v>
      </c>
      <c r="D415" s="8" t="s">
        <v>687</v>
      </c>
      <c r="E415" s="8" t="s">
        <v>688</v>
      </c>
      <c r="F415" s="11" t="n">
        <f aca="false">SUMIFS(Itens!$K:$K,Itens!$C:$C,B415,Itens!$A:$A,D415)</f>
        <v>3</v>
      </c>
    </row>
    <row r="416" customFormat="false" ht="15" hidden="false" customHeight="false" outlineLevel="0" collapsed="false">
      <c r="A416" s="8" t="n">
        <v>476065</v>
      </c>
      <c r="B416" s="8" t="s">
        <v>391</v>
      </c>
      <c r="C416" s="8" t="s">
        <v>1119</v>
      </c>
      <c r="D416" s="8" t="s">
        <v>691</v>
      </c>
      <c r="E416" s="8" t="s">
        <v>692</v>
      </c>
      <c r="F416" s="11" t="n">
        <f aca="false">SUMIFS(Itens!$K:$K,Itens!$C:$C,B416,Itens!$A:$A,D416)</f>
        <v>3</v>
      </c>
    </row>
    <row r="417" customFormat="false" ht="15" hidden="false" customHeight="false" outlineLevel="0" collapsed="false">
      <c r="A417" s="8" t="n">
        <v>476065</v>
      </c>
      <c r="B417" s="8" t="s">
        <v>391</v>
      </c>
      <c r="C417" s="8" t="s">
        <v>1119</v>
      </c>
      <c r="D417" s="8" t="s">
        <v>693</v>
      </c>
      <c r="E417" s="8" t="s">
        <v>694</v>
      </c>
      <c r="F417" s="11" t="n">
        <f aca="false">SUMIFS(Itens!$K:$K,Itens!$C:$C,B417,Itens!$A:$A,D417)</f>
        <v>15</v>
      </c>
    </row>
    <row r="418" customFormat="false" ht="15" hidden="false" customHeight="false" outlineLevel="0" collapsed="false">
      <c r="A418" s="8" t="n">
        <v>476065</v>
      </c>
      <c r="B418" s="8" t="s">
        <v>392</v>
      </c>
      <c r="C418" s="8" t="s">
        <v>1119</v>
      </c>
      <c r="D418" s="8" t="s">
        <v>689</v>
      </c>
      <c r="E418" s="8" t="s">
        <v>690</v>
      </c>
      <c r="F418" s="11" t="n">
        <f aca="false">SUMIFS(Itens!$K:$K,Itens!$C:$C,B418,Itens!$A:$A,D418)</f>
        <v>30</v>
      </c>
    </row>
    <row r="419" customFormat="false" ht="15" hidden="false" customHeight="false" outlineLevel="0" collapsed="false">
      <c r="A419" s="8" t="n">
        <v>476065</v>
      </c>
      <c r="B419" s="8" t="s">
        <v>393</v>
      </c>
      <c r="C419" s="8" t="s">
        <v>1118</v>
      </c>
      <c r="D419" s="8" t="s">
        <v>693</v>
      </c>
      <c r="E419" s="8" t="s">
        <v>694</v>
      </c>
      <c r="F419" s="11" t="n">
        <f aca="false">SUMIFS(Itens!$K:$K,Itens!$C:$C,B419,Itens!$A:$A,D419)</f>
        <v>6</v>
      </c>
    </row>
    <row r="420" customFormat="false" ht="15" hidden="false" customHeight="false" outlineLevel="0" collapsed="false">
      <c r="A420" s="8" t="n">
        <v>476065</v>
      </c>
      <c r="B420" s="8" t="s">
        <v>394</v>
      </c>
      <c r="C420" s="8" t="s">
        <v>1119</v>
      </c>
      <c r="D420" s="8" t="s">
        <v>689</v>
      </c>
      <c r="E420" s="8" t="s">
        <v>690</v>
      </c>
      <c r="F420" s="11" t="n">
        <f aca="false">SUMIFS(Itens!$K:$K,Itens!$C:$C,B420,Itens!$A:$A,D420)</f>
        <v>30</v>
      </c>
    </row>
    <row r="421" customFormat="false" ht="15" hidden="false" customHeight="false" outlineLevel="0" collapsed="false">
      <c r="A421" s="8" t="n">
        <v>476065</v>
      </c>
      <c r="B421" s="8" t="s">
        <v>395</v>
      </c>
      <c r="C421" s="8" t="s">
        <v>1118</v>
      </c>
      <c r="D421" s="8" t="s">
        <v>689</v>
      </c>
      <c r="E421" s="8" t="s">
        <v>690</v>
      </c>
      <c r="F421" s="11" t="n">
        <f aca="false">SUMIFS(Itens!$K:$K,Itens!$C:$C,B421,Itens!$A:$A,D421)</f>
        <v>8</v>
      </c>
    </row>
    <row r="422" customFormat="false" ht="15" hidden="false" customHeight="false" outlineLevel="0" collapsed="false">
      <c r="A422" s="8" t="n">
        <v>476065</v>
      </c>
      <c r="B422" s="8" t="s">
        <v>396</v>
      </c>
      <c r="C422" s="8" t="s">
        <v>1119</v>
      </c>
      <c r="D422" s="8" t="s">
        <v>693</v>
      </c>
      <c r="E422" s="8" t="s">
        <v>694</v>
      </c>
      <c r="F422" s="11" t="n">
        <f aca="false">SUMIFS(Itens!$K:$K,Itens!$C:$C,B422,Itens!$A:$A,D422)</f>
        <v>30</v>
      </c>
    </row>
    <row r="423" customFormat="false" ht="15" hidden="false" customHeight="false" outlineLevel="0" collapsed="false">
      <c r="A423" s="8" t="n">
        <v>476065</v>
      </c>
      <c r="B423" s="8" t="s">
        <v>397</v>
      </c>
      <c r="C423" s="8" t="s">
        <v>1119</v>
      </c>
      <c r="D423" s="8" t="s">
        <v>693</v>
      </c>
      <c r="E423" s="8" t="s">
        <v>694</v>
      </c>
      <c r="F423" s="11" t="n">
        <f aca="false">SUMIFS(Itens!$K:$K,Itens!$C:$C,B423,Itens!$A:$A,D423)</f>
        <v>30</v>
      </c>
    </row>
    <row r="424" customFormat="false" ht="15" hidden="false" customHeight="false" outlineLevel="0" collapsed="false">
      <c r="A424" s="8" t="n">
        <v>476065</v>
      </c>
      <c r="B424" s="8" t="s">
        <v>398</v>
      </c>
      <c r="C424" s="8" t="s">
        <v>1118</v>
      </c>
      <c r="D424" s="8" t="s">
        <v>691</v>
      </c>
      <c r="E424" s="8" t="s">
        <v>692</v>
      </c>
      <c r="F424" s="11" t="n">
        <f aca="false">SUMIFS(Itens!$K:$K,Itens!$C:$C,B424,Itens!$A:$A,D424)</f>
        <v>15</v>
      </c>
    </row>
    <row r="425" customFormat="false" ht="15" hidden="false" customHeight="false" outlineLevel="0" collapsed="false">
      <c r="A425" s="8" t="n">
        <v>476065</v>
      </c>
      <c r="B425" s="8" t="s">
        <v>400</v>
      </c>
      <c r="C425" s="8" t="s">
        <v>1119</v>
      </c>
      <c r="D425" s="8" t="s">
        <v>691</v>
      </c>
      <c r="E425" s="8" t="s">
        <v>692</v>
      </c>
      <c r="F425" s="11" t="n">
        <f aca="false">SUMIFS(Itens!$K:$K,Itens!$C:$C,B425,Itens!$A:$A,D425)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2026-10-20T17:08:49Z</dcterms:created>
  <dc:creator>openpyxl</dc:creator>
  <dc:description/>
  <dc:language>en-US</dc:language>
  <cp:lastModifiedBy/>
  <dcterms:modified xsi:type="dcterms:W3CDTF">2026-10-20T17:08:50Z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